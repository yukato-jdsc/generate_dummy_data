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6"/>
  <workbookPr/>
  <mc:AlternateContent xmlns:mc="http://schemas.openxmlformats.org/markup-compatibility/2006">
    <mc:Choice Requires="x15">
      <x15ac:absPath xmlns:x15ac="http://schemas.microsoft.com/office/spreadsheetml/2010/11/ac" url="https://jdsc.sharepoint.com/sites/DOG/Shared Documents/10. デリバリー/202510-202512_Summit/10. 作成中成果物/10. 詳細設計/データベース/work/"/>
    </mc:Choice>
  </mc:AlternateContent>
  <xr:revisionPtr revIDLastSave="0" documentId="8_{3B72E9CB-62FC-4D3E-89C3-227D57751101}" xr6:coauthVersionLast="47" xr6:coauthVersionMax="47" xr10:uidLastSave="{00000000-0000-0000-0000-000000000000}"/>
  <bookViews>
    <workbookView xWindow="1935" yWindow="765" windowWidth="25320" windowHeight="14565" tabRatio="914" firstSheet="17" activeTab="17" xr2:uid="{00000000-000D-0000-FFFF-FFFF00000000}"/>
  </bookViews>
  <sheets>
    <sheet name="JOIN" sheetId="1" r:id="rId1"/>
    <sheet name="メモ" sheetId="22" r:id="rId2"/>
    <sheet name="(BFSエントリ)モバイル_サービスサマリ_付属品" sheetId="6" r:id="rId3"/>
    <sheet name="(BFSエントリ)モバイル_サービスサマリ_端末" sheetId="5" r:id="rId4"/>
    <sheet name="(BFSエントリ)モバイル_エントリ情報" sheetId="4" r:id="rId5"/>
    <sheet name="(RMS)契約基本情報" sheetId="2" r:id="rId6"/>
    <sheet name="(RMS)契約料金情報" sheetId="3" r:id="rId7"/>
    <sheet name="(COP)支払情報" sheetId="8" r:id="rId8"/>
    <sheet name="(COP)契約者リンク履歴" sheetId="7" r:id="rId9"/>
    <sheet name="(COP)svcリンク履歴" sheetId="9" r:id="rId10"/>
    <sheet name="(COP)販売履歴" sheetId="10" r:id="rId11"/>
    <sheet name="(COP)機器割当" sheetId="11" r:id="rId12"/>
    <sheet name="(COP)プロダクト" sheetId="12" r:id="rId13"/>
    <sheet name="(Mars)取次店" sheetId="13" r:id="rId14"/>
    <sheet name="(Mars)キャンペーン" sheetId="14" r:id="rId15"/>
    <sheet name="(Mars)商品" sheetId="15" r:id="rId16"/>
    <sheet name="(SUMMIT)決裁_料金決裁" sheetId="16" r:id="rId17"/>
    <sheet name="(SUMMIT)決裁_提案モバイル" sheetId="17" r:id="rId18"/>
    <sheet name="(SUMMIT)決裁_共通決裁" sheetId="18" r:id="rId19"/>
    <sheet name="(SUMMIT)決裁_基本_補足" sheetId="19" r:id="rId20"/>
    <sheet name="(SUMMIT)決裁_関連申請書" sheetId="20" r:id="rId21"/>
    <sheet name="(COMPASS)営業決裁" sheetId="23" r:id="rId22"/>
    <sheet name="Sheet21" sheetId="21" r:id="rId2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 i="23" l="1"/>
  <c r="K224" i="23"/>
  <c r="K7" i="23"/>
  <c r="N18" i="23"/>
  <c r="N19" i="23"/>
  <c r="N20" i="23"/>
  <c r="N21" i="23"/>
  <c r="N22" i="23"/>
  <c r="N23" i="23"/>
  <c r="N24" i="23"/>
  <c r="N25" i="23"/>
  <c r="N26" i="23"/>
  <c r="N27" i="23"/>
  <c r="N28" i="23"/>
  <c r="N29" i="23"/>
  <c r="N30" i="23"/>
  <c r="N31" i="23"/>
  <c r="N32" i="23"/>
  <c r="N33" i="23"/>
  <c r="N34" i="23"/>
  <c r="N35" i="23"/>
  <c r="N36" i="23"/>
  <c r="N37" i="23"/>
  <c r="N38" i="23"/>
  <c r="N39" i="23"/>
  <c r="N40" i="23"/>
  <c r="N41" i="23"/>
  <c r="N42" i="23"/>
  <c r="N43" i="23"/>
  <c r="N44" i="23"/>
  <c r="N45" i="23"/>
  <c r="N46" i="23"/>
  <c r="N47" i="23"/>
  <c r="N48" i="23"/>
  <c r="N49" i="23"/>
  <c r="N50" i="23"/>
  <c r="N51" i="23"/>
  <c r="N52" i="23"/>
  <c r="N53" i="23"/>
  <c r="N54" i="23"/>
  <c r="N55" i="23"/>
  <c r="N56" i="23"/>
  <c r="N57" i="23"/>
  <c r="N58" i="23"/>
  <c r="N59" i="23"/>
  <c r="N60" i="23"/>
  <c r="N61" i="23"/>
  <c r="N62" i="23"/>
  <c r="N63" i="23"/>
  <c r="N64" i="23"/>
  <c r="N65" i="23"/>
  <c r="N66" i="23"/>
  <c r="N67" i="23"/>
  <c r="N68" i="23"/>
  <c r="N69" i="23"/>
  <c r="N70" i="23"/>
  <c r="N71" i="23"/>
  <c r="N72" i="23"/>
  <c r="N73" i="23"/>
  <c r="N74" i="23"/>
  <c r="N75" i="23"/>
  <c r="N76" i="23"/>
  <c r="N77" i="23"/>
  <c r="N78" i="23"/>
  <c r="N79" i="23"/>
  <c r="N80" i="23"/>
  <c r="N81" i="23"/>
  <c r="N82" i="23"/>
  <c r="N83" i="23"/>
  <c r="N84" i="23"/>
  <c r="N85" i="23"/>
  <c r="N86" i="23"/>
  <c r="N87" i="23"/>
  <c r="N88" i="23"/>
  <c r="N89" i="23"/>
  <c r="N90" i="23"/>
  <c r="N91" i="23"/>
  <c r="N92" i="23"/>
  <c r="N93" i="23"/>
  <c r="N94" i="23"/>
  <c r="N95" i="23"/>
  <c r="N96" i="23"/>
  <c r="N97" i="23"/>
  <c r="N98" i="23"/>
  <c r="N99" i="23"/>
  <c r="N100" i="23"/>
  <c r="N101" i="23"/>
  <c r="N102" i="23"/>
  <c r="N103" i="23"/>
  <c r="N104" i="23"/>
  <c r="N105" i="23"/>
  <c r="N106" i="23"/>
  <c r="N107" i="23"/>
  <c r="N108" i="23"/>
  <c r="N109" i="23"/>
  <c r="N110" i="23"/>
  <c r="N111" i="23"/>
  <c r="N112" i="23"/>
  <c r="N113" i="23"/>
  <c r="N114" i="23"/>
  <c r="N115" i="23"/>
  <c r="N116" i="23"/>
  <c r="N117" i="23"/>
  <c r="N118" i="23"/>
  <c r="N119" i="23"/>
  <c r="N120" i="23"/>
  <c r="N121" i="23"/>
  <c r="N122" i="23"/>
  <c r="N123" i="23"/>
  <c r="N124" i="23"/>
  <c r="N125" i="23"/>
  <c r="N126" i="23"/>
  <c r="N127" i="23"/>
  <c r="N128" i="23"/>
  <c r="N129" i="23"/>
  <c r="N130" i="23"/>
  <c r="N131" i="23"/>
  <c r="N132" i="23"/>
  <c r="N133" i="23"/>
  <c r="N134" i="23"/>
  <c r="N135" i="23"/>
  <c r="N136" i="23"/>
  <c r="N137" i="23"/>
  <c r="N138" i="23"/>
  <c r="N139" i="23"/>
  <c r="N140" i="23"/>
  <c r="N141" i="23"/>
  <c r="N142" i="23"/>
  <c r="N143" i="23"/>
  <c r="N144" i="23"/>
  <c r="N145" i="23"/>
  <c r="N146" i="23"/>
  <c r="N147" i="23"/>
  <c r="N148" i="23"/>
  <c r="N149" i="23"/>
  <c r="N150" i="23"/>
  <c r="N151" i="23"/>
  <c r="N152" i="23"/>
  <c r="N153" i="23"/>
  <c r="N154" i="23"/>
  <c r="N155" i="23"/>
  <c r="N156" i="23"/>
  <c r="N157" i="23"/>
  <c r="N158" i="23"/>
  <c r="N159" i="23"/>
  <c r="N160" i="23"/>
  <c r="N161" i="23"/>
  <c r="N162" i="23"/>
  <c r="N163" i="23"/>
  <c r="N164" i="23"/>
  <c r="N165" i="23"/>
  <c r="N166" i="23"/>
  <c r="N167" i="23"/>
  <c r="N168" i="23"/>
  <c r="N169" i="23"/>
  <c r="N170" i="23"/>
  <c r="N171" i="23"/>
  <c r="N172" i="23"/>
  <c r="N173" i="23"/>
  <c r="N174" i="23"/>
  <c r="N175" i="23"/>
  <c r="N176" i="23"/>
  <c r="N177" i="23"/>
  <c r="N178" i="23"/>
  <c r="N179" i="23"/>
  <c r="N180" i="23"/>
  <c r="N181" i="23"/>
  <c r="N182" i="23"/>
  <c r="N183" i="23"/>
  <c r="N184" i="23"/>
  <c r="N185" i="23"/>
  <c r="N186" i="23"/>
  <c r="N187" i="23"/>
  <c r="N188" i="23"/>
  <c r="N189" i="23"/>
  <c r="N190" i="23"/>
  <c r="N191" i="23"/>
  <c r="N192" i="23"/>
  <c r="N193" i="23"/>
  <c r="N194" i="23"/>
  <c r="N195" i="23"/>
  <c r="N196" i="23"/>
  <c r="N197" i="23"/>
  <c r="N198" i="23"/>
  <c r="N199" i="23"/>
  <c r="N200" i="23"/>
  <c r="N201" i="23"/>
  <c r="N202" i="23"/>
  <c r="N203" i="23"/>
  <c r="N204" i="23"/>
  <c r="N205" i="23"/>
  <c r="N206" i="23"/>
  <c r="N207" i="23"/>
  <c r="N208" i="23"/>
  <c r="N209" i="23"/>
  <c r="N210" i="23"/>
  <c r="N211" i="23"/>
  <c r="N212" i="23"/>
  <c r="N213" i="23"/>
  <c r="N214" i="23"/>
  <c r="N215" i="23"/>
  <c r="N216" i="23"/>
  <c r="N217" i="23"/>
  <c r="N218" i="23"/>
  <c r="N219" i="23"/>
  <c r="N220" i="23"/>
  <c r="N221" i="23"/>
  <c r="N222" i="23"/>
  <c r="N223" i="23"/>
  <c r="N17" i="23"/>
  <c r="N16" i="23"/>
  <c r="N15" i="23"/>
  <c r="N14" i="23"/>
  <c r="N13" i="23"/>
  <c r="N12" i="23"/>
  <c r="N11" i="23"/>
  <c r="N10" i="23"/>
  <c r="N9" i="23"/>
  <c r="L10" i="23"/>
  <c r="L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212" i="23"/>
  <c r="L213" i="23"/>
  <c r="L214" i="23"/>
  <c r="L215" i="23"/>
  <c r="L216" i="23"/>
  <c r="L217" i="23"/>
  <c r="L218" i="23"/>
  <c r="L219" i="23"/>
  <c r="L220" i="23"/>
  <c r="L221" i="23"/>
  <c r="L222" i="23"/>
  <c r="L223" i="23"/>
  <c r="L9" i="23"/>
  <c r="K8" i="23"/>
  <c r="O17" i="12" l="1"/>
  <c r="O18" i="12"/>
  <c r="O19" i="12"/>
  <c r="O20" i="12"/>
  <c r="O21" i="12"/>
  <c r="O22" i="12"/>
  <c r="O23" i="12"/>
  <c r="O24" i="12"/>
  <c r="O25" i="12"/>
  <c r="O26" i="12"/>
  <c r="O27" i="12"/>
  <c r="O28" i="12"/>
  <c r="O29" i="12"/>
  <c r="O30" i="12"/>
  <c r="O31" i="12"/>
  <c r="O32" i="12"/>
  <c r="O33" i="12"/>
  <c r="O34" i="12"/>
  <c r="O35" i="12"/>
  <c r="O36" i="12"/>
  <c r="O37" i="12"/>
  <c r="O38" i="12"/>
  <c r="O39" i="12"/>
  <c r="O16" i="12"/>
  <c r="O10" i="11"/>
  <c r="O11" i="11"/>
  <c r="O12" i="11"/>
  <c r="O13" i="11"/>
  <c r="O14" i="11"/>
  <c r="O15" i="11"/>
  <c r="O16" i="11"/>
  <c r="O17" i="11"/>
  <c r="O18" i="11"/>
  <c r="O19" i="11"/>
  <c r="O20" i="11"/>
  <c r="O21" i="11"/>
  <c r="O22" i="11"/>
  <c r="O23" i="11"/>
  <c r="O24" i="11"/>
  <c r="O25" i="11"/>
  <c r="O26" i="11"/>
  <c r="O9" i="11"/>
  <c r="O10" i="9"/>
  <c r="O11" i="9"/>
  <c r="O12" i="9"/>
  <c r="O13" i="9"/>
  <c r="O14" i="9"/>
  <c r="O15" i="9"/>
  <c r="O16" i="9"/>
  <c r="O17" i="9"/>
  <c r="O18" i="9"/>
  <c r="O19" i="9"/>
  <c r="O20" i="9"/>
  <c r="O21" i="9"/>
  <c r="O22" i="9"/>
  <c r="O23" i="9"/>
  <c r="O9" i="9"/>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9" i="10"/>
  <c r="O10" i="7"/>
  <c r="O11" i="7"/>
  <c r="O12" i="7"/>
  <c r="O13" i="7"/>
  <c r="O14" i="7"/>
  <c r="O15" i="7"/>
  <c r="O16" i="7"/>
  <c r="O17" i="7"/>
  <c r="O9" i="7"/>
  <c r="O8" i="7"/>
  <c r="N10" i="17"/>
  <c r="N9" i="17"/>
  <c r="N8" i="17"/>
  <c r="N7" i="15"/>
  <c r="N9" i="19"/>
  <c r="N8" i="19"/>
  <c r="N7" i="19"/>
  <c r="K7" i="19"/>
  <c r="N10" i="20"/>
  <c r="N11" i="20"/>
  <c r="N12" i="20"/>
  <c r="N13" i="20"/>
  <c r="N14" i="20"/>
  <c r="N15" i="20"/>
  <c r="N16" i="20"/>
  <c r="N17" i="20"/>
  <c r="N9" i="20"/>
  <c r="N8" i="20"/>
  <c r="N7" i="20"/>
  <c r="N10" i="19"/>
  <c r="N11" i="19"/>
  <c r="N12" i="19"/>
  <c r="N13" i="19"/>
  <c r="N14" i="19"/>
  <c r="N15" i="19"/>
  <c r="N16" i="19"/>
  <c r="N17" i="19"/>
  <c r="N18" i="19"/>
  <c r="N19" i="19"/>
  <c r="N20" i="19"/>
  <c r="N21" i="19"/>
  <c r="N22" i="19"/>
  <c r="N23" i="19"/>
  <c r="N24" i="19"/>
  <c r="N25" i="19"/>
  <c r="N26" i="19"/>
  <c r="N27" i="19"/>
  <c r="N28" i="19"/>
  <c r="N29" i="19"/>
  <c r="N30" i="19"/>
  <c r="N31" i="19"/>
  <c r="N32" i="19"/>
  <c r="N33" i="19"/>
  <c r="N34" i="19"/>
  <c r="N35" i="19"/>
  <c r="N36" i="19"/>
  <c r="N37" i="19"/>
  <c r="N38" i="19"/>
  <c r="N39" i="19"/>
  <c r="N40" i="19"/>
  <c r="N41" i="19"/>
  <c r="N42" i="19"/>
  <c r="N43" i="19"/>
  <c r="N44" i="19"/>
  <c r="N45" i="19"/>
  <c r="N46" i="19"/>
  <c r="N47" i="19"/>
  <c r="N48" i="19"/>
  <c r="N49" i="19"/>
  <c r="N50" i="19"/>
  <c r="N51" i="19"/>
  <c r="N52" i="19"/>
  <c r="N53" i="19"/>
  <c r="N54" i="19"/>
  <c r="N55" i="19"/>
  <c r="N56" i="19"/>
  <c r="N57" i="19"/>
  <c r="N58" i="19"/>
  <c r="N59" i="19"/>
  <c r="N60" i="19"/>
  <c r="N61" i="19"/>
  <c r="N62" i="19"/>
  <c r="N63" i="19"/>
  <c r="N64" i="19"/>
  <c r="N65" i="19"/>
  <c r="N66" i="19"/>
  <c r="N67" i="19"/>
  <c r="N68" i="19"/>
  <c r="N69" i="19"/>
  <c r="N70" i="19"/>
  <c r="N71" i="19"/>
  <c r="N72" i="19"/>
  <c r="N73" i="19"/>
  <c r="N74" i="19"/>
  <c r="N75" i="19"/>
  <c r="N76" i="19"/>
  <c r="N77" i="19"/>
  <c r="N78" i="19"/>
  <c r="N79" i="19"/>
  <c r="N80" i="19"/>
  <c r="N81" i="19"/>
  <c r="N82" i="19"/>
  <c r="N83" i="19"/>
  <c r="N84" i="19"/>
  <c r="N85" i="19"/>
  <c r="N86" i="19"/>
  <c r="N87" i="19"/>
  <c r="N88" i="19"/>
  <c r="N89" i="19"/>
  <c r="N90" i="19"/>
  <c r="N91" i="19"/>
  <c r="N92" i="19"/>
  <c r="N93" i="19"/>
  <c r="N94" i="19"/>
  <c r="N95" i="19"/>
  <c r="N96" i="19"/>
  <c r="N97" i="19"/>
  <c r="N98" i="19"/>
  <c r="N99" i="19"/>
  <c r="N100" i="19"/>
  <c r="N101" i="19"/>
  <c r="N102" i="19"/>
  <c r="N103" i="19"/>
  <c r="N104" i="19"/>
  <c r="N105" i="19"/>
  <c r="N106" i="19"/>
  <c r="N10" i="18"/>
  <c r="N11" i="18"/>
  <c r="N12" i="18"/>
  <c r="N13" i="18"/>
  <c r="N14" i="18"/>
  <c r="N15" i="18"/>
  <c r="N16" i="18"/>
  <c r="N17" i="18"/>
  <c r="N18" i="18"/>
  <c r="N19" i="18"/>
  <c r="N20" i="18"/>
  <c r="N21" i="18"/>
  <c r="N22" i="18"/>
  <c r="N23" i="18"/>
  <c r="N24" i="18"/>
  <c r="N25" i="18"/>
  <c r="N26" i="18"/>
  <c r="N27" i="18"/>
  <c r="N28" i="18"/>
  <c r="N29" i="18"/>
  <c r="N30" i="18"/>
  <c r="N31" i="18"/>
  <c r="N32" i="18"/>
  <c r="N33" i="18"/>
  <c r="N34" i="18"/>
  <c r="N35" i="18"/>
  <c r="N9" i="18"/>
  <c r="N8" i="18"/>
  <c r="N7" i="18"/>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10" i="16"/>
  <c r="N11" i="16"/>
  <c r="N12" i="16"/>
  <c r="N13" i="16"/>
  <c r="N14" i="16"/>
  <c r="N15" i="16"/>
  <c r="N16" i="16"/>
  <c r="N17" i="16"/>
  <c r="N18" i="16"/>
  <c r="N19" i="16"/>
  <c r="N20" i="16"/>
  <c r="N21" i="16"/>
  <c r="N22" i="16"/>
  <c r="N23" i="16"/>
  <c r="N24" i="16"/>
  <c r="N25" i="16"/>
  <c r="N26" i="16"/>
  <c r="N27" i="16"/>
  <c r="N28" i="16"/>
  <c r="N29" i="16"/>
  <c r="N30" i="16"/>
  <c r="N31" i="16"/>
  <c r="N32" i="16"/>
  <c r="N33" i="16"/>
  <c r="N34" i="16"/>
  <c r="N35" i="16"/>
  <c r="N9" i="16"/>
  <c r="N8" i="16"/>
  <c r="N7" i="16"/>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8" i="15"/>
  <c r="N9" i="15"/>
  <c r="N10" i="14"/>
  <c r="N11" i="14"/>
  <c r="N12" i="14"/>
  <c r="N13" i="14"/>
  <c r="N14" i="14"/>
  <c r="N9" i="14"/>
  <c r="N8" i="14"/>
  <c r="N7" i="14"/>
  <c r="N10" i="13"/>
  <c r="N11" i="13"/>
  <c r="N12" i="13"/>
  <c r="N13" i="13"/>
  <c r="N14" i="13"/>
  <c r="N15" i="13"/>
  <c r="N16" i="13"/>
  <c r="N17" i="13"/>
  <c r="N18" i="13"/>
  <c r="N19" i="13"/>
  <c r="N20" i="13"/>
  <c r="N21" i="13"/>
  <c r="N22" i="13"/>
  <c r="N23" i="13"/>
  <c r="N24" i="13"/>
  <c r="N25" i="13"/>
  <c r="N26" i="13"/>
  <c r="N27" i="13"/>
  <c r="N28" i="13"/>
  <c r="N29" i="13"/>
  <c r="N30" i="13"/>
  <c r="N31" i="13"/>
  <c r="N32" i="13"/>
  <c r="N33" i="13"/>
  <c r="N34" i="13"/>
  <c r="N35" i="13"/>
  <c r="N36" i="13"/>
  <c r="N37" i="13"/>
  <c r="N38" i="13"/>
  <c r="N39" i="13"/>
  <c r="N40" i="13"/>
  <c r="N41" i="13"/>
  <c r="N42" i="13"/>
  <c r="N43" i="13"/>
  <c r="N44" i="13"/>
  <c r="N45" i="13"/>
  <c r="N46" i="13"/>
  <c r="N47" i="13"/>
  <c r="N48" i="13"/>
  <c r="N49" i="13"/>
  <c r="N50" i="13"/>
  <c r="N51" i="13"/>
  <c r="N52" i="13"/>
  <c r="N53" i="13"/>
  <c r="N54" i="13"/>
  <c r="N55" i="13"/>
  <c r="N56" i="13"/>
  <c r="N57" i="13"/>
  <c r="N58" i="13"/>
  <c r="N59" i="13"/>
  <c r="N60" i="13"/>
  <c r="N61" i="13"/>
  <c r="N62" i="13"/>
  <c r="N63" i="13"/>
  <c r="N64" i="13"/>
  <c r="N65" i="13"/>
  <c r="N66" i="13"/>
  <c r="N67" i="13"/>
  <c r="N68" i="13"/>
  <c r="N69" i="13"/>
  <c r="N70" i="13"/>
  <c r="N71" i="13"/>
  <c r="N72" i="13"/>
  <c r="N73" i="13"/>
  <c r="N74" i="13"/>
  <c r="N75" i="13"/>
  <c r="N76" i="13"/>
  <c r="N77" i="13"/>
  <c r="N78" i="13"/>
  <c r="N79" i="13"/>
  <c r="N80" i="13"/>
  <c r="N81" i="13"/>
  <c r="N82" i="13"/>
  <c r="N83" i="13"/>
  <c r="N84" i="13"/>
  <c r="N85" i="13"/>
  <c r="N86" i="13"/>
  <c r="N87" i="13"/>
  <c r="N88" i="13"/>
  <c r="N89" i="13"/>
  <c r="N90" i="13"/>
  <c r="N91" i="13"/>
  <c r="N92" i="13"/>
  <c r="N93" i="13"/>
  <c r="N94" i="13"/>
  <c r="N95" i="13"/>
  <c r="N96" i="13"/>
  <c r="N97" i="13"/>
  <c r="N98" i="13"/>
  <c r="N99" i="13"/>
  <c r="N100" i="13"/>
  <c r="N101" i="13"/>
  <c r="N102" i="13"/>
  <c r="N103" i="13"/>
  <c r="N104" i="13"/>
  <c r="N105" i="13"/>
  <c r="N106" i="13"/>
  <c r="N107" i="13"/>
  <c r="N108" i="13"/>
  <c r="N109" i="13"/>
  <c r="N110" i="13"/>
  <c r="N111" i="13"/>
  <c r="N112" i="13"/>
  <c r="N113" i="13"/>
  <c r="N114" i="13"/>
  <c r="N115" i="13"/>
  <c r="N116" i="13"/>
  <c r="N117" i="13"/>
  <c r="N118" i="13"/>
  <c r="N119" i="13"/>
  <c r="N120" i="13"/>
  <c r="N121" i="13"/>
  <c r="N122" i="13"/>
  <c r="N123" i="13"/>
  <c r="N124" i="13"/>
  <c r="N125" i="13"/>
  <c r="N126" i="13"/>
  <c r="N127" i="13"/>
  <c r="N128" i="13"/>
  <c r="N129" i="13"/>
  <c r="N130" i="13"/>
  <c r="N131" i="13"/>
  <c r="N132" i="13"/>
  <c r="N133" i="13"/>
  <c r="N134" i="13"/>
  <c r="N135" i="13"/>
  <c r="N136" i="13"/>
  <c r="N137" i="13"/>
  <c r="N138" i="13"/>
  <c r="N139" i="13"/>
  <c r="N140" i="13"/>
  <c r="N141" i="13"/>
  <c r="N142" i="13"/>
  <c r="N143" i="13"/>
  <c r="N144" i="13"/>
  <c r="N145" i="13"/>
  <c r="N146" i="13"/>
  <c r="N147" i="13"/>
  <c r="N148" i="13"/>
  <c r="N149" i="13"/>
  <c r="N150" i="13"/>
  <c r="N151" i="13"/>
  <c r="N152" i="13"/>
  <c r="N153" i="13"/>
  <c r="N154" i="13"/>
  <c r="N155" i="13"/>
  <c r="N156" i="13"/>
  <c r="N157" i="13"/>
  <c r="N158" i="13"/>
  <c r="N159" i="13"/>
  <c r="N160" i="13"/>
  <c r="N161" i="13"/>
  <c r="N162" i="13"/>
  <c r="N163" i="13"/>
  <c r="N164" i="13"/>
  <c r="N165" i="13"/>
  <c r="N166" i="13"/>
  <c r="N167" i="13"/>
  <c r="N168" i="13"/>
  <c r="N169" i="13"/>
  <c r="N170" i="13"/>
  <c r="N171" i="13"/>
  <c r="N172" i="13"/>
  <c r="N173" i="13"/>
  <c r="N174" i="13"/>
  <c r="N175" i="13"/>
  <c r="N176" i="13"/>
  <c r="N177" i="13"/>
  <c r="N178" i="13"/>
  <c r="N179" i="13"/>
  <c r="N180" i="13"/>
  <c r="N181" i="13"/>
  <c r="N182" i="13"/>
  <c r="N183" i="13"/>
  <c r="N184" i="13"/>
  <c r="N185" i="13"/>
  <c r="N186" i="13"/>
  <c r="N187" i="13"/>
  <c r="N9" i="13"/>
  <c r="N8" i="13"/>
  <c r="N7" i="13"/>
  <c r="O14" i="12"/>
  <c r="O15" i="12"/>
  <c r="O8" i="11"/>
  <c r="O7" i="11"/>
  <c r="O8" i="10"/>
  <c r="O7" i="10"/>
  <c r="O8" i="9"/>
  <c r="O7" i="9"/>
  <c r="O7" i="7"/>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9" i="8"/>
  <c r="N8" i="8"/>
  <c r="N7" i="8"/>
  <c r="N10" i="2"/>
  <c r="N9" i="2"/>
  <c r="N8" i="2"/>
  <c r="N7" i="2"/>
  <c r="N9" i="6"/>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7" i="5"/>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9" i="4"/>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9" i="3"/>
  <c r="N8" i="3"/>
  <c r="N7" i="3"/>
  <c r="N8" i="4"/>
  <c r="N7" i="4"/>
  <c r="N6" i="5"/>
  <c r="N5" i="5"/>
  <c r="N7" i="6"/>
  <c r="N8" i="6"/>
  <c r="N10" i="6"/>
  <c r="N11" i="6"/>
  <c r="N12" i="6"/>
  <c r="N13" i="6"/>
  <c r="N14" i="6"/>
  <c r="N15" i="6"/>
  <c r="N16" i="6"/>
  <c r="N17" i="6"/>
  <c r="N18" i="6"/>
  <c r="N19" i="6"/>
  <c r="N20" i="6"/>
  <c r="N21" i="6"/>
  <c r="N22" i="6"/>
  <c r="N23" i="6"/>
  <c r="N24" i="6"/>
  <c r="N25" i="6"/>
  <c r="N26" i="6"/>
  <c r="N27" i="6"/>
  <c r="N28" i="6"/>
  <c r="N29" i="6"/>
  <c r="N30" i="6"/>
  <c r="K36" i="18"/>
  <c r="K107" i="19"/>
  <c r="L40" i="12"/>
  <c r="L88" i="2"/>
  <c r="L10" i="6"/>
  <c r="L11" i="6"/>
  <c r="L12" i="6"/>
  <c r="L13" i="6"/>
  <c r="L14" i="6"/>
  <c r="L15" i="6"/>
  <c r="L16" i="6"/>
  <c r="L17" i="6"/>
  <c r="L18" i="6"/>
  <c r="L19" i="6"/>
  <c r="L20" i="6"/>
  <c r="L21" i="6"/>
  <c r="L22" i="6"/>
  <c r="L23" i="6"/>
  <c r="L24" i="6"/>
  <c r="L25" i="6"/>
  <c r="L26" i="6"/>
  <c r="L27" i="6"/>
  <c r="L28" i="6"/>
  <c r="L29" i="6"/>
  <c r="L30" i="6"/>
  <c r="L9" i="6"/>
  <c r="K89" i="2"/>
  <c r="K6" i="2"/>
  <c r="K225" i="4"/>
  <c r="K7" i="4"/>
  <c r="K6" i="4"/>
  <c r="K511" i="5"/>
  <c r="K31" i="6"/>
  <c r="K7" i="6"/>
  <c r="K6" i="6"/>
  <c r="K7" i="20"/>
  <c r="K6" i="20"/>
  <c r="L10" i="20"/>
  <c r="L11" i="20"/>
  <c r="L12" i="20"/>
  <c r="L13" i="20"/>
  <c r="L14" i="20"/>
  <c r="L15" i="20"/>
  <c r="L16" i="20"/>
  <c r="L17" i="20"/>
  <c r="L9" i="20"/>
  <c r="K18" i="20"/>
  <c r="L10" i="19"/>
  <c r="L11" i="19"/>
  <c r="L12" i="19"/>
  <c r="L13" i="19"/>
  <c r="L14" i="19"/>
  <c r="L15" i="19"/>
  <c r="L16" i="19"/>
  <c r="L17" i="19"/>
  <c r="L18" i="19"/>
  <c r="L19" i="19"/>
  <c r="L20" i="19"/>
  <c r="L21" i="19"/>
  <c r="L22" i="19"/>
  <c r="L23" i="19"/>
  <c r="L24" i="19"/>
  <c r="L25" i="19"/>
  <c r="L26" i="19"/>
  <c r="L27" i="19"/>
  <c r="L28" i="19"/>
  <c r="L29" i="19"/>
  <c r="L30" i="19"/>
  <c r="L31" i="19"/>
  <c r="L32" i="19"/>
  <c r="L33" i="19"/>
  <c r="L34" i="19"/>
  <c r="L35" i="19"/>
  <c r="L36" i="19"/>
  <c r="L37" i="19"/>
  <c r="L38" i="19"/>
  <c r="L39" i="19"/>
  <c r="L40" i="19"/>
  <c r="L41" i="19"/>
  <c r="L42" i="19"/>
  <c r="L43" i="19"/>
  <c r="L44" i="19"/>
  <c r="L45" i="19"/>
  <c r="L46" i="19"/>
  <c r="L47" i="19"/>
  <c r="L48" i="19"/>
  <c r="L49" i="19"/>
  <c r="L50" i="19"/>
  <c r="L51" i="19"/>
  <c r="L52" i="19"/>
  <c r="L53" i="19"/>
  <c r="L54" i="19"/>
  <c r="L55" i="19"/>
  <c r="L56" i="19"/>
  <c r="L57" i="19"/>
  <c r="L58" i="19"/>
  <c r="L59" i="19"/>
  <c r="L60" i="19"/>
  <c r="L61" i="19"/>
  <c r="L62" i="19"/>
  <c r="L63" i="19"/>
  <c r="L64" i="19"/>
  <c r="L65" i="19"/>
  <c r="L66" i="19"/>
  <c r="L67" i="19"/>
  <c r="L68" i="19"/>
  <c r="L69" i="19"/>
  <c r="L70" i="19"/>
  <c r="L71" i="19"/>
  <c r="L72" i="19"/>
  <c r="L73" i="19"/>
  <c r="L74" i="19"/>
  <c r="L75" i="19"/>
  <c r="L76" i="19"/>
  <c r="L77" i="19"/>
  <c r="L78" i="19"/>
  <c r="L79" i="19"/>
  <c r="L80" i="19"/>
  <c r="L81" i="19"/>
  <c r="L82" i="19"/>
  <c r="L83" i="19"/>
  <c r="L84" i="19"/>
  <c r="L85" i="19"/>
  <c r="L86" i="19"/>
  <c r="L87" i="19"/>
  <c r="L88" i="19"/>
  <c r="L89" i="19"/>
  <c r="L90" i="19"/>
  <c r="L91" i="19"/>
  <c r="L92" i="19"/>
  <c r="L93" i="19"/>
  <c r="L94" i="19"/>
  <c r="L95" i="19"/>
  <c r="L96" i="19"/>
  <c r="L97" i="19"/>
  <c r="L98" i="19"/>
  <c r="L99" i="19"/>
  <c r="L100" i="19"/>
  <c r="L101" i="19"/>
  <c r="L102" i="19"/>
  <c r="L103" i="19"/>
  <c r="L104" i="19"/>
  <c r="L105" i="19"/>
  <c r="L106" i="19"/>
  <c r="L9" i="19"/>
  <c r="K6" i="19"/>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9" i="18"/>
  <c r="K7" i="18"/>
  <c r="K6" i="18"/>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10" i="17"/>
  <c r="K221" i="17"/>
  <c r="K8" i="17"/>
  <c r="K7" i="17"/>
  <c r="L10" i="16"/>
  <c r="L11" i="16"/>
  <c r="L12" i="16"/>
  <c r="L13" i="16"/>
  <c r="L14" i="16"/>
  <c r="L15" i="16"/>
  <c r="L16" i="16"/>
  <c r="L17" i="16"/>
  <c r="L18" i="16"/>
  <c r="L19" i="16"/>
  <c r="L20" i="16"/>
  <c r="L21" i="16"/>
  <c r="L22" i="16"/>
  <c r="L23" i="16"/>
  <c r="L24" i="16"/>
  <c r="L25" i="16"/>
  <c r="L26" i="16"/>
  <c r="L27" i="16"/>
  <c r="L28" i="16"/>
  <c r="L29" i="16"/>
  <c r="L30" i="16"/>
  <c r="L31" i="16"/>
  <c r="L32" i="16"/>
  <c r="L33" i="16"/>
  <c r="L34" i="16"/>
  <c r="L35" i="16"/>
  <c r="L9" i="16"/>
  <c r="K36" i="16"/>
  <c r="K7" i="16"/>
  <c r="K6" i="16"/>
  <c r="L10" i="15"/>
  <c r="L11" i="15"/>
  <c r="L12" i="15"/>
  <c r="L13" i="15"/>
  <c r="L14" i="15"/>
  <c r="L15" i="15"/>
  <c r="L16" i="15"/>
  <c r="L17" i="15"/>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9" i="15"/>
  <c r="K107" i="15"/>
  <c r="K7" i="15"/>
  <c r="K6" i="15"/>
  <c r="L10" i="14"/>
  <c r="L11" i="14"/>
  <c r="L12" i="14"/>
  <c r="L13" i="14"/>
  <c r="L14" i="14"/>
  <c r="L15" i="14"/>
  <c r="L16" i="14"/>
  <c r="L17" i="14"/>
  <c r="L9" i="14"/>
  <c r="K18" i="14"/>
  <c r="K7" i="14"/>
  <c r="K6" i="14"/>
  <c r="K7" i="13"/>
  <c r="K6" i="13"/>
  <c r="L10" i="13"/>
  <c r="L11" i="13"/>
  <c r="L12" i="13"/>
  <c r="L13" i="13"/>
  <c r="L14" i="13"/>
  <c r="L15" i="13"/>
  <c r="L16" i="13"/>
  <c r="L17" i="13"/>
  <c r="L18" i="13"/>
  <c r="L19" i="13"/>
  <c r="L20" i="13"/>
  <c r="L21" i="13"/>
  <c r="L22" i="13"/>
  <c r="L23" i="13"/>
  <c r="L24" i="13"/>
  <c r="L25" i="13"/>
  <c r="L26" i="13"/>
  <c r="L27" i="13"/>
  <c r="L28" i="13"/>
  <c r="L29" i="13"/>
  <c r="L30" i="13"/>
  <c r="L31" i="13"/>
  <c r="L32" i="13"/>
  <c r="L33" i="13"/>
  <c r="L34" i="13"/>
  <c r="L35" i="13"/>
  <c r="L36" i="13"/>
  <c r="L37" i="13"/>
  <c r="L38" i="13"/>
  <c r="L39" i="13"/>
  <c r="L40" i="13"/>
  <c r="L41" i="13"/>
  <c r="L42" i="13"/>
  <c r="L43" i="13"/>
  <c r="L44" i="13"/>
  <c r="L45" i="13"/>
  <c r="L46" i="13"/>
  <c r="L47" i="13"/>
  <c r="L48" i="13"/>
  <c r="L49" i="13"/>
  <c r="L50" i="13"/>
  <c r="L51" i="13"/>
  <c r="L52" i="13"/>
  <c r="L53" i="13"/>
  <c r="L54" i="13"/>
  <c r="L55" i="13"/>
  <c r="L56" i="13"/>
  <c r="L57" i="13"/>
  <c r="L58" i="13"/>
  <c r="L59" i="13"/>
  <c r="L60" i="13"/>
  <c r="L61" i="13"/>
  <c r="L62" i="13"/>
  <c r="L63" i="13"/>
  <c r="L64" i="13"/>
  <c r="L65" i="13"/>
  <c r="L66" i="13"/>
  <c r="L67" i="13"/>
  <c r="L68" i="13"/>
  <c r="L69" i="13"/>
  <c r="L70" i="13"/>
  <c r="L71" i="13"/>
  <c r="L72" i="13"/>
  <c r="L73" i="13"/>
  <c r="L74" i="13"/>
  <c r="L75" i="13"/>
  <c r="L76" i="13"/>
  <c r="L77" i="13"/>
  <c r="L78" i="13"/>
  <c r="L79" i="13"/>
  <c r="L80" i="13"/>
  <c r="L81" i="13"/>
  <c r="L82" i="13"/>
  <c r="L83" i="13"/>
  <c r="L84" i="13"/>
  <c r="L85" i="13"/>
  <c r="L86" i="13"/>
  <c r="L87" i="13"/>
  <c r="L88" i="13"/>
  <c r="L89" i="13"/>
  <c r="L90" i="13"/>
  <c r="L91" i="13"/>
  <c r="L92" i="13"/>
  <c r="L93" i="13"/>
  <c r="L94" i="13"/>
  <c r="L95" i="13"/>
  <c r="L96" i="13"/>
  <c r="L97" i="13"/>
  <c r="L98" i="13"/>
  <c r="L99" i="13"/>
  <c r="L100" i="13"/>
  <c r="L101" i="13"/>
  <c r="L102" i="13"/>
  <c r="L103" i="13"/>
  <c r="L104" i="13"/>
  <c r="L105" i="13"/>
  <c r="L106" i="13"/>
  <c r="L107" i="13"/>
  <c r="L108" i="13"/>
  <c r="L109" i="13"/>
  <c r="L110" i="13"/>
  <c r="L111" i="13"/>
  <c r="L112" i="13"/>
  <c r="L113" i="13"/>
  <c r="L114" i="13"/>
  <c r="L115" i="13"/>
  <c r="L116" i="13"/>
  <c r="L117" i="13"/>
  <c r="L118" i="13"/>
  <c r="L119" i="13"/>
  <c r="L120" i="13"/>
  <c r="L121" i="13"/>
  <c r="L122" i="13"/>
  <c r="L123" i="13"/>
  <c r="L124" i="13"/>
  <c r="L125" i="13"/>
  <c r="L126" i="13"/>
  <c r="L127" i="13"/>
  <c r="L128" i="13"/>
  <c r="L129" i="13"/>
  <c r="L130" i="13"/>
  <c r="L131" i="13"/>
  <c r="L132" i="13"/>
  <c r="L133" i="13"/>
  <c r="L134" i="13"/>
  <c r="L135" i="13"/>
  <c r="L136" i="13"/>
  <c r="L137" i="13"/>
  <c r="L138" i="13"/>
  <c r="L139" i="13"/>
  <c r="L140" i="13"/>
  <c r="L141" i="13"/>
  <c r="L142" i="13"/>
  <c r="L143" i="13"/>
  <c r="L144" i="13"/>
  <c r="L145" i="13"/>
  <c r="L146" i="13"/>
  <c r="L147" i="13"/>
  <c r="L148" i="13"/>
  <c r="L149" i="13"/>
  <c r="L150" i="13"/>
  <c r="L151" i="13"/>
  <c r="L152" i="13"/>
  <c r="L153" i="13"/>
  <c r="L154" i="13"/>
  <c r="L155" i="13"/>
  <c r="L156" i="13"/>
  <c r="L157" i="13"/>
  <c r="L158" i="13"/>
  <c r="L159" i="13"/>
  <c r="L160" i="13"/>
  <c r="L161" i="13"/>
  <c r="L162" i="13"/>
  <c r="L163" i="13"/>
  <c r="L164" i="13"/>
  <c r="L165" i="13"/>
  <c r="L166" i="13"/>
  <c r="L167" i="13"/>
  <c r="L168" i="13"/>
  <c r="L169" i="13"/>
  <c r="L170" i="13"/>
  <c r="L171" i="13"/>
  <c r="L172" i="13"/>
  <c r="L173" i="13"/>
  <c r="L174" i="13"/>
  <c r="L175" i="13"/>
  <c r="L176" i="13"/>
  <c r="L177" i="13"/>
  <c r="L178" i="13"/>
  <c r="L179" i="13"/>
  <c r="L180" i="13"/>
  <c r="L181" i="13"/>
  <c r="L182" i="13"/>
  <c r="L183" i="13"/>
  <c r="L184" i="13"/>
  <c r="L185" i="13"/>
  <c r="L186" i="13"/>
  <c r="L187" i="13"/>
  <c r="L9" i="13"/>
  <c r="K188" i="13"/>
  <c r="L17" i="12"/>
  <c r="L18" i="12"/>
  <c r="L19" i="12"/>
  <c r="L20" i="12"/>
  <c r="L21" i="12"/>
  <c r="L22" i="12"/>
  <c r="L23" i="12"/>
  <c r="L24" i="12"/>
  <c r="L25" i="12"/>
  <c r="L26" i="12"/>
  <c r="L27" i="12"/>
  <c r="L28" i="12"/>
  <c r="L29" i="12"/>
  <c r="L30" i="12"/>
  <c r="L31" i="12"/>
  <c r="L32" i="12"/>
  <c r="L33" i="12"/>
  <c r="L34" i="12"/>
  <c r="L35" i="12"/>
  <c r="L36" i="12"/>
  <c r="L37" i="12"/>
  <c r="L38" i="12"/>
  <c r="L39" i="12"/>
  <c r="L16" i="12"/>
  <c r="M39" i="12"/>
  <c r="M17" i="12"/>
  <c r="M18" i="12"/>
  <c r="M19" i="12"/>
  <c r="M20" i="12"/>
  <c r="M21" i="12"/>
  <c r="M22" i="12"/>
  <c r="M23" i="12"/>
  <c r="M24" i="12"/>
  <c r="M25" i="12"/>
  <c r="M26" i="12"/>
  <c r="M27" i="12"/>
  <c r="M28" i="12"/>
  <c r="M29" i="12"/>
  <c r="M30" i="12"/>
  <c r="M31" i="12"/>
  <c r="M32" i="12"/>
  <c r="M33" i="12"/>
  <c r="M34" i="12"/>
  <c r="M35" i="12"/>
  <c r="M36" i="12"/>
  <c r="M37" i="12"/>
  <c r="M38" i="12"/>
  <c r="M16" i="12"/>
  <c r="L14" i="12"/>
  <c r="L13" i="12"/>
  <c r="L10" i="11"/>
  <c r="L11" i="11"/>
  <c r="L12" i="11"/>
  <c r="L13" i="11"/>
  <c r="L14" i="11"/>
  <c r="L15" i="11"/>
  <c r="L16" i="11"/>
  <c r="L17" i="11"/>
  <c r="L18" i="11"/>
  <c r="L19" i="11"/>
  <c r="L20" i="11"/>
  <c r="L21" i="11"/>
  <c r="L22" i="11"/>
  <c r="L23" i="11"/>
  <c r="L24" i="11"/>
  <c r="L25" i="11"/>
  <c r="L26" i="11"/>
  <c r="L9" i="11"/>
  <c r="M10" i="11"/>
  <c r="M11" i="11"/>
  <c r="M12" i="11"/>
  <c r="M13" i="11"/>
  <c r="M14" i="11"/>
  <c r="M15" i="11"/>
  <c r="M16" i="11"/>
  <c r="M17" i="11"/>
  <c r="M18" i="11"/>
  <c r="M19" i="11"/>
  <c r="M20" i="11"/>
  <c r="M21" i="11"/>
  <c r="M22" i="11"/>
  <c r="M23" i="11"/>
  <c r="M24" i="11"/>
  <c r="M25" i="11"/>
  <c r="M26" i="11"/>
  <c r="M9" i="11"/>
  <c r="L27" i="11"/>
  <c r="L7" i="11"/>
  <c r="L6" i="11"/>
  <c r="L7"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9" i="10"/>
  <c r="L53" i="10"/>
  <c r="L6" i="10"/>
  <c r="L10" i="9"/>
  <c r="L11" i="9"/>
  <c r="L12" i="9"/>
  <c r="L13" i="9"/>
  <c r="L14" i="9"/>
  <c r="L15" i="9"/>
  <c r="L16" i="9"/>
  <c r="L17" i="9"/>
  <c r="L18" i="9"/>
  <c r="L19" i="9"/>
  <c r="L20" i="9"/>
  <c r="L21" i="9"/>
  <c r="L22" i="9"/>
  <c r="L23" i="9"/>
  <c r="L9" i="9"/>
  <c r="M10" i="9"/>
  <c r="M11" i="9"/>
  <c r="M12" i="9"/>
  <c r="M13" i="9"/>
  <c r="M14" i="9"/>
  <c r="M15" i="9"/>
  <c r="M16" i="9"/>
  <c r="M17" i="9"/>
  <c r="M18" i="9"/>
  <c r="M19" i="9"/>
  <c r="M20" i="9"/>
  <c r="M21" i="9"/>
  <c r="M22" i="9"/>
  <c r="M23" i="9"/>
  <c r="L24" i="9"/>
  <c r="M9" i="9"/>
  <c r="L7" i="9"/>
  <c r="L6" i="9"/>
  <c r="L18" i="7"/>
  <c r="M10" i="7"/>
  <c r="M11" i="7"/>
  <c r="M12" i="7"/>
  <c r="M13" i="7"/>
  <c r="M14" i="7"/>
  <c r="M15" i="7"/>
  <c r="M16" i="7"/>
  <c r="M17" i="7"/>
  <c r="M9" i="7"/>
  <c r="L7" i="7"/>
  <c r="L6" i="7"/>
  <c r="L9"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10" i="8"/>
  <c r="K51" i="8"/>
  <c r="K6" i="8"/>
  <c r="K7" i="8"/>
  <c r="K42"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9" i="3"/>
  <c r="K7" i="3"/>
  <c r="K6" i="3"/>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9" i="2"/>
  <c r="K7" i="2"/>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9" i="4"/>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7" i="5"/>
  <c r="K5" i="5"/>
  <c r="K4" i="5"/>
  <c r="C7" i="1"/>
  <c r="L7" i="1"/>
  <c r="G20" i="1"/>
  <c r="G19" i="1"/>
  <c r="G18" i="1"/>
  <c r="G17" i="1"/>
  <c r="G16" i="1"/>
  <c r="G15" i="1"/>
  <c r="G14" i="1"/>
  <c r="G13" i="1"/>
  <c r="G12" i="1"/>
  <c r="G11" i="1"/>
  <c r="G10" i="1"/>
  <c r="G9" i="1"/>
  <c r="G8" i="1"/>
  <c r="G7" i="1"/>
  <c r="G6" i="1"/>
  <c r="G5" i="1"/>
  <c r="G4" i="1"/>
  <c r="G3" i="1"/>
  <c r="G2" i="1"/>
  <c r="P20" i="1"/>
  <c r="P19" i="1"/>
  <c r="P18" i="1"/>
  <c r="P16" i="1"/>
  <c r="P15" i="1"/>
  <c r="P14" i="1"/>
  <c r="P13" i="1"/>
  <c r="P12" i="1"/>
  <c r="P11" i="1"/>
  <c r="P10" i="1"/>
  <c r="P9" i="1"/>
  <c r="P8" i="1"/>
  <c r="P7" i="1"/>
  <c r="P6" i="1"/>
  <c r="P5" i="1"/>
  <c r="P4" i="1"/>
  <c r="P3" i="1"/>
  <c r="P2" i="1"/>
  <c r="M20" i="1"/>
  <c r="M19" i="1"/>
  <c r="M18" i="1"/>
  <c r="M17" i="1"/>
  <c r="M16" i="1"/>
  <c r="M15" i="1"/>
  <c r="M14" i="1"/>
  <c r="M13" i="1"/>
  <c r="M12" i="1"/>
  <c r="M11" i="1"/>
  <c r="M10" i="1"/>
  <c r="M9" i="1"/>
  <c r="M8" i="1"/>
  <c r="M7" i="1"/>
  <c r="M6" i="1"/>
  <c r="M5" i="1"/>
  <c r="M4" i="1"/>
  <c r="M3" i="1"/>
  <c r="M2" i="1"/>
  <c r="J20" i="1"/>
  <c r="J19" i="1"/>
  <c r="J18" i="1"/>
  <c r="J17" i="1"/>
  <c r="J16" i="1"/>
  <c r="J15" i="1"/>
  <c r="J14" i="1"/>
  <c r="J13" i="1"/>
  <c r="J12" i="1"/>
  <c r="J11" i="1"/>
  <c r="J10" i="1"/>
  <c r="J9" i="1"/>
  <c r="J8" i="1"/>
  <c r="J7" i="1"/>
  <c r="J6" i="1"/>
  <c r="J5" i="1"/>
  <c r="J4" i="1"/>
  <c r="J3" i="1"/>
  <c r="J2" i="1"/>
  <c r="O20" i="1"/>
  <c r="O19" i="1"/>
  <c r="O18" i="1"/>
  <c r="O16" i="1"/>
  <c r="O15" i="1"/>
  <c r="O14" i="1"/>
  <c r="O13" i="1"/>
  <c r="O12" i="1"/>
  <c r="O11" i="1"/>
  <c r="O10" i="1"/>
  <c r="O9" i="1"/>
  <c r="O8" i="1"/>
  <c r="O7" i="1"/>
  <c r="O6" i="1"/>
  <c r="O5" i="1"/>
  <c r="O4" i="1"/>
  <c r="O3" i="1"/>
  <c r="O2" i="1"/>
  <c r="D20" i="1"/>
  <c r="E20" i="1"/>
  <c r="F20" i="1"/>
  <c r="H20" i="1"/>
  <c r="I20" i="1"/>
  <c r="K20" i="1"/>
  <c r="L20" i="1"/>
  <c r="N20" i="1"/>
  <c r="Q20" i="1"/>
  <c r="C20" i="1"/>
  <c r="D19" i="1"/>
  <c r="E19" i="1"/>
  <c r="F19" i="1"/>
  <c r="H19" i="1"/>
  <c r="I19" i="1"/>
  <c r="K19" i="1"/>
  <c r="L19" i="1"/>
  <c r="N19" i="1"/>
  <c r="Q19" i="1"/>
  <c r="C19" i="1"/>
  <c r="I18" i="1"/>
  <c r="I17" i="1"/>
  <c r="I16" i="1"/>
  <c r="I15" i="1"/>
  <c r="I14" i="1"/>
  <c r="I13" i="1"/>
  <c r="I12" i="1"/>
  <c r="I11" i="1"/>
  <c r="I10" i="1"/>
  <c r="I9" i="1"/>
  <c r="I8" i="1"/>
  <c r="I7" i="1"/>
  <c r="I6" i="1"/>
  <c r="I5" i="1"/>
  <c r="I4" i="1"/>
  <c r="I3" i="1"/>
  <c r="I2" i="1"/>
  <c r="D7" i="1"/>
  <c r="E7" i="1"/>
  <c r="F7" i="1"/>
  <c r="H7" i="1"/>
  <c r="K7" i="1"/>
  <c r="N7" i="1"/>
  <c r="Q7" i="1"/>
  <c r="N6" i="1"/>
  <c r="N5" i="1"/>
  <c r="N4" i="1"/>
  <c r="N3" i="1"/>
  <c r="N2" i="1"/>
  <c r="D17" i="1"/>
  <c r="E17" i="1"/>
  <c r="F17" i="1"/>
  <c r="H17" i="1"/>
  <c r="K17" i="1"/>
  <c r="L17" i="1"/>
  <c r="Q17" i="1"/>
  <c r="C17" i="1"/>
  <c r="D12" i="1"/>
  <c r="E12" i="1"/>
  <c r="F12" i="1"/>
  <c r="H12" i="1"/>
  <c r="K12" i="1"/>
  <c r="L12" i="1"/>
  <c r="N12" i="1"/>
  <c r="Q12" i="1"/>
  <c r="C12" i="1"/>
  <c r="D11" i="1"/>
  <c r="E11" i="1"/>
  <c r="F11" i="1"/>
  <c r="H11" i="1"/>
  <c r="K11" i="1"/>
  <c r="L11" i="1"/>
  <c r="N11" i="1"/>
  <c r="Q11" i="1"/>
  <c r="C11" i="1"/>
  <c r="D10" i="1"/>
  <c r="E10" i="1"/>
  <c r="F10" i="1"/>
  <c r="H10" i="1"/>
  <c r="K10" i="1"/>
  <c r="L10" i="1"/>
  <c r="N10" i="1"/>
  <c r="Q10" i="1"/>
  <c r="C10" i="1"/>
  <c r="D9" i="1"/>
  <c r="E9" i="1"/>
  <c r="F9" i="1"/>
  <c r="H9" i="1"/>
  <c r="K9" i="1"/>
  <c r="L9" i="1"/>
  <c r="N9" i="1"/>
  <c r="Q9" i="1"/>
  <c r="C9" i="1"/>
  <c r="D8" i="1"/>
  <c r="E8" i="1"/>
  <c r="F8" i="1"/>
  <c r="H8" i="1"/>
  <c r="K8" i="1"/>
  <c r="L8" i="1"/>
  <c r="N8" i="1"/>
  <c r="Q8" i="1"/>
  <c r="C8" i="1"/>
  <c r="L18" i="1"/>
  <c r="L16" i="1"/>
  <c r="L15" i="1"/>
  <c r="L14" i="1"/>
  <c r="L13" i="1"/>
  <c r="L6" i="1"/>
  <c r="L5" i="1"/>
  <c r="L4" i="1"/>
  <c r="L3" i="1"/>
  <c r="L2" i="1"/>
  <c r="D18" i="1"/>
  <c r="E18" i="1"/>
  <c r="F18" i="1"/>
  <c r="H18" i="1"/>
  <c r="K18" i="1"/>
  <c r="N18" i="1"/>
  <c r="Q18" i="1"/>
  <c r="C18" i="1"/>
  <c r="D16" i="1"/>
  <c r="E16" i="1"/>
  <c r="F16" i="1"/>
  <c r="H16" i="1"/>
  <c r="K16" i="1"/>
  <c r="N16" i="1"/>
  <c r="Q16" i="1"/>
  <c r="C16" i="1"/>
  <c r="D15" i="1"/>
  <c r="E15" i="1"/>
  <c r="F15" i="1"/>
  <c r="H15" i="1"/>
  <c r="K15" i="1"/>
  <c r="N15" i="1"/>
  <c r="Q15" i="1"/>
  <c r="C15" i="1"/>
  <c r="D14" i="1"/>
  <c r="E14" i="1"/>
  <c r="F14" i="1"/>
  <c r="H14" i="1"/>
  <c r="K14" i="1"/>
  <c r="N14" i="1"/>
  <c r="Q14" i="1"/>
  <c r="C14" i="1"/>
  <c r="D13" i="1"/>
  <c r="E13" i="1"/>
  <c r="F13" i="1"/>
  <c r="H13" i="1"/>
  <c r="K13" i="1"/>
  <c r="N13" i="1"/>
  <c r="Q13" i="1"/>
  <c r="C13" i="1"/>
  <c r="D6" i="1"/>
  <c r="E6" i="1"/>
  <c r="F6" i="1"/>
  <c r="H6" i="1"/>
  <c r="K6" i="1"/>
  <c r="Q6" i="1"/>
  <c r="C6" i="1"/>
  <c r="D5" i="1"/>
  <c r="E5" i="1"/>
  <c r="F5" i="1"/>
  <c r="H5" i="1"/>
  <c r="K5" i="1"/>
  <c r="Q5" i="1"/>
  <c r="C5" i="1"/>
  <c r="D4" i="1"/>
  <c r="E4" i="1"/>
  <c r="F4" i="1"/>
  <c r="H4" i="1"/>
  <c r="K4" i="1"/>
  <c r="Q4" i="1"/>
  <c r="C4" i="1"/>
  <c r="D3" i="1"/>
  <c r="E3" i="1"/>
  <c r="F3" i="1"/>
  <c r="H3" i="1"/>
  <c r="K3" i="1"/>
  <c r="Q3" i="1"/>
  <c r="C3" i="1"/>
  <c r="C2" i="1"/>
  <c r="D2" i="1"/>
  <c r="E2" i="1"/>
  <c r="F2" i="1"/>
  <c r="H2" i="1"/>
  <c r="K2" i="1"/>
  <c r="Q2" i="1"/>
</calcChain>
</file>

<file path=xl/sharedStrings.xml><?xml version="1.0" encoding="utf-8"?>
<sst xmlns="http://schemas.openxmlformats.org/spreadsheetml/2006/main" count="11456" uniqueCount="6935">
  <si>
    <t>サブシス</t>
    <phoneticPr fontId="2"/>
  </si>
  <si>
    <t>テーブル論理名</t>
    <rPh sb="4" eb="7">
      <t>ロンリメイ</t>
    </rPh>
    <phoneticPr fontId="2"/>
  </si>
  <si>
    <t>決裁番号</t>
    <phoneticPr fontId="2"/>
  </si>
  <si>
    <t>オーダ番号</t>
    <phoneticPr fontId="2"/>
  </si>
  <si>
    <t>エントリ番号</t>
  </si>
  <si>
    <t>統一企業コード</t>
    <phoneticPr fontId="2"/>
  </si>
  <si>
    <t>summit統一企業番号</t>
    <phoneticPr fontId="2"/>
  </si>
  <si>
    <t>s#</t>
  </si>
  <si>
    <t>サービスID(S#)</t>
    <phoneticPr fontId="2"/>
  </si>
  <si>
    <t>サービスID</t>
    <phoneticPr fontId="2"/>
  </si>
  <si>
    <t>b#</t>
  </si>
  <si>
    <t>請求グループID(B#)</t>
    <phoneticPr fontId="2"/>
  </si>
  <si>
    <t>請求グループID</t>
    <phoneticPr fontId="2"/>
  </si>
  <si>
    <t>c#</t>
    <phoneticPr fontId="2"/>
  </si>
  <si>
    <t>契約者ID(C#)</t>
    <phoneticPr fontId="2"/>
  </si>
  <si>
    <t>契約者ID</t>
    <phoneticPr fontId="2"/>
  </si>
  <si>
    <t>トランザクション番号</t>
    <phoneticPr fontId="2"/>
  </si>
  <si>
    <t>BFSエントリ</t>
    <phoneticPr fontId="2"/>
  </si>
  <si>
    <t>モバイル_サービスサマリ_付属品</t>
    <phoneticPr fontId="2"/>
  </si>
  <si>
    <t>モバイル_サービスサマリ_端末</t>
    <phoneticPr fontId="2"/>
  </si>
  <si>
    <t>モバイル_エントリ情報</t>
    <phoneticPr fontId="2"/>
  </si>
  <si>
    <t>RMS</t>
    <phoneticPr fontId="2"/>
  </si>
  <si>
    <t>契約基本情報</t>
    <phoneticPr fontId="2"/>
  </si>
  <si>
    <t>契約料金情報</t>
    <phoneticPr fontId="2"/>
  </si>
  <si>
    <t>COP</t>
    <phoneticPr fontId="2"/>
  </si>
  <si>
    <t>支払情報</t>
    <phoneticPr fontId="2"/>
  </si>
  <si>
    <t>契約者リンク履歴</t>
    <phoneticPr fontId="2"/>
  </si>
  <si>
    <t>svcリンク履歴</t>
    <phoneticPr fontId="2"/>
  </si>
  <si>
    <t>販売履歴</t>
    <phoneticPr fontId="2"/>
  </si>
  <si>
    <t>機器割当</t>
    <phoneticPr fontId="2"/>
  </si>
  <si>
    <t>プロダクト</t>
    <phoneticPr fontId="2"/>
  </si>
  <si>
    <t>Mars</t>
    <phoneticPr fontId="2"/>
  </si>
  <si>
    <t>取次店</t>
    <phoneticPr fontId="2"/>
  </si>
  <si>
    <t>キャンペーン</t>
    <phoneticPr fontId="2"/>
  </si>
  <si>
    <t>商品</t>
    <phoneticPr fontId="2"/>
  </si>
  <si>
    <t>SUMMIT</t>
    <phoneticPr fontId="2"/>
  </si>
  <si>
    <t>決裁_料金決裁</t>
    <phoneticPr fontId="2"/>
  </si>
  <si>
    <t>決裁_提案モバイル</t>
    <phoneticPr fontId="2"/>
  </si>
  <si>
    <t>決裁_共通決裁</t>
    <phoneticPr fontId="2"/>
  </si>
  <si>
    <t>決裁_基本_補足</t>
    <phoneticPr fontId="2"/>
  </si>
  <si>
    <t>決裁_関連申請書</t>
    <phoneticPr fontId="2"/>
  </si>
  <si>
    <t>種別</t>
  </si>
  <si>
    <t>DWH公開名</t>
  </si>
  <si>
    <t>旧DWH公開名</t>
  </si>
  <si>
    <t>統合テーブルID</t>
  </si>
  <si>
    <t>スキーマ</t>
  </si>
  <si>
    <t>ビュー</t>
  </si>
  <si>
    <t>b_hjn_bfs_モバイル_サービスサマリ_付属品</t>
  </si>
  <si>
    <t>V004659</t>
  </si>
  <si>
    <t>user_l2_prvl</t>
  </si>
  <si>
    <t>bfs_service_summary_accessories</t>
  </si>
  <si>
    <t>データ概要：</t>
  </si>
  <si>
    <r>
      <t>DROP</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EXISTS</t>
    </r>
    <r>
      <rPr>
        <b/>
        <sz val="10"/>
        <color theme="1"/>
        <rFont val="Consolas"/>
        <family val="3"/>
      </rPr>
      <t xml:space="preserve"> bfs_service_summary_accessories </t>
    </r>
    <r>
      <rPr>
        <b/>
        <sz val="10"/>
        <color rgb="FF0080FF"/>
        <rFont val="Consolas"/>
        <family val="3"/>
      </rPr>
      <t>CASCADE</t>
    </r>
    <r>
      <rPr>
        <b/>
        <sz val="10"/>
        <color rgb="FF808080"/>
        <rFont val="Consolas"/>
        <family val="3"/>
      </rPr>
      <t>;</t>
    </r>
    <r>
      <rPr>
        <b/>
        <sz val="10"/>
        <color theme="1"/>
        <rFont val="Consolas"/>
        <family val="3"/>
      </rPr>
      <t xml:space="preserve"> </t>
    </r>
  </si>
  <si>
    <r>
      <t>CREATE</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NOT</t>
    </r>
    <r>
      <rPr>
        <b/>
        <sz val="10"/>
        <color theme="1"/>
        <rFont val="Consolas"/>
        <family val="3"/>
      </rPr>
      <t xml:space="preserve"> </t>
    </r>
    <r>
      <rPr>
        <b/>
        <sz val="10"/>
        <color rgb="FF0080FF"/>
        <rFont val="Consolas"/>
        <family val="3"/>
      </rPr>
      <t>EXISTS</t>
    </r>
    <r>
      <rPr>
        <b/>
        <sz val="10"/>
        <color theme="1"/>
        <rFont val="Consolas"/>
        <family val="3"/>
      </rPr>
      <t xml:space="preserve"> bfs_service_summary_accessories </t>
    </r>
    <r>
      <rPr>
        <b/>
        <sz val="10"/>
        <color rgb="FF808080"/>
        <rFont val="Consolas"/>
        <family val="3"/>
      </rPr>
      <t>(</t>
    </r>
    <r>
      <rPr>
        <b/>
        <sz val="10"/>
        <color theme="1"/>
        <rFont val="Consolas"/>
        <family val="3"/>
      </rPr>
      <t xml:space="preserve"> </t>
    </r>
  </si>
  <si>
    <t>pk</t>
  </si>
  <si>
    <t>SEQ</t>
  </si>
  <si>
    <t>項目名</t>
  </si>
  <si>
    <t>TYPE</t>
  </si>
  <si>
    <t>桁</t>
  </si>
  <si>
    <t>仮名化</t>
  </si>
  <si>
    <t>項目説明およびリスト値</t>
  </si>
  <si>
    <t>コードリファレンスリンク</t>
  </si>
  <si>
    <t>備考</t>
  </si>
  <si>
    <t>更新日</t>
  </si>
  <si>
    <t>id BIGINT GENERATED BY DEFAULT AS IDENTITY,</t>
    <phoneticPr fontId="2"/>
  </si>
  <si>
    <r>
      <t xml:space="preserve">id BIGINT GENERATED </t>
    </r>
    <r>
      <rPr>
        <b/>
        <sz val="10"/>
        <color rgb="FF0080FF"/>
        <rFont val="Consolas"/>
        <family val="3"/>
      </rPr>
      <t>BY</t>
    </r>
    <r>
      <rPr>
        <b/>
        <sz val="10"/>
        <color theme="1"/>
        <rFont val="Consolas"/>
        <family val="3"/>
      </rPr>
      <t xml:space="preserve"> </t>
    </r>
    <r>
      <rPr>
        <b/>
        <sz val="10"/>
        <color rgb="FF0080FF"/>
        <rFont val="Consolas"/>
        <family val="3"/>
      </rPr>
      <t>DEFAULT</t>
    </r>
    <r>
      <rPr>
        <b/>
        <sz val="10"/>
        <color theme="1"/>
        <rFont val="Consolas"/>
        <family val="3"/>
      </rPr>
      <t xml:space="preserve"> </t>
    </r>
    <r>
      <rPr>
        <b/>
        <sz val="10"/>
        <color rgb="FF0080FF"/>
        <rFont val="Consolas"/>
        <family val="3"/>
      </rPr>
      <t>AS</t>
    </r>
    <r>
      <rPr>
        <b/>
        <sz val="10"/>
        <color theme="1"/>
        <rFont val="Consolas"/>
        <family val="3"/>
      </rPr>
      <t xml:space="preserve"> </t>
    </r>
    <r>
      <rPr>
        <b/>
        <sz val="10"/>
        <color rgb="FF0080FF"/>
        <rFont val="Consolas"/>
        <family val="3"/>
      </rPr>
      <t>IDENTITY</t>
    </r>
    <r>
      <rPr>
        <b/>
        <sz val="10"/>
        <color rgb="FF808080"/>
        <rFont val="Consolas"/>
        <family val="3"/>
      </rPr>
      <t>,</t>
    </r>
    <r>
      <rPr>
        <b/>
        <sz val="10"/>
        <color theme="1"/>
        <rFont val="Consolas"/>
        <family val="3"/>
      </rPr>
      <t xml:space="preserve"> </t>
    </r>
  </si>
  <si>
    <t>VARCHAR</t>
  </si>
  <si>
    <t>－</t>
  </si>
  <si>
    <t>entry_number</t>
  </si>
  <si>
    <r>
      <t xml:space="preserve">entry_number </t>
    </r>
    <r>
      <rPr>
        <b/>
        <sz val="10"/>
        <color rgb="FF0080FF"/>
        <rFont val="Consolas"/>
        <family val="3"/>
      </rPr>
      <t>VARCHAR</t>
    </r>
    <r>
      <rPr>
        <b/>
        <sz val="10"/>
        <color rgb="FF808080"/>
        <rFont val="Consolas"/>
        <family val="3"/>
      </rPr>
      <t>(</t>
    </r>
    <r>
      <rPr>
        <b/>
        <sz val="10"/>
        <color rgb="FFFF2800"/>
        <rFont val="Consolas"/>
        <family val="3"/>
      </rPr>
      <t>54</t>
    </r>
    <r>
      <rPr>
        <b/>
        <sz val="10"/>
        <color rgb="FF808080"/>
        <rFont val="Consolas"/>
        <family val="3"/>
      </rPr>
      <t>),</t>
    </r>
  </si>
  <si>
    <t>サマリ番号</t>
  </si>
  <si>
    <t>summary_number</t>
  </si>
  <si>
    <r>
      <t xml:space="preserve">summary_number </t>
    </r>
    <r>
      <rPr>
        <b/>
        <sz val="10"/>
        <color rgb="FF0080FF"/>
        <rFont val="Consolas"/>
        <family val="3"/>
      </rPr>
      <t>VARCHAR</t>
    </r>
    <r>
      <rPr>
        <b/>
        <sz val="10"/>
        <color rgb="FF808080"/>
        <rFont val="Consolas"/>
        <family val="3"/>
      </rPr>
      <t>(</t>
    </r>
    <r>
      <rPr>
        <b/>
        <sz val="10"/>
        <color rgb="FFFF2800"/>
        <rFont val="Consolas"/>
        <family val="3"/>
      </rPr>
      <t>36</t>
    </r>
    <r>
      <rPr>
        <b/>
        <sz val="10"/>
        <color rgb="FF808080"/>
        <rFont val="Consolas"/>
        <family val="3"/>
      </rPr>
      <t>),</t>
    </r>
  </si>
  <si>
    <t>シリアル付付属品</t>
  </si>
  <si>
    <t>serial_number_accessories</t>
  </si>
  <si>
    <r>
      <t xml:space="preserve">serial_number_accessories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</si>
  <si>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商品コード</t>
  </si>
  <si>
    <t>product_code</t>
  </si>
  <si>
    <r>
      <t xml:space="preserve">product_code </t>
    </r>
    <r>
      <rPr>
        <b/>
        <sz val="10"/>
        <color rgb="FF0080FF"/>
        <rFont val="Consolas"/>
        <family val="3"/>
      </rPr>
      <t>VARCHAR</t>
    </r>
    <r>
      <rPr>
        <b/>
        <sz val="10"/>
        <color rgb="FF808080"/>
        <rFont val="Consolas"/>
        <family val="3"/>
      </rPr>
      <t>(</t>
    </r>
    <r>
      <rPr>
        <b/>
        <sz val="10"/>
        <color rgb="FFFF2800"/>
        <rFont val="Consolas"/>
        <family val="3"/>
      </rPr>
      <t>45</t>
    </r>
    <r>
      <rPr>
        <b/>
        <sz val="10"/>
        <color rgb="FF808080"/>
        <rFont val="Consolas"/>
        <family val="3"/>
      </rPr>
      <t>),</t>
    </r>
  </si>
  <si>
    <t>メーカ</t>
  </si>
  <si>
    <t>manufacturer</t>
  </si>
  <si>
    <r>
      <t xml:space="preserve">manufacturer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</si>
  <si>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商品名</t>
  </si>
  <si>
    <t>product_name</t>
  </si>
  <si>
    <r>
      <t xml:space="preserve">product_name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</si>
  <si>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カラー1</t>
  </si>
  <si>
    <t>color_1</t>
  </si>
  <si>
    <r>
      <t xml:space="preserve">color_1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</si>
  <si>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台数1</t>
  </si>
  <si>
    <t>DECIMAL</t>
  </si>
  <si>
    <t>quantity_1</t>
  </si>
  <si>
    <r>
      <t xml:space="preserve">quantity_1 </t>
    </r>
    <r>
      <rPr>
        <b/>
        <sz val="10"/>
        <color rgb="FF0080FF"/>
        <rFont val="Consolas"/>
        <family val="3"/>
      </rPr>
      <t>DECIMAL</t>
    </r>
    <r>
      <rPr>
        <b/>
        <sz val="10"/>
        <color rgb="FF808080"/>
        <rFont val="Consolas"/>
        <family val="3"/>
      </rPr>
      <t>(</t>
    </r>
    <r>
      <rPr>
        <b/>
        <sz val="10"/>
        <color rgb="FFFF2800"/>
        <rFont val="Consolas"/>
        <family val="3"/>
      </rPr>
      <t>6</t>
    </r>
    <r>
      <rPr>
        <b/>
        <sz val="10"/>
        <color rgb="FF808080"/>
        <rFont val="Consolas"/>
        <family val="3"/>
      </rPr>
      <t>),</t>
    </r>
  </si>
  <si>
    <t>カラー2</t>
  </si>
  <si>
    <t>color_2</t>
  </si>
  <si>
    <r>
      <t xml:space="preserve">color_2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</si>
  <si>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台数2</t>
  </si>
  <si>
    <t>quantity_2</t>
  </si>
  <si>
    <r>
      <t xml:space="preserve">quantity_2 </t>
    </r>
    <r>
      <rPr>
        <b/>
        <sz val="10"/>
        <color rgb="FF0080FF"/>
        <rFont val="Consolas"/>
        <family val="3"/>
      </rPr>
      <t>DECIMAL</t>
    </r>
    <r>
      <rPr>
        <b/>
        <sz val="10"/>
        <color rgb="FF808080"/>
        <rFont val="Consolas"/>
        <family val="3"/>
      </rPr>
      <t>(</t>
    </r>
    <r>
      <rPr>
        <b/>
        <sz val="10"/>
        <color rgb="FFFF2800"/>
        <rFont val="Consolas"/>
        <family val="3"/>
      </rPr>
      <t>6</t>
    </r>
    <r>
      <rPr>
        <b/>
        <sz val="10"/>
        <color rgb="FF808080"/>
        <rFont val="Consolas"/>
        <family val="3"/>
      </rPr>
      <t>),</t>
    </r>
  </si>
  <si>
    <t>カラー3</t>
  </si>
  <si>
    <t>color_3</t>
  </si>
  <si>
    <r>
      <t xml:space="preserve">color_3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</si>
  <si>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台数3</t>
  </si>
  <si>
    <t>quantity_3</t>
  </si>
  <si>
    <r>
      <t xml:space="preserve">quantity_3 </t>
    </r>
    <r>
      <rPr>
        <b/>
        <sz val="10"/>
        <color rgb="FF0080FF"/>
        <rFont val="Consolas"/>
        <family val="3"/>
      </rPr>
      <t>DECIMAL</t>
    </r>
    <r>
      <rPr>
        <b/>
        <sz val="10"/>
        <color rgb="FF808080"/>
        <rFont val="Consolas"/>
        <family val="3"/>
      </rPr>
      <t>(</t>
    </r>
    <r>
      <rPr>
        <b/>
        <sz val="10"/>
        <color rgb="FFFF2800"/>
        <rFont val="Consolas"/>
        <family val="3"/>
      </rPr>
      <t>6</t>
    </r>
    <r>
      <rPr>
        <b/>
        <sz val="10"/>
        <color rgb="FF808080"/>
        <rFont val="Consolas"/>
        <family val="3"/>
      </rPr>
      <t>),</t>
    </r>
  </si>
  <si>
    <t>カラー4</t>
  </si>
  <si>
    <t>color_4</t>
  </si>
  <si>
    <r>
      <t xml:space="preserve">color_4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</si>
  <si>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台数4</t>
  </si>
  <si>
    <t>quantity_4</t>
  </si>
  <si>
    <r>
      <t xml:space="preserve">quantity_4 </t>
    </r>
    <r>
      <rPr>
        <b/>
        <sz val="10"/>
        <color rgb="FF0080FF"/>
        <rFont val="Consolas"/>
        <family val="3"/>
      </rPr>
      <t>DECIMAL</t>
    </r>
    <r>
      <rPr>
        <b/>
        <sz val="10"/>
        <color rgb="FF808080"/>
        <rFont val="Consolas"/>
        <family val="3"/>
      </rPr>
      <t>(</t>
    </r>
    <r>
      <rPr>
        <b/>
        <sz val="10"/>
        <color rgb="FFFF2800"/>
        <rFont val="Consolas"/>
        <family val="3"/>
      </rPr>
      <t>6</t>
    </r>
    <r>
      <rPr>
        <b/>
        <sz val="10"/>
        <color rgb="FF808080"/>
        <rFont val="Consolas"/>
        <family val="3"/>
      </rPr>
      <t>),</t>
    </r>
  </si>
  <si>
    <t>カラー5</t>
  </si>
  <si>
    <t>color_5</t>
  </si>
  <si>
    <r>
      <t xml:space="preserve">color_5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</si>
  <si>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台数5</t>
  </si>
  <si>
    <t>quantity_5</t>
  </si>
  <si>
    <r>
      <t xml:space="preserve">quantity_5 </t>
    </r>
    <r>
      <rPr>
        <b/>
        <sz val="10"/>
        <color rgb="FF0080FF"/>
        <rFont val="Consolas"/>
        <family val="3"/>
      </rPr>
      <t>DECIMAL</t>
    </r>
    <r>
      <rPr>
        <b/>
        <sz val="10"/>
        <color rgb="FF808080"/>
        <rFont val="Consolas"/>
        <family val="3"/>
      </rPr>
      <t>(</t>
    </r>
    <r>
      <rPr>
        <b/>
        <sz val="10"/>
        <color rgb="FFFF2800"/>
        <rFont val="Consolas"/>
        <family val="3"/>
      </rPr>
      <t>6</t>
    </r>
    <r>
      <rPr>
        <b/>
        <sz val="10"/>
        <color rgb="FF808080"/>
        <rFont val="Consolas"/>
        <family val="3"/>
      </rPr>
      <t>),</t>
    </r>
  </si>
  <si>
    <t>付属品標準価格</t>
  </si>
  <si>
    <t>standard_price_of_accessories</t>
  </si>
  <si>
    <r>
      <t xml:space="preserve">standard_price_of_accessories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</si>
  <si>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t>提供代金</t>
  </si>
  <si>
    <t>provision_fee</t>
  </si>
  <si>
    <r>
      <t xml:space="preserve">provision_fee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</si>
  <si>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t>使用ポイント</t>
  </si>
  <si>
    <t>usage_points</t>
  </si>
  <si>
    <r>
      <t xml:space="preserve">usage_points </t>
    </r>
    <r>
      <rPr>
        <b/>
        <sz val="10"/>
        <color rgb="FF0080FF"/>
        <rFont val="Consolas"/>
        <family val="3"/>
      </rPr>
      <t>DECIMAL</t>
    </r>
    <r>
      <rPr>
        <b/>
        <sz val="10"/>
        <color rgb="FF808080"/>
        <rFont val="Consolas"/>
        <family val="3"/>
      </rPr>
      <t>(</t>
    </r>
    <r>
      <rPr>
        <b/>
        <sz val="10"/>
        <color rgb="FFFF2800"/>
        <rFont val="Consolas"/>
        <family val="3"/>
      </rPr>
      <t>6</t>
    </r>
    <r>
      <rPr>
        <b/>
        <sz val="10"/>
        <color rgb="FF808080"/>
        <rFont val="Consolas"/>
        <family val="3"/>
      </rPr>
      <t>),</t>
    </r>
  </si>
  <si>
    <t>原価</t>
  </si>
  <si>
    <t>cost</t>
  </si>
  <si>
    <r>
      <t xml:space="preserve">cost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</si>
  <si>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紐付けサマリ番号</t>
  </si>
  <si>
    <t>linked_summary_number</t>
  </si>
  <si>
    <r>
      <t xml:space="preserve">linked_summary_number </t>
    </r>
    <r>
      <rPr>
        <b/>
        <sz val="10"/>
        <color rgb="FF0080FF"/>
        <rFont val="Consolas"/>
        <family val="3"/>
      </rPr>
      <t>VARCHAR</t>
    </r>
    <r>
      <rPr>
        <b/>
        <sz val="10"/>
        <color rgb="FF808080"/>
        <rFont val="Consolas"/>
        <family val="3"/>
      </rPr>
      <t>(</t>
    </r>
    <r>
      <rPr>
        <b/>
        <sz val="10"/>
        <color rgb="FFFF2800"/>
        <rFont val="Consolas"/>
        <family val="3"/>
      </rPr>
      <t>90</t>
    </r>
    <r>
      <rPr>
        <b/>
        <sz val="10"/>
        <color rgb="FF808080"/>
        <rFont val="Consolas"/>
        <family val="3"/>
      </rPr>
      <t>),</t>
    </r>
  </si>
  <si>
    <t>原価予備費</t>
  </si>
  <si>
    <t>8,0</t>
  </si>
  <si>
    <t>cost_contingency</t>
  </si>
  <si>
    <r>
      <t xml:space="preserve">cost_contingency </t>
    </r>
    <r>
      <rPr>
        <b/>
        <sz val="10"/>
        <color rgb="FF0080FF"/>
        <rFont val="Consolas"/>
        <family val="3"/>
      </rPr>
      <t>DECIMAL</t>
    </r>
    <r>
      <rPr>
        <b/>
        <sz val="10"/>
        <color rgb="FF808080"/>
        <rFont val="Consolas"/>
        <family val="3"/>
      </rPr>
      <t>(</t>
    </r>
    <r>
      <rPr>
        <b/>
        <sz val="10"/>
        <color rgb="FFFF2800"/>
        <rFont val="Consolas"/>
        <family val="3"/>
      </rPr>
      <t>8</t>
    </r>
    <r>
      <rPr>
        <b/>
        <sz val="10"/>
        <color rgb="FF808080"/>
        <rFont val="Consolas"/>
        <family val="3"/>
      </rPr>
      <t>,</t>
    </r>
    <r>
      <rPr>
        <b/>
        <sz val="10"/>
        <color rgb="FFFF2800"/>
        <rFont val="Consolas"/>
        <family val="3"/>
      </rPr>
      <t>0</t>
    </r>
    <r>
      <rPr>
        <b/>
        <sz val="10"/>
        <color rgb="FF808080"/>
        <rFont val="Consolas"/>
        <family val="3"/>
      </rPr>
      <t>),</t>
    </r>
  </si>
  <si>
    <r>
      <t>CONSTRAINT</t>
    </r>
    <r>
      <rPr>
        <b/>
        <sz val="10"/>
        <color theme="1"/>
        <rFont val="Consolas"/>
        <family val="3"/>
      </rPr>
      <t xml:space="preserve"> pk_bfs_service_summary_accessories </t>
    </r>
    <r>
      <rPr>
        <b/>
        <sz val="10"/>
        <color rgb="FF0080FF"/>
        <rFont val="Consolas"/>
        <family val="3"/>
      </rPr>
      <t>PRIMARY</t>
    </r>
    <r>
      <rPr>
        <b/>
        <sz val="10"/>
        <color theme="1"/>
        <rFont val="Consolas"/>
        <family val="3"/>
      </rPr>
      <t xml:space="preserve"> </t>
    </r>
    <r>
      <rPr>
        <b/>
        <sz val="10"/>
        <color rgb="FF0080FF"/>
        <rFont val="Consolas"/>
        <family val="3"/>
      </rPr>
      <t>KEY</t>
    </r>
    <r>
      <rPr>
        <b/>
        <sz val="10"/>
        <color theme="1"/>
        <rFont val="Consolas"/>
        <family val="3"/>
      </rPr>
      <t xml:space="preserve"> </t>
    </r>
    <r>
      <rPr>
        <b/>
        <sz val="10"/>
        <color rgb="FF808080"/>
        <rFont val="Consolas"/>
        <family val="3"/>
      </rPr>
      <t>(</t>
    </r>
    <r>
      <rPr>
        <b/>
        <sz val="10"/>
        <color theme="1"/>
        <rFont val="Consolas"/>
        <family val="3"/>
      </rPr>
      <t>id</t>
    </r>
    <r>
      <rPr>
        <b/>
        <sz val="10"/>
        <color rgb="FF808080"/>
        <rFont val="Consolas"/>
        <family val="3"/>
      </rPr>
      <t>));</t>
    </r>
    <r>
      <rPr>
        <b/>
        <sz val="10"/>
        <color theme="1"/>
        <rFont val="Consolas"/>
        <family val="3"/>
      </rPr>
      <t xml:space="preserve"> </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</si>
  <si>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TABLE</t>
    </r>
    <r>
      <rPr>
        <sz val="10"/>
        <color theme="1"/>
        <rFont val="Consolas"/>
        <family val="3"/>
      </rPr>
      <t xml:space="preserve"> bfs_service_summary_accessories </t>
    </r>
    <r>
      <rPr>
        <sz val="10"/>
        <color rgb="FF0080FF"/>
        <rFont val="Consolas"/>
        <family val="3"/>
      </rPr>
      <t>IS</t>
    </r>
    <r>
      <rPr>
        <sz val="10"/>
        <color theme="1"/>
        <rFont val="Consolas"/>
        <family val="3"/>
      </rPr>
      <t xml:space="preserve"> </t>
    </r>
    <r>
      <rPr>
        <sz val="10"/>
        <color rgb="FFFF2800"/>
        <rFont val="Consolas"/>
        <family val="3"/>
      </rPr>
      <t>'b_hjn_bfs_モバイル_サービスサマリ_付属品'</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</si>
  <si>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bfs_service_summary_accessories</t>
    </r>
    <r>
      <rPr>
        <sz val="10"/>
        <color rgb="FF808080"/>
        <rFont val="Consolas"/>
        <family val="3"/>
      </rPr>
      <t>.</t>
    </r>
    <r>
      <rPr>
        <sz val="10"/>
        <color theme="1"/>
        <rFont val="Consolas"/>
        <family val="3"/>
      </rPr>
      <t xml:space="preserve">id </t>
    </r>
    <r>
      <rPr>
        <sz val="10"/>
        <color rgb="FF0080FF"/>
        <rFont val="Consolas"/>
        <family val="3"/>
      </rPr>
      <t>IS</t>
    </r>
    <r>
      <rPr>
        <sz val="10"/>
        <color theme="1"/>
        <rFont val="Consolas"/>
        <family val="3"/>
      </rPr>
      <t xml:space="preserve"> </t>
    </r>
    <r>
      <rPr>
        <sz val="10"/>
        <color rgb="FFFF2800"/>
        <rFont val="Consolas"/>
        <family val="3"/>
      </rPr>
      <t>'項目名'</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</si>
  <si>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bfs_service_summary_accessories</t>
    </r>
    <r>
      <rPr>
        <sz val="10"/>
        <color rgb="FF808080"/>
        <rFont val="Consolas"/>
        <family val="3"/>
      </rPr>
      <t>.</t>
    </r>
    <r>
      <rPr>
        <sz val="10"/>
        <color theme="1"/>
        <rFont val="Consolas"/>
        <family val="3"/>
      </rPr>
      <t xml:space="preserve">entry_number </t>
    </r>
    <r>
      <rPr>
        <sz val="10"/>
        <color rgb="FF0080FF"/>
        <rFont val="Consolas"/>
        <family val="3"/>
      </rPr>
      <t>IS</t>
    </r>
    <r>
      <rPr>
        <sz val="10"/>
        <color theme="1"/>
        <rFont val="Consolas"/>
        <family val="3"/>
      </rPr>
      <t xml:space="preserve"> </t>
    </r>
    <r>
      <rPr>
        <sz val="10"/>
        <color rgb="FFFF2800"/>
        <rFont val="Consolas"/>
        <family val="3"/>
      </rPr>
      <t>'エントリ番号'</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</si>
  <si>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bfs_service_summary_accessories</t>
    </r>
    <r>
      <rPr>
        <sz val="10"/>
        <color rgb="FF808080"/>
        <rFont val="Consolas"/>
        <family val="3"/>
      </rPr>
      <t>.</t>
    </r>
    <r>
      <rPr>
        <sz val="10"/>
        <color theme="1"/>
        <rFont val="Consolas"/>
        <family val="3"/>
      </rPr>
      <t xml:space="preserve">summary_number </t>
    </r>
    <r>
      <rPr>
        <sz val="10"/>
        <color rgb="FF0080FF"/>
        <rFont val="Consolas"/>
        <family val="3"/>
      </rPr>
      <t>IS</t>
    </r>
    <r>
      <rPr>
        <sz val="10"/>
        <color theme="1"/>
        <rFont val="Consolas"/>
        <family val="3"/>
      </rPr>
      <t xml:space="preserve"> </t>
    </r>
    <r>
      <rPr>
        <sz val="10"/>
        <color rgb="FFFF2800"/>
        <rFont val="Consolas"/>
        <family val="3"/>
      </rPr>
      <t>'サマリ番号'</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</si>
  <si>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bfs_service_summary_accessories</t>
    </r>
    <r>
      <rPr>
        <sz val="10"/>
        <color rgb="FF808080"/>
        <rFont val="Consolas"/>
        <family val="3"/>
      </rPr>
      <t>.</t>
    </r>
    <r>
      <rPr>
        <sz val="10"/>
        <color theme="1"/>
        <rFont val="Consolas"/>
        <family val="3"/>
      </rPr>
      <t xml:space="preserve">serial_number_accessories </t>
    </r>
    <r>
      <rPr>
        <sz val="10"/>
        <color rgb="FF0080FF"/>
        <rFont val="Consolas"/>
        <family val="3"/>
      </rPr>
      <t>IS</t>
    </r>
    <r>
      <rPr>
        <sz val="10"/>
        <color theme="1"/>
        <rFont val="Consolas"/>
        <family val="3"/>
      </rPr>
      <t xml:space="preserve"> </t>
    </r>
    <r>
      <rPr>
        <sz val="10"/>
        <color rgb="FFFF2800"/>
        <rFont val="Consolas"/>
        <family val="3"/>
      </rPr>
      <t>'シリアル付付属品'</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</si>
  <si>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bfs_service_summary_accessories</t>
    </r>
    <r>
      <rPr>
        <sz val="10"/>
        <color rgb="FF808080"/>
        <rFont val="Consolas"/>
        <family val="3"/>
      </rPr>
      <t>.</t>
    </r>
    <r>
      <rPr>
        <sz val="10"/>
        <color theme="1"/>
        <rFont val="Consolas"/>
        <family val="3"/>
      </rPr>
      <t xml:space="preserve">product_code </t>
    </r>
    <r>
      <rPr>
        <sz val="10"/>
        <color rgb="FF0080FF"/>
        <rFont val="Consolas"/>
        <family val="3"/>
      </rPr>
      <t>IS</t>
    </r>
    <r>
      <rPr>
        <sz val="10"/>
        <color theme="1"/>
        <rFont val="Consolas"/>
        <family val="3"/>
      </rPr>
      <t xml:space="preserve"> </t>
    </r>
    <r>
      <rPr>
        <sz val="10"/>
        <color rgb="FFFF2800"/>
        <rFont val="Consolas"/>
        <family val="3"/>
      </rPr>
      <t>'商品コード'</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</si>
  <si>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bfs_service_summary_accessories</t>
    </r>
    <r>
      <rPr>
        <sz val="10"/>
        <color rgb="FF808080"/>
        <rFont val="Consolas"/>
        <family val="3"/>
      </rPr>
      <t>.</t>
    </r>
    <r>
      <rPr>
        <sz val="10"/>
        <color theme="1"/>
        <rFont val="Consolas"/>
        <family val="3"/>
      </rPr>
      <t xml:space="preserve">manufacturer </t>
    </r>
    <r>
      <rPr>
        <sz val="10"/>
        <color rgb="FF0080FF"/>
        <rFont val="Consolas"/>
        <family val="3"/>
      </rPr>
      <t>IS</t>
    </r>
    <r>
      <rPr>
        <sz val="10"/>
        <color theme="1"/>
        <rFont val="Consolas"/>
        <family val="3"/>
      </rPr>
      <t xml:space="preserve"> </t>
    </r>
    <r>
      <rPr>
        <sz val="10"/>
        <color rgb="FFFF2800"/>
        <rFont val="Consolas"/>
        <family val="3"/>
      </rPr>
      <t>'メーカ'</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</si>
  <si>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bfs_service_summary_accessories</t>
    </r>
    <r>
      <rPr>
        <sz val="10"/>
        <color rgb="FF808080"/>
        <rFont val="Consolas"/>
        <family val="3"/>
      </rPr>
      <t>.</t>
    </r>
    <r>
      <rPr>
        <sz val="10"/>
        <color theme="1"/>
        <rFont val="Consolas"/>
        <family val="3"/>
      </rPr>
      <t xml:space="preserve">product_name </t>
    </r>
    <r>
      <rPr>
        <sz val="10"/>
        <color rgb="FF0080FF"/>
        <rFont val="Consolas"/>
        <family val="3"/>
      </rPr>
      <t>IS</t>
    </r>
    <r>
      <rPr>
        <sz val="10"/>
        <color theme="1"/>
        <rFont val="Consolas"/>
        <family val="3"/>
      </rPr>
      <t xml:space="preserve"> </t>
    </r>
    <r>
      <rPr>
        <sz val="10"/>
        <color rgb="FFFF2800"/>
        <rFont val="Consolas"/>
        <family val="3"/>
      </rPr>
      <t>'商品名'</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</si>
  <si>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bfs_service_summary_accessories</t>
    </r>
    <r>
      <rPr>
        <sz val="10"/>
        <color rgb="FF808080"/>
        <rFont val="Consolas"/>
        <family val="3"/>
      </rPr>
      <t>.</t>
    </r>
    <r>
      <rPr>
        <sz val="10"/>
        <color theme="1"/>
        <rFont val="Consolas"/>
        <family val="3"/>
      </rPr>
      <t xml:space="preserve">color_1 </t>
    </r>
    <r>
      <rPr>
        <sz val="10"/>
        <color rgb="FF0080FF"/>
        <rFont val="Consolas"/>
        <family val="3"/>
      </rPr>
      <t>IS</t>
    </r>
    <r>
      <rPr>
        <sz val="10"/>
        <color theme="1"/>
        <rFont val="Consolas"/>
        <family val="3"/>
      </rPr>
      <t xml:space="preserve"> </t>
    </r>
    <r>
      <rPr>
        <sz val="10"/>
        <color rgb="FFFF2800"/>
        <rFont val="Consolas"/>
        <family val="3"/>
      </rPr>
      <t>'カラー1'</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</si>
  <si>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bfs_service_summary_accessories</t>
    </r>
    <r>
      <rPr>
        <sz val="10"/>
        <color rgb="FF808080"/>
        <rFont val="Consolas"/>
        <family val="3"/>
      </rPr>
      <t>.</t>
    </r>
    <r>
      <rPr>
        <sz val="10"/>
        <color theme="1"/>
        <rFont val="Consolas"/>
        <family val="3"/>
      </rPr>
      <t xml:space="preserve">quantity_1 </t>
    </r>
    <r>
      <rPr>
        <sz val="10"/>
        <color rgb="FF0080FF"/>
        <rFont val="Consolas"/>
        <family val="3"/>
      </rPr>
      <t>IS</t>
    </r>
    <r>
      <rPr>
        <sz val="10"/>
        <color theme="1"/>
        <rFont val="Consolas"/>
        <family val="3"/>
      </rPr>
      <t xml:space="preserve"> </t>
    </r>
    <r>
      <rPr>
        <sz val="10"/>
        <color rgb="FFFF2800"/>
        <rFont val="Consolas"/>
        <family val="3"/>
      </rPr>
      <t>'台数1'</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</si>
  <si>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bfs_service_summary_accessories</t>
    </r>
    <r>
      <rPr>
        <sz val="10"/>
        <color rgb="FF808080"/>
        <rFont val="Consolas"/>
        <family val="3"/>
      </rPr>
      <t>.</t>
    </r>
    <r>
      <rPr>
        <sz val="10"/>
        <color theme="1"/>
        <rFont val="Consolas"/>
        <family val="3"/>
      </rPr>
      <t xml:space="preserve">color_2 </t>
    </r>
    <r>
      <rPr>
        <sz val="10"/>
        <color rgb="FF0080FF"/>
        <rFont val="Consolas"/>
        <family val="3"/>
      </rPr>
      <t>IS</t>
    </r>
    <r>
      <rPr>
        <sz val="10"/>
        <color theme="1"/>
        <rFont val="Consolas"/>
        <family val="3"/>
      </rPr>
      <t xml:space="preserve"> </t>
    </r>
    <r>
      <rPr>
        <sz val="10"/>
        <color rgb="FFFF2800"/>
        <rFont val="Consolas"/>
        <family val="3"/>
      </rPr>
      <t>'カラー2'</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</si>
  <si>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bfs_service_summary_accessories</t>
    </r>
    <r>
      <rPr>
        <sz val="10"/>
        <color rgb="FF808080"/>
        <rFont val="Consolas"/>
        <family val="3"/>
      </rPr>
      <t>.</t>
    </r>
    <r>
      <rPr>
        <sz val="10"/>
        <color theme="1"/>
        <rFont val="Consolas"/>
        <family val="3"/>
      </rPr>
      <t xml:space="preserve">quantity_2 </t>
    </r>
    <r>
      <rPr>
        <sz val="10"/>
        <color rgb="FF0080FF"/>
        <rFont val="Consolas"/>
        <family val="3"/>
      </rPr>
      <t>IS</t>
    </r>
    <r>
      <rPr>
        <sz val="10"/>
        <color theme="1"/>
        <rFont val="Consolas"/>
        <family val="3"/>
      </rPr>
      <t xml:space="preserve"> </t>
    </r>
    <r>
      <rPr>
        <sz val="10"/>
        <color rgb="FFFF2800"/>
        <rFont val="Consolas"/>
        <family val="3"/>
      </rPr>
      <t>'台数2'</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</si>
  <si>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bfs_service_summary_accessories</t>
    </r>
    <r>
      <rPr>
        <sz val="10"/>
        <color rgb="FF808080"/>
        <rFont val="Consolas"/>
        <family val="3"/>
      </rPr>
      <t>.</t>
    </r>
    <r>
      <rPr>
        <sz val="10"/>
        <color theme="1"/>
        <rFont val="Consolas"/>
        <family val="3"/>
      </rPr>
      <t xml:space="preserve">color_3 </t>
    </r>
    <r>
      <rPr>
        <sz val="10"/>
        <color rgb="FF0080FF"/>
        <rFont val="Consolas"/>
        <family val="3"/>
      </rPr>
      <t>IS</t>
    </r>
    <r>
      <rPr>
        <sz val="10"/>
        <color theme="1"/>
        <rFont val="Consolas"/>
        <family val="3"/>
      </rPr>
      <t xml:space="preserve"> </t>
    </r>
    <r>
      <rPr>
        <sz val="10"/>
        <color rgb="FFFF2800"/>
        <rFont val="Consolas"/>
        <family val="3"/>
      </rPr>
      <t>'カラー3'</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</si>
  <si>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bfs_service_summary_accessories</t>
    </r>
    <r>
      <rPr>
        <sz val="10"/>
        <color rgb="FF808080"/>
        <rFont val="Consolas"/>
        <family val="3"/>
      </rPr>
      <t>.</t>
    </r>
    <r>
      <rPr>
        <sz val="10"/>
        <color theme="1"/>
        <rFont val="Consolas"/>
        <family val="3"/>
      </rPr>
      <t xml:space="preserve">quantity_3 </t>
    </r>
    <r>
      <rPr>
        <sz val="10"/>
        <color rgb="FF0080FF"/>
        <rFont val="Consolas"/>
        <family val="3"/>
      </rPr>
      <t>IS</t>
    </r>
    <r>
      <rPr>
        <sz val="10"/>
        <color theme="1"/>
        <rFont val="Consolas"/>
        <family val="3"/>
      </rPr>
      <t xml:space="preserve"> </t>
    </r>
    <r>
      <rPr>
        <sz val="10"/>
        <color rgb="FFFF2800"/>
        <rFont val="Consolas"/>
        <family val="3"/>
      </rPr>
      <t>'台数3'</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</si>
  <si>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bfs_service_summary_accessories</t>
    </r>
    <r>
      <rPr>
        <sz val="10"/>
        <color rgb="FF808080"/>
        <rFont val="Consolas"/>
        <family val="3"/>
      </rPr>
      <t>.</t>
    </r>
    <r>
      <rPr>
        <sz val="10"/>
        <color theme="1"/>
        <rFont val="Consolas"/>
        <family val="3"/>
      </rPr>
      <t xml:space="preserve">color_4 </t>
    </r>
    <r>
      <rPr>
        <sz val="10"/>
        <color rgb="FF0080FF"/>
        <rFont val="Consolas"/>
        <family val="3"/>
      </rPr>
      <t>IS</t>
    </r>
    <r>
      <rPr>
        <sz val="10"/>
        <color theme="1"/>
        <rFont val="Consolas"/>
        <family val="3"/>
      </rPr>
      <t xml:space="preserve"> </t>
    </r>
    <r>
      <rPr>
        <sz val="10"/>
        <color rgb="FFFF2800"/>
        <rFont val="Consolas"/>
        <family val="3"/>
      </rPr>
      <t>'カラー4'</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</si>
  <si>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bfs_service_summary_accessories</t>
    </r>
    <r>
      <rPr>
        <sz val="10"/>
        <color rgb="FF808080"/>
        <rFont val="Consolas"/>
        <family val="3"/>
      </rPr>
      <t>.</t>
    </r>
    <r>
      <rPr>
        <sz val="10"/>
        <color theme="1"/>
        <rFont val="Consolas"/>
        <family val="3"/>
      </rPr>
      <t xml:space="preserve">quantity_4 </t>
    </r>
    <r>
      <rPr>
        <sz val="10"/>
        <color rgb="FF0080FF"/>
        <rFont val="Consolas"/>
        <family val="3"/>
      </rPr>
      <t>IS</t>
    </r>
    <r>
      <rPr>
        <sz val="10"/>
        <color theme="1"/>
        <rFont val="Consolas"/>
        <family val="3"/>
      </rPr>
      <t xml:space="preserve"> </t>
    </r>
    <r>
      <rPr>
        <sz val="10"/>
        <color rgb="FFFF2800"/>
        <rFont val="Consolas"/>
        <family val="3"/>
      </rPr>
      <t>'台数4'</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</si>
  <si>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bfs_service_summary_accessories</t>
    </r>
    <r>
      <rPr>
        <sz val="10"/>
        <color rgb="FF808080"/>
        <rFont val="Consolas"/>
        <family val="3"/>
      </rPr>
      <t>.</t>
    </r>
    <r>
      <rPr>
        <sz val="10"/>
        <color theme="1"/>
        <rFont val="Consolas"/>
        <family val="3"/>
      </rPr>
      <t xml:space="preserve">color_5 </t>
    </r>
    <r>
      <rPr>
        <sz val="10"/>
        <color rgb="FF0080FF"/>
        <rFont val="Consolas"/>
        <family val="3"/>
      </rPr>
      <t>IS</t>
    </r>
    <r>
      <rPr>
        <sz val="10"/>
        <color theme="1"/>
        <rFont val="Consolas"/>
        <family val="3"/>
      </rPr>
      <t xml:space="preserve"> </t>
    </r>
    <r>
      <rPr>
        <sz val="10"/>
        <color rgb="FFFF2800"/>
        <rFont val="Consolas"/>
        <family val="3"/>
      </rPr>
      <t>'カラー5'</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</si>
  <si>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bfs_service_summary_accessories</t>
    </r>
    <r>
      <rPr>
        <sz val="10"/>
        <color rgb="FF808080"/>
        <rFont val="Consolas"/>
        <family val="3"/>
      </rPr>
      <t>.</t>
    </r>
    <r>
      <rPr>
        <sz val="10"/>
        <color theme="1"/>
        <rFont val="Consolas"/>
        <family val="3"/>
      </rPr>
      <t xml:space="preserve">quantity_5 </t>
    </r>
    <r>
      <rPr>
        <sz val="10"/>
        <color rgb="FF0080FF"/>
        <rFont val="Consolas"/>
        <family val="3"/>
      </rPr>
      <t>IS</t>
    </r>
    <r>
      <rPr>
        <sz val="10"/>
        <color theme="1"/>
        <rFont val="Consolas"/>
        <family val="3"/>
      </rPr>
      <t xml:space="preserve"> </t>
    </r>
    <r>
      <rPr>
        <sz val="10"/>
        <color rgb="FFFF2800"/>
        <rFont val="Consolas"/>
        <family val="3"/>
      </rPr>
      <t>'台数5'</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</si>
  <si>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bfs_service_summary_accessories</t>
    </r>
    <r>
      <rPr>
        <sz val="10"/>
        <color rgb="FF808080"/>
        <rFont val="Consolas"/>
        <family val="3"/>
      </rPr>
      <t>.</t>
    </r>
    <r>
      <rPr>
        <sz val="10"/>
        <color theme="1"/>
        <rFont val="Consolas"/>
        <family val="3"/>
      </rPr>
      <t xml:space="preserve">standard_price_of_accessories </t>
    </r>
    <r>
      <rPr>
        <sz val="10"/>
        <color rgb="FF0080FF"/>
        <rFont val="Consolas"/>
        <family val="3"/>
      </rPr>
      <t>IS</t>
    </r>
    <r>
      <rPr>
        <sz val="10"/>
        <color theme="1"/>
        <rFont val="Consolas"/>
        <family val="3"/>
      </rPr>
      <t xml:space="preserve"> </t>
    </r>
    <r>
      <rPr>
        <sz val="10"/>
        <color rgb="FFFF2800"/>
        <rFont val="Consolas"/>
        <family val="3"/>
      </rPr>
      <t>'付属品標準価格'</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</si>
  <si>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bfs_service_summary_accessories</t>
    </r>
    <r>
      <rPr>
        <sz val="10"/>
        <color rgb="FF808080"/>
        <rFont val="Consolas"/>
        <family val="3"/>
      </rPr>
      <t>.</t>
    </r>
    <r>
      <rPr>
        <sz val="10"/>
        <color theme="1"/>
        <rFont val="Consolas"/>
        <family val="3"/>
      </rPr>
      <t xml:space="preserve">provision_fee </t>
    </r>
    <r>
      <rPr>
        <sz val="10"/>
        <color rgb="FF0080FF"/>
        <rFont val="Consolas"/>
        <family val="3"/>
      </rPr>
      <t>IS</t>
    </r>
    <r>
      <rPr>
        <sz val="10"/>
        <color theme="1"/>
        <rFont val="Consolas"/>
        <family val="3"/>
      </rPr>
      <t xml:space="preserve"> </t>
    </r>
    <r>
      <rPr>
        <sz val="10"/>
        <color rgb="FFFF2800"/>
        <rFont val="Consolas"/>
        <family val="3"/>
      </rPr>
      <t>'提供代金'</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</si>
  <si>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bfs_service_summary_accessories</t>
    </r>
    <r>
      <rPr>
        <sz val="10"/>
        <color rgb="FF808080"/>
        <rFont val="Consolas"/>
        <family val="3"/>
      </rPr>
      <t>.</t>
    </r>
    <r>
      <rPr>
        <sz val="10"/>
        <color theme="1"/>
        <rFont val="Consolas"/>
        <family val="3"/>
      </rPr>
      <t xml:space="preserve">usage_points </t>
    </r>
    <r>
      <rPr>
        <sz val="10"/>
        <color rgb="FF0080FF"/>
        <rFont val="Consolas"/>
        <family val="3"/>
      </rPr>
      <t>IS</t>
    </r>
    <r>
      <rPr>
        <sz val="10"/>
        <color theme="1"/>
        <rFont val="Consolas"/>
        <family val="3"/>
      </rPr>
      <t xml:space="preserve"> </t>
    </r>
    <r>
      <rPr>
        <sz val="10"/>
        <color rgb="FFFF2800"/>
        <rFont val="Consolas"/>
        <family val="3"/>
      </rPr>
      <t>'使用ポイント'</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</si>
  <si>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bfs_service_summary_accessories</t>
    </r>
    <r>
      <rPr>
        <sz val="10"/>
        <color rgb="FF808080"/>
        <rFont val="Consolas"/>
        <family val="3"/>
      </rPr>
      <t>.</t>
    </r>
    <r>
      <rPr>
        <sz val="10"/>
        <color theme="1"/>
        <rFont val="Consolas"/>
        <family val="3"/>
      </rPr>
      <t xml:space="preserve">cost </t>
    </r>
    <r>
      <rPr>
        <sz val="10"/>
        <color rgb="FF0080FF"/>
        <rFont val="Consolas"/>
        <family val="3"/>
      </rPr>
      <t>IS</t>
    </r>
    <r>
      <rPr>
        <sz val="10"/>
        <color theme="1"/>
        <rFont val="Consolas"/>
        <family val="3"/>
      </rPr>
      <t xml:space="preserve"> </t>
    </r>
    <r>
      <rPr>
        <sz val="10"/>
        <color rgb="FFFF2800"/>
        <rFont val="Consolas"/>
        <family val="3"/>
      </rPr>
      <t>'原価'</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</si>
  <si>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bfs_service_summary_accessories</t>
    </r>
    <r>
      <rPr>
        <sz val="10"/>
        <color rgb="FF808080"/>
        <rFont val="Consolas"/>
        <family val="3"/>
      </rPr>
      <t>.</t>
    </r>
    <r>
      <rPr>
        <sz val="10"/>
        <color theme="1"/>
        <rFont val="Consolas"/>
        <family val="3"/>
      </rPr>
      <t xml:space="preserve">linked_summary_number </t>
    </r>
    <r>
      <rPr>
        <sz val="10"/>
        <color rgb="FF0080FF"/>
        <rFont val="Consolas"/>
        <family val="3"/>
      </rPr>
      <t>IS</t>
    </r>
    <r>
      <rPr>
        <sz val="10"/>
        <color theme="1"/>
        <rFont val="Consolas"/>
        <family val="3"/>
      </rPr>
      <t xml:space="preserve"> </t>
    </r>
    <r>
      <rPr>
        <sz val="10"/>
        <color rgb="FFFF2800"/>
        <rFont val="Consolas"/>
        <family val="3"/>
      </rPr>
      <t>'紐付けサマリ番号'</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</si>
  <si>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bfs_service_summary_accessories</t>
    </r>
    <r>
      <rPr>
        <sz val="10"/>
        <color rgb="FF808080"/>
        <rFont val="Consolas"/>
        <family val="3"/>
      </rPr>
      <t>.</t>
    </r>
    <r>
      <rPr>
        <sz val="10"/>
        <color theme="1"/>
        <rFont val="Consolas"/>
        <family val="3"/>
      </rPr>
      <t xml:space="preserve">cost_contingency </t>
    </r>
    <r>
      <rPr>
        <sz val="10"/>
        <color rgb="FF0080FF"/>
        <rFont val="Consolas"/>
        <family val="3"/>
      </rPr>
      <t>IS</t>
    </r>
    <r>
      <rPr>
        <sz val="10"/>
        <color theme="1"/>
        <rFont val="Consolas"/>
        <family val="3"/>
      </rPr>
      <t xml:space="preserve"> </t>
    </r>
    <r>
      <rPr>
        <sz val="10"/>
        <color rgb="FFFF2800"/>
        <rFont val="Consolas"/>
        <family val="3"/>
      </rPr>
      <t>'原価予備費'</t>
    </r>
    <r>
      <rPr>
        <sz val="10"/>
        <color rgb="FF808080"/>
        <rFont val="Consolas"/>
        <family val="3"/>
      </rPr>
      <t>;</t>
    </r>
  </si>
  <si>
    <t>b_hjn_bfs_モバイル_サービスサマリ_端末</t>
    <phoneticPr fontId="2"/>
  </si>
  <si>
    <t>V004515</t>
  </si>
  <si>
    <t>bfs_service_summary_device</t>
    <phoneticPr fontId="2"/>
  </si>
  <si>
    <r>
      <t>DROP</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EXISTS</t>
    </r>
    <r>
      <rPr>
        <b/>
        <sz val="10"/>
        <color theme="1"/>
        <rFont val="Consolas"/>
        <family val="3"/>
      </rPr>
      <t xml:space="preserve"> bfs_service_summary_device </t>
    </r>
    <r>
      <rPr>
        <b/>
        <sz val="10"/>
        <color rgb="FF0080FF"/>
        <rFont val="Consolas"/>
        <family val="3"/>
      </rPr>
      <t>CASCADE</t>
    </r>
    <r>
      <rPr>
        <b/>
        <sz val="10"/>
        <color rgb="FF808080"/>
        <rFont val="Consolas"/>
        <family val="3"/>
      </rPr>
      <t>;</t>
    </r>
    <r>
      <rPr>
        <b/>
        <sz val="10"/>
        <color theme="1"/>
        <rFont val="Consolas"/>
        <family val="3"/>
      </rPr>
      <t xml:space="preserve"> </t>
    </r>
  </si>
  <si>
    <r>
      <t>CREATE</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NOT</t>
    </r>
    <r>
      <rPr>
        <b/>
        <sz val="10"/>
        <color theme="1"/>
        <rFont val="Consolas"/>
        <family val="3"/>
      </rPr>
      <t xml:space="preserve"> </t>
    </r>
    <r>
      <rPr>
        <b/>
        <sz val="10"/>
        <color rgb="FF0080FF"/>
        <rFont val="Consolas"/>
        <family val="3"/>
      </rPr>
      <t>EXISTS</t>
    </r>
    <r>
      <rPr>
        <b/>
        <sz val="10"/>
        <color theme="1"/>
        <rFont val="Consolas"/>
        <family val="3"/>
      </rPr>
      <t xml:space="preserve"> bfs_service_summary_device </t>
    </r>
    <r>
      <rPr>
        <b/>
        <sz val="10"/>
        <color rgb="FF808080"/>
        <rFont val="Consolas"/>
        <family val="3"/>
      </rPr>
      <t>(</t>
    </r>
    <r>
      <rPr>
        <b/>
        <sz val="10"/>
        <color theme="1"/>
        <rFont val="Consolas"/>
        <family val="3"/>
      </rPr>
      <t xml:space="preserve"> </t>
    </r>
  </si>
  <si>
    <t>エントリ番号</t>
    <phoneticPr fontId="2"/>
  </si>
  <si>
    <t>回線数</t>
  </si>
  <si>
    <t>number_of_lines</t>
  </si>
  <si>
    <r>
      <t xml:space="preserve">number_of_lines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</si>
  <si>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t>レンタルセット端末</t>
  </si>
  <si>
    <t>rental_set_device</t>
  </si>
  <si>
    <r>
      <t xml:space="preserve">rental_set_device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</si>
  <si>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mnp</t>
    <phoneticPr fontId="2"/>
  </si>
  <si>
    <t>mnp</t>
  </si>
  <si>
    <r>
      <t xml:space="preserve">mnp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</si>
  <si>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移動機分類</t>
  </si>
  <si>
    <t>mobile_device_classification</t>
  </si>
  <si>
    <r>
      <t xml:space="preserve">mobile_device_classification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</si>
  <si>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機種名</t>
  </si>
  <si>
    <t>model_name</t>
  </si>
  <si>
    <r>
      <t xml:space="preserve">model_name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</si>
  <si>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カラー1</t>
    <phoneticPr fontId="2"/>
  </si>
  <si>
    <t>台数1</t>
    <phoneticPr fontId="2"/>
  </si>
  <si>
    <r>
      <t xml:space="preserve">quantity_1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</si>
  <si>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r>
      <t xml:space="preserve">quantity_2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</si>
  <si>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r>
      <t xml:space="preserve">quantity_3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</si>
  <si>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r>
      <t xml:space="preserve">quantity_4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</si>
  <si>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r>
      <t xml:space="preserve">quantity_5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</si>
  <si>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t>端末標準価格</t>
  </si>
  <si>
    <t>standard_device_price</t>
  </si>
  <si>
    <r>
      <t xml:space="preserve">standard_device_price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</si>
  <si>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t>points_used</t>
  </si>
  <si>
    <r>
      <t xml:space="preserve">points_used </t>
    </r>
    <r>
      <rPr>
        <b/>
        <sz val="10"/>
        <color rgb="FF0080FF"/>
        <rFont val="Consolas"/>
        <family val="3"/>
      </rPr>
      <t>DECIMAL</t>
    </r>
    <r>
      <rPr>
        <b/>
        <sz val="10"/>
        <color rgb="FF808080"/>
        <rFont val="Consolas"/>
        <family val="3"/>
      </rPr>
      <t>(</t>
    </r>
    <r>
      <rPr>
        <b/>
        <sz val="10"/>
        <color rgb="FFFF2800"/>
        <rFont val="Consolas"/>
        <family val="3"/>
      </rPr>
      <t>6</t>
    </r>
    <r>
      <rPr>
        <b/>
        <sz val="10"/>
        <color rgb="FF808080"/>
        <rFont val="Consolas"/>
        <family val="3"/>
      </rPr>
      <t>),</t>
    </r>
  </si>
  <si>
    <t>レンタル料</t>
  </si>
  <si>
    <t>rental_fee</t>
  </si>
  <si>
    <r>
      <t xml:space="preserve">rental_fee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</si>
  <si>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t>レンタル実質提供料金</t>
  </si>
  <si>
    <t>actual_rental_provision_fee</t>
  </si>
  <si>
    <r>
      <t xml:space="preserve">actual_rental_provision_fee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</si>
  <si>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t>キャンペーン1</t>
  </si>
  <si>
    <t>campaign_1</t>
  </si>
  <si>
    <r>
      <t xml:space="preserve">campaign_1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</si>
  <si>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キャンペーン2</t>
  </si>
  <si>
    <t>campaign_2</t>
  </si>
  <si>
    <r>
      <t xml:space="preserve">campaign_2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</si>
  <si>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キャンペーン3</t>
  </si>
  <si>
    <t>campaign_3</t>
  </si>
  <si>
    <r>
      <t xml:space="preserve">campaign_3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</si>
  <si>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キャンペーン4</t>
  </si>
  <si>
    <t>campaign_4</t>
  </si>
  <si>
    <r>
      <t xml:space="preserve">campaign_4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</si>
  <si>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キャンペーン5</t>
  </si>
  <si>
    <t>campaign_5</t>
  </si>
  <si>
    <r>
      <t xml:space="preserve">campaign_5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</si>
  <si>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特典コード1</t>
  </si>
  <si>
    <t>benefit_code_1</t>
  </si>
  <si>
    <r>
      <t xml:space="preserve">benefit_code_1 </t>
    </r>
    <r>
      <rPr>
        <b/>
        <sz val="10"/>
        <color rgb="FF0080FF"/>
        <rFont val="Consolas"/>
        <family val="3"/>
      </rPr>
      <t>VARCHAR</t>
    </r>
    <r>
      <rPr>
        <b/>
        <sz val="10"/>
        <color rgb="FF808080"/>
        <rFont val="Consolas"/>
        <family val="3"/>
      </rPr>
      <t>(</t>
    </r>
    <r>
      <rPr>
        <b/>
        <sz val="10"/>
        <color rgb="FFFF2800"/>
        <rFont val="Consolas"/>
        <family val="3"/>
      </rPr>
      <t>30</t>
    </r>
    <r>
      <rPr>
        <b/>
        <sz val="10"/>
        <color rgb="FF808080"/>
        <rFont val="Consolas"/>
        <family val="3"/>
      </rPr>
      <t>),</t>
    </r>
  </si>
  <si>
    <t>特典コード2</t>
  </si>
  <si>
    <t>benefit_code_2</t>
  </si>
  <si>
    <r>
      <t xml:space="preserve">benefit_code_2 </t>
    </r>
    <r>
      <rPr>
        <b/>
        <sz val="10"/>
        <color rgb="FF0080FF"/>
        <rFont val="Consolas"/>
        <family val="3"/>
      </rPr>
      <t>VARCHAR</t>
    </r>
    <r>
      <rPr>
        <b/>
        <sz val="10"/>
        <color rgb="FF808080"/>
        <rFont val="Consolas"/>
        <family val="3"/>
      </rPr>
      <t>(</t>
    </r>
    <r>
      <rPr>
        <b/>
        <sz val="10"/>
        <color rgb="FFFF2800"/>
        <rFont val="Consolas"/>
        <family val="3"/>
      </rPr>
      <t>30</t>
    </r>
    <r>
      <rPr>
        <b/>
        <sz val="10"/>
        <color rgb="FF808080"/>
        <rFont val="Consolas"/>
        <family val="3"/>
      </rPr>
      <t>),</t>
    </r>
  </si>
  <si>
    <t>特典コード3</t>
  </si>
  <si>
    <t>benefit_code_3</t>
  </si>
  <si>
    <r>
      <t xml:space="preserve">benefit_code_3 </t>
    </r>
    <r>
      <rPr>
        <b/>
        <sz val="10"/>
        <color rgb="FF0080FF"/>
        <rFont val="Consolas"/>
        <family val="3"/>
      </rPr>
      <t>VARCHAR</t>
    </r>
    <r>
      <rPr>
        <b/>
        <sz val="10"/>
        <color rgb="FF808080"/>
        <rFont val="Consolas"/>
        <family val="3"/>
      </rPr>
      <t>(</t>
    </r>
    <r>
      <rPr>
        <b/>
        <sz val="10"/>
        <color rgb="FFFF2800"/>
        <rFont val="Consolas"/>
        <family val="3"/>
      </rPr>
      <t>30</t>
    </r>
    <r>
      <rPr>
        <b/>
        <sz val="10"/>
        <color rgb="FF808080"/>
        <rFont val="Consolas"/>
        <family val="3"/>
      </rPr>
      <t>),</t>
    </r>
  </si>
  <si>
    <t>特典コード4</t>
  </si>
  <si>
    <t>benefit_code_4</t>
  </si>
  <si>
    <r>
      <t xml:space="preserve">benefit_code_4 </t>
    </r>
    <r>
      <rPr>
        <b/>
        <sz val="10"/>
        <color rgb="FF0080FF"/>
        <rFont val="Consolas"/>
        <family val="3"/>
      </rPr>
      <t>VARCHAR</t>
    </r>
    <r>
      <rPr>
        <b/>
        <sz val="10"/>
        <color rgb="FF808080"/>
        <rFont val="Consolas"/>
        <family val="3"/>
      </rPr>
      <t>(</t>
    </r>
    <r>
      <rPr>
        <b/>
        <sz val="10"/>
        <color rgb="FFFF2800"/>
        <rFont val="Consolas"/>
        <family val="3"/>
      </rPr>
      <t>30</t>
    </r>
    <r>
      <rPr>
        <b/>
        <sz val="10"/>
        <color rgb="FF808080"/>
        <rFont val="Consolas"/>
        <family val="3"/>
      </rPr>
      <t>),</t>
    </r>
  </si>
  <si>
    <t>緊急キャンペーン1</t>
  </si>
  <si>
    <t>urgent_campaign_1</t>
  </si>
  <si>
    <r>
      <t xml:space="preserve">urgent_campaign_1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</si>
  <si>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緊急キャンペーン2</t>
  </si>
  <si>
    <t>urgent_campaign_2</t>
  </si>
  <si>
    <r>
      <t xml:space="preserve">urgent_campaign_2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</si>
  <si>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緊急キャンペーン3</t>
  </si>
  <si>
    <t>urgent_campaign_3</t>
  </si>
  <si>
    <r>
      <t xml:space="preserve">urgent_campaign_3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</si>
  <si>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プラン</t>
  </si>
  <si>
    <t>plan</t>
  </si>
  <si>
    <r>
      <t xml:space="preserve">plan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</si>
  <si>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ホワイト法人</t>
  </si>
  <si>
    <t>white_corporate</t>
  </si>
  <si>
    <r>
      <t xml:space="preserve">white_corporate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</si>
  <si>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通話料割引wホワイト</t>
  </si>
  <si>
    <t>call_discount_w_white</t>
  </si>
  <si>
    <r>
      <t xml:space="preserve">call_discount_w_white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</si>
  <si>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通話料割引ホワイトl</t>
  </si>
  <si>
    <t>call_discount_l_white</t>
  </si>
  <si>
    <r>
      <t xml:space="preserve">call_discount_l_white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</si>
  <si>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24時間通話定額</t>
  </si>
  <si>
    <t>flat_rate_calling_24_hour</t>
    <phoneticPr fontId="2"/>
  </si>
  <si>
    <r>
      <t xml:space="preserve">flat_rate_calling_24_hour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</si>
  <si>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ホワイトオフィス</t>
  </si>
  <si>
    <t>white_office</t>
  </si>
  <si>
    <r>
      <t xml:space="preserve">white_office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</si>
  <si>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継続割引</t>
  </si>
  <si>
    <t>continuing_discount</t>
  </si>
  <si>
    <r>
      <t xml:space="preserve">continuing_discount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</si>
  <si>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違約金年契</t>
  </si>
  <si>
    <t>breaking_contract_gold_annual_contract</t>
  </si>
  <si>
    <r>
      <t xml:space="preserve">breaking_contract_gold_annual_contract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</si>
  <si>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sベーシックパック</t>
  </si>
  <si>
    <t>s_basic_pack</t>
  </si>
  <si>
    <r>
      <t xml:space="preserve">s_basic_pack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</si>
  <si>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4gデータ通信基本料</t>
  </si>
  <si>
    <t>data_communication_basic_fee_4g</t>
    <phoneticPr fontId="2"/>
  </si>
  <si>
    <r>
      <t xml:space="preserve">data_communication_basic_fee_4g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</si>
  <si>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5g基本料</t>
  </si>
  <si>
    <t>basic_fee_5g</t>
    <phoneticPr fontId="2"/>
  </si>
  <si>
    <r>
      <t xml:space="preserve">basic_fee_5g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</si>
  <si>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パケット割引</t>
  </si>
  <si>
    <t>packet_discount</t>
  </si>
  <si>
    <r>
      <t xml:space="preserve">packet_discount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</si>
  <si>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通信速度制限解除</t>
  </si>
  <si>
    <t>data_speed_​​limit_removal</t>
  </si>
  <si>
    <r>
      <t xml:space="preserve">data_speed_​​limit_removal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</si>
  <si>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通話定額_だれとでも</t>
  </si>
  <si>
    <t>flat_rate_calls___anyone</t>
  </si>
  <si>
    <r>
      <t xml:space="preserve">flat_rate_calls___anyone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</si>
  <si>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wifi</t>
  </si>
  <si>
    <r>
      <t xml:space="preserve">wifi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</si>
  <si>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テザリング</t>
  </si>
  <si>
    <t>tethering</t>
  </si>
  <si>
    <r>
      <t xml:space="preserve">tethering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</si>
  <si>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フラットsp9</t>
  </si>
  <si>
    <t>flat_sp9</t>
  </si>
  <si>
    <r>
      <t xml:space="preserve">flat_sp9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</si>
  <si>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オプションパック</t>
  </si>
  <si>
    <t>option_pack</t>
  </si>
  <si>
    <r>
      <t xml:space="preserve">option_pack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</si>
  <si>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あんしん保証パック</t>
  </si>
  <si>
    <t>anshin_guarantee_pack</t>
  </si>
  <si>
    <r>
      <t xml:space="preserve">anshin_guarantee_pack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</si>
  <si>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app</t>
  </si>
  <si>
    <r>
      <t xml:space="preserve">app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</si>
  <si>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世界対応ケータイ</t>
  </si>
  <si>
    <t>global_mobile_phone</t>
  </si>
  <si>
    <r>
      <t xml:space="preserve">global_mobile_phone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</si>
  <si>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海外パケット割引</t>
  </si>
  <si>
    <t>overseas_packet_discount</t>
  </si>
  <si>
    <r>
      <t xml:space="preserve">overseas_packet_discount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</si>
  <si>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通話料明細</t>
  </si>
  <si>
    <t>call_billing_details</t>
  </si>
  <si>
    <r>
      <t xml:space="preserve">call_billing_details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</si>
  <si>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it接続基本料</t>
  </si>
  <si>
    <t>it_connection_basic_fee</t>
  </si>
  <si>
    <r>
      <t xml:space="preserve">it_connection_basic_fee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</si>
  <si>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オプションカテゴリ1</t>
  </si>
  <si>
    <t>option_category_1</t>
  </si>
  <si>
    <r>
      <t xml:space="preserve">option_category_1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</si>
  <si>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オプションサービス1</t>
  </si>
  <si>
    <t>option_service_1</t>
  </si>
  <si>
    <r>
      <t xml:space="preserve">option_service_1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</si>
  <si>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オプションカテゴリ2</t>
  </si>
  <si>
    <t>option_category_2</t>
  </si>
  <si>
    <r>
      <t xml:space="preserve">option_category_2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</si>
  <si>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オプションサービス2</t>
  </si>
  <si>
    <t>option_service_2</t>
  </si>
  <si>
    <r>
      <t xml:space="preserve">option_service_2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</si>
  <si>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オプションカテゴリ3</t>
  </si>
  <si>
    <t>option_category_3</t>
  </si>
  <si>
    <r>
      <t xml:space="preserve">option_category_3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</si>
  <si>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オプションサービス3</t>
  </si>
  <si>
    <t>option_service_3</t>
  </si>
  <si>
    <r>
      <t xml:space="preserve">option_service_3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</si>
  <si>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オプションカテゴリ4</t>
  </si>
  <si>
    <t>option_category_4</t>
  </si>
  <si>
    <r>
      <t xml:space="preserve">option_category_4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</si>
  <si>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オプションサービス4</t>
  </si>
  <si>
    <t>option_service_4</t>
  </si>
  <si>
    <r>
      <t xml:space="preserve">option_service_4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</si>
  <si>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オプションカテゴリ5</t>
  </si>
  <si>
    <t>option_category_5</t>
  </si>
  <si>
    <r>
      <t xml:space="preserve">option_category_5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</si>
  <si>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オプションサービス5</t>
  </si>
  <si>
    <t>option_service_5</t>
  </si>
  <si>
    <r>
      <t xml:space="preserve">option_service_5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</si>
  <si>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オプションカテゴリ6</t>
  </si>
  <si>
    <t>option_category_6</t>
  </si>
  <si>
    <r>
      <t xml:space="preserve">option_category_6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</si>
  <si>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オプションサービス6</t>
  </si>
  <si>
    <t>option_service_6</t>
  </si>
  <si>
    <r>
      <t xml:space="preserve">option_service_6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</si>
  <si>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オプションカテゴリ7</t>
  </si>
  <si>
    <t>option_category_7</t>
  </si>
  <si>
    <r>
      <t xml:space="preserve">option_category_7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</si>
  <si>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オプションサービス7</t>
  </si>
  <si>
    <t>option_service_7</t>
  </si>
  <si>
    <r>
      <t xml:space="preserve">option_service_7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</si>
  <si>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オプションカテゴリ8</t>
  </si>
  <si>
    <t>option_category_8</t>
  </si>
  <si>
    <r>
      <t xml:space="preserve">option_category_8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</si>
  <si>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オプションサービス8</t>
  </si>
  <si>
    <t>optional_service_8</t>
  </si>
  <si>
    <r>
      <t xml:space="preserve">optional_service_8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</si>
  <si>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オプションカテゴリ9</t>
  </si>
  <si>
    <t>optional_category_9</t>
  </si>
  <si>
    <r>
      <t xml:space="preserve">optional_category_9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</si>
  <si>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オプションサービス9</t>
  </si>
  <si>
    <t>optional_service_9</t>
  </si>
  <si>
    <r>
      <t xml:space="preserve">optional_service_9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</si>
  <si>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オプションカテゴリ10</t>
  </si>
  <si>
    <t>optional_category_10</t>
  </si>
  <si>
    <r>
      <t xml:space="preserve">optional_category_10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</si>
  <si>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オプションサービス10</t>
  </si>
  <si>
    <t>optional_service_10</t>
  </si>
  <si>
    <r>
      <t xml:space="preserve">optional_service_10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</si>
  <si>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シェア設定</t>
  </si>
  <si>
    <t>share_settings</t>
  </si>
  <si>
    <r>
      <t xml:space="preserve">share_settings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</si>
  <si>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シェアオプション</t>
  </si>
  <si>
    <t>share_option</t>
  </si>
  <si>
    <r>
      <t xml:space="preserve">share_option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</si>
  <si>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grp代表シェアopt</t>
  </si>
  <si>
    <t>grp_representative_share_option</t>
  </si>
  <si>
    <r>
      <t xml:space="preserve">grp_representative_share_option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</si>
  <si>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grp代表通信速度制限</t>
  </si>
  <si>
    <t>grp_representative_data_speed_​​limit</t>
  </si>
  <si>
    <r>
      <t xml:space="preserve">grp_representative_data_speed_​​limit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</si>
  <si>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rntoptカテゴリ1</t>
  </si>
  <si>
    <t>rntopt_category_1</t>
  </si>
  <si>
    <r>
      <t xml:space="preserve">rntopt_category_1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</si>
  <si>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rntoptプラン1</t>
  </si>
  <si>
    <t>rntopt_plan_1</t>
  </si>
  <si>
    <r>
      <t xml:space="preserve">rntopt_plan_1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</si>
  <si>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rntoptカテゴリ2</t>
  </si>
  <si>
    <t>rntopt_category_2</t>
  </si>
  <si>
    <r>
      <t xml:space="preserve">rntopt_category_2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</si>
  <si>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rntoptプラン2</t>
  </si>
  <si>
    <t>rntopt_plan_2</t>
  </si>
  <si>
    <r>
      <t xml:space="preserve">rntopt_plan_2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</si>
  <si>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rntoptカテゴリ3</t>
  </si>
  <si>
    <t>rntopt_category_3</t>
  </si>
  <si>
    <r>
      <t xml:space="preserve">rntopt_category_3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</si>
  <si>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rntoptプラン3</t>
  </si>
  <si>
    <t>rntopt_plan_3</t>
  </si>
  <si>
    <r>
      <t xml:space="preserve">rntopt_plan_3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</si>
  <si>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rntoptカテゴリ4</t>
  </si>
  <si>
    <t>rntopt_category_4</t>
  </si>
  <si>
    <r>
      <t xml:space="preserve">rntopt_category_4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</si>
  <si>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rntoptプラン4</t>
  </si>
  <si>
    <t>rntopt_plan_4</t>
  </si>
  <si>
    <r>
      <t xml:space="preserve">rntopt_plan_4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</si>
  <si>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rntoptカテゴリ5</t>
  </si>
  <si>
    <t>rntopt_category_5</t>
  </si>
  <si>
    <r>
      <t xml:space="preserve">rntopt_category_5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</si>
  <si>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rntoptプラン5</t>
  </si>
  <si>
    <t>rntopt_plan_5</t>
  </si>
  <si>
    <r>
      <t xml:space="preserve">rntopt_plan_5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</si>
  <si>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rntoptカテゴリ6</t>
  </si>
  <si>
    <t>rntopt_category_6</t>
  </si>
  <si>
    <r>
      <t xml:space="preserve">rntopt_category_6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</si>
  <si>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rntoptプラン6</t>
  </si>
  <si>
    <t>rntopt_plan_6</t>
  </si>
  <si>
    <r>
      <t xml:space="preserve">rntopt_plan_6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</si>
  <si>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rntoptカテゴリ7</t>
  </si>
  <si>
    <t>rntopt_category_7</t>
  </si>
  <si>
    <r>
      <t xml:space="preserve">rntopt_category_7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</si>
  <si>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rntoptプラン7</t>
  </si>
  <si>
    <t>rntopt_plan_7</t>
  </si>
  <si>
    <r>
      <t xml:space="preserve">rntopt_plan_7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</si>
  <si>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rntoptカテゴリ8</t>
  </si>
  <si>
    <t>rntopt_category_8</t>
  </si>
  <si>
    <r>
      <t xml:space="preserve">rntopt_category_8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</si>
  <si>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rntoptプラン8</t>
  </si>
  <si>
    <t>rntopt_plan_8</t>
  </si>
  <si>
    <r>
      <t xml:space="preserve">rntopt_plan_8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</si>
  <si>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rntoptカテゴリ9</t>
  </si>
  <si>
    <t>rntopt_category_9</t>
  </si>
  <si>
    <r>
      <t xml:space="preserve">rntopt_category_9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</si>
  <si>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rntoptプラン9</t>
  </si>
  <si>
    <t>rntopt_plan_9</t>
  </si>
  <si>
    <r>
      <t xml:space="preserve">rntopt_plan_9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</si>
  <si>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rntoptカテゴリ10</t>
  </si>
  <si>
    <t>rntopt_category_10</t>
  </si>
  <si>
    <r>
      <t xml:space="preserve">rntopt_category_10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</si>
  <si>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rntoptプラン10</t>
  </si>
  <si>
    <t>rntopt_plan_10</t>
  </si>
  <si>
    <r>
      <t xml:space="preserve">rntopt_plan_10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</si>
  <si>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rntoptattカテゴリ1</t>
  </si>
  <si>
    <t>rntoptatt_category_1</t>
  </si>
  <si>
    <r>
      <t xml:space="preserve">rntoptatt_category_1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</si>
  <si>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rntoptattプラン1</t>
  </si>
  <si>
    <t>rntoptatt_plan_1</t>
  </si>
  <si>
    <r>
      <t xml:space="preserve">rntoptatt_plan_1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</si>
  <si>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rntoptattカテゴリ2</t>
  </si>
  <si>
    <t>rntoptatt_category_2</t>
  </si>
  <si>
    <r>
      <t xml:space="preserve">rntoptatt_category_2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</si>
  <si>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rntoptattプラン2</t>
  </si>
  <si>
    <t>rntoptatt_plan_2</t>
  </si>
  <si>
    <r>
      <t xml:space="preserve">rntoptatt_plan_2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</si>
  <si>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rntoptattカテゴリ3</t>
  </si>
  <si>
    <t>rntoptatt_category_3</t>
  </si>
  <si>
    <r>
      <t xml:space="preserve">rntoptatt_category_3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</si>
  <si>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rntoptattプラン3</t>
  </si>
  <si>
    <t>rntoptatt_plan_3</t>
  </si>
  <si>
    <r>
      <t xml:space="preserve">rntoptatt_plan_3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</si>
  <si>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rntoptattカテゴリ4</t>
  </si>
  <si>
    <t>rntoptatt_category_4</t>
  </si>
  <si>
    <r>
      <t xml:space="preserve">rntoptatt_category_4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</si>
  <si>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rntoptattプラン4</t>
  </si>
  <si>
    <t>rntoptatt_plan_4</t>
  </si>
  <si>
    <r>
      <t xml:space="preserve">rntoptatt_plan_4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</si>
  <si>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rntoptattカテゴリ5</t>
  </si>
  <si>
    <t>rntoptatt_category_5</t>
  </si>
  <si>
    <r>
      <t xml:space="preserve">rntoptatt_category_5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</si>
  <si>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rntoptattプラン5</t>
  </si>
  <si>
    <t>rntoptatt_plan_5</t>
  </si>
  <si>
    <r>
      <t xml:space="preserve">rntoptatt_plan_5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</si>
  <si>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rntoptattカテゴリ6</t>
  </si>
  <si>
    <t>rntoptatt_category_6</t>
  </si>
  <si>
    <r>
      <t xml:space="preserve">rntoptatt_category_6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</si>
  <si>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rntoptattプラン6</t>
  </si>
  <si>
    <t>rntoptatt_plan_6</t>
  </si>
  <si>
    <r>
      <t xml:space="preserve">rntoptatt_plan_6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</si>
  <si>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rntoptattカテゴリ7</t>
  </si>
  <si>
    <t>rntoptatt_category_7</t>
  </si>
  <si>
    <r>
      <t xml:space="preserve">rntoptatt_category_7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</si>
  <si>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rntoptattプラン7</t>
  </si>
  <si>
    <t>rntoptatt_plan_7</t>
  </si>
  <si>
    <r>
      <t xml:space="preserve">rntoptatt_plan_7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</si>
  <si>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rntoptattカテゴリ8</t>
  </si>
  <si>
    <t>rntoptatt_category_8</t>
  </si>
  <si>
    <r>
      <t xml:space="preserve">rntoptatt_category_8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</si>
  <si>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rntoptattプラン8</t>
  </si>
  <si>
    <t>rntoptatt_plan_8</t>
  </si>
  <si>
    <r>
      <t xml:space="preserve">rntoptatt_plan_8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</si>
  <si>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rntoptattカテゴリ9</t>
  </si>
  <si>
    <t>rntopta_tt_category_9</t>
  </si>
  <si>
    <r>
      <t xml:space="preserve">rntopta_tt_category_9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</si>
  <si>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rntoptattプラン9</t>
  </si>
  <si>
    <t>rntoptatt_plan_9</t>
  </si>
  <si>
    <r>
      <t xml:space="preserve">rntoptatt_plan_9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</si>
  <si>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rntoptattカテゴリ10</t>
  </si>
  <si>
    <t>rntoptatt_category_10</t>
  </si>
  <si>
    <r>
      <t xml:space="preserve">rntoptatt_category_10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</si>
  <si>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rntoptattプラン10</t>
  </si>
  <si>
    <t>rntoptatt_plan_10</t>
  </si>
  <si>
    <r>
      <t xml:space="preserve">rntoptatt_plan_10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</si>
  <si>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rntキャンペーン1</t>
  </si>
  <si>
    <t>rnt_campaign_1</t>
  </si>
  <si>
    <r>
      <t xml:space="preserve">rnt_campaign_1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</si>
  <si>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rntキャンペーン2</t>
  </si>
  <si>
    <t>rnt_campaign_2</t>
  </si>
  <si>
    <r>
      <t xml:space="preserve">rnt_campaign_2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</si>
  <si>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rntキャンペーン3</t>
  </si>
  <si>
    <t>rnt_campaign_3</t>
  </si>
  <si>
    <r>
      <t xml:space="preserve">rnt_campaign_3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</si>
  <si>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キャンペーンコード1</t>
  </si>
  <si>
    <t>campaign_code_1</t>
  </si>
  <si>
    <r>
      <t xml:space="preserve">campaign_code_1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</si>
  <si>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キャンペーンコード2</t>
  </si>
  <si>
    <t>campaign_code_2</t>
  </si>
  <si>
    <r>
      <t xml:space="preserve">campaign_code_2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</si>
  <si>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rnt緊急キャンペーン1</t>
  </si>
  <si>
    <t>rnt_urgent_campaign_1</t>
  </si>
  <si>
    <r>
      <t xml:space="preserve">rnt_urgent_campaign_1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</si>
  <si>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rnt緊急キャンペーン2</t>
  </si>
  <si>
    <t>rnt_urgent_campaign_2</t>
  </si>
  <si>
    <r>
      <t xml:space="preserve">rnt_urgent_campaign_2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</si>
  <si>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rnt緊急キャンペーン3</t>
  </si>
  <si>
    <t>rnt_urgent_campaign_3</t>
  </si>
  <si>
    <r>
      <t xml:space="preserve">rnt_urgent_campaign_3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</si>
  <si>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新規事務手数料免除</t>
  </si>
  <si>
    <t>new_service_fee_exemption</t>
  </si>
  <si>
    <r>
      <t xml:space="preserve">new_service_fee_exemption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</si>
  <si>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機種変更手数料免除</t>
  </si>
  <si>
    <t>model_upgrade_fee_exemption</t>
  </si>
  <si>
    <r>
      <t xml:space="preserve">model_upgrade_fee_exemption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</si>
  <si>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契変事務手数料免除</t>
  </si>
  <si>
    <t>contract_change_service_fee_exemption</t>
  </si>
  <si>
    <r>
      <t xml:space="preserve">contract_change_service_fee_exemption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</si>
  <si>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年契違約金免除</t>
  </si>
  <si>
    <t>annual_contract_penalty_exemption</t>
  </si>
  <si>
    <r>
      <t xml:space="preserve">annual_contract_penalty_exemption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</si>
  <si>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適用中相対割引終了日</t>
  </si>
  <si>
    <t>applicable_relative_discount_end_date</t>
  </si>
  <si>
    <r>
      <t xml:space="preserve">applicable_relative_discount_end_date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</si>
  <si>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相対pdカテゴリ1</t>
  </si>
  <si>
    <t>relative_pd_category_1</t>
  </si>
  <si>
    <r>
      <t xml:space="preserve">relative_pd_category_1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</si>
  <si>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相対pd名称1</t>
  </si>
  <si>
    <t>relative_pd_name_1</t>
  </si>
  <si>
    <r>
      <t xml:space="preserve">relative_pd_name_1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</si>
  <si>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相対割引方法1</t>
  </si>
  <si>
    <t>relative_discount_method_1</t>
  </si>
  <si>
    <r>
      <t xml:space="preserve">relative_discount_method_1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</si>
  <si>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相対有効開始日1</t>
  </si>
  <si>
    <t>relative_effective_start_date_1</t>
  </si>
  <si>
    <r>
      <t xml:space="preserve">relative_effective_start_date_1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</si>
  <si>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相対有効終了日1</t>
  </si>
  <si>
    <t>relative_effective_end_date_1</t>
  </si>
  <si>
    <r>
      <t xml:space="preserve">relative_effective_end_date_1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</si>
  <si>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相対請求金額1</t>
  </si>
  <si>
    <t>relative_billing_amount_1</t>
  </si>
  <si>
    <r>
      <t xml:space="preserve">relative_billing_amount_1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</si>
  <si>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相対割引金額1</t>
  </si>
  <si>
    <t>relative_discount_amount_1</t>
  </si>
  <si>
    <r>
      <t xml:space="preserve">relative_discount_amount_1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</si>
  <si>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相対割引率1</t>
  </si>
  <si>
    <t>relative_discount_rate_1</t>
  </si>
  <si>
    <r>
      <t xml:space="preserve">relative_discount_rate_1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</si>
  <si>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相対割引開始月1</t>
  </si>
  <si>
    <t>relative_discount_start_month_1</t>
  </si>
  <si>
    <r>
      <t xml:space="preserve">relative_discount_start_month_1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</si>
  <si>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相対期間1</t>
  </si>
  <si>
    <t>relative_period_1</t>
  </si>
  <si>
    <r>
      <t xml:space="preserve">relative_period_1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</si>
  <si>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相対pdカテゴリ2</t>
  </si>
  <si>
    <t>relative_pd_category_2</t>
  </si>
  <si>
    <r>
      <t xml:space="preserve">relative_pd_category_2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</si>
  <si>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相対pd名称2</t>
  </si>
  <si>
    <t>relative_pd_name_2</t>
  </si>
  <si>
    <r>
      <t xml:space="preserve">relative_pd_name_2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</si>
  <si>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相対割引方法2</t>
  </si>
  <si>
    <t>relative_discount_method_2</t>
  </si>
  <si>
    <r>
      <t xml:space="preserve">relative_discount_method_2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</si>
  <si>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相対有効開始日2</t>
  </si>
  <si>
    <t>relative_effective_start_date_2</t>
  </si>
  <si>
    <r>
      <t xml:space="preserve">relative_effective_start_date_2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</si>
  <si>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相対有効終了日2</t>
  </si>
  <si>
    <t>relative_effective_end_date_2</t>
  </si>
  <si>
    <r>
      <t xml:space="preserve">relative_effective_end_date_2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</si>
  <si>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相対請求金額2</t>
  </si>
  <si>
    <t>relative_invoice_amount_2</t>
  </si>
  <si>
    <r>
      <t xml:space="preserve">relative_invoice_amount_2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</si>
  <si>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相対割引金額2</t>
  </si>
  <si>
    <t>relative_discount_amount_2</t>
  </si>
  <si>
    <r>
      <t xml:space="preserve">relative_discount_amount_2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</si>
  <si>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相対割引率2</t>
  </si>
  <si>
    <t>relative_discount_rate_2</t>
  </si>
  <si>
    <r>
      <t xml:space="preserve">relative_discount_rate_2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</si>
  <si>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相対割引開始月2</t>
  </si>
  <si>
    <t>relative_discount_start_month_2</t>
  </si>
  <si>
    <r>
      <t xml:space="preserve">relative_discount_start_month_2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</si>
  <si>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相対期間2</t>
  </si>
  <si>
    <t>relative_period_2</t>
  </si>
  <si>
    <r>
      <t xml:space="preserve">relative_period_2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</si>
  <si>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相対pdカテゴリ3</t>
  </si>
  <si>
    <t>relative_pd_category_3</t>
  </si>
  <si>
    <r>
      <t xml:space="preserve">relative_pd_category_3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</si>
  <si>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相対pd名称3</t>
  </si>
  <si>
    <t>relative_pd_name_3</t>
  </si>
  <si>
    <r>
      <t xml:space="preserve">relative_pd_name_3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</si>
  <si>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相対割引方法3</t>
  </si>
  <si>
    <t>relative_discount_method_3</t>
  </si>
  <si>
    <r>
      <t xml:space="preserve">relative_discount_method_3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</si>
  <si>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相対有効開始日3</t>
  </si>
  <si>
    <t>relative_effective_start_date_3</t>
  </si>
  <si>
    <r>
      <t xml:space="preserve">relative_effective_start_date_3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</si>
  <si>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相対有効終了日3</t>
  </si>
  <si>
    <t>relative_effective_end_date_3</t>
  </si>
  <si>
    <r>
      <t xml:space="preserve">relative_effective_end_date_3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</si>
  <si>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相対請求金額3</t>
  </si>
  <si>
    <t>relative_invoice_amount_3</t>
  </si>
  <si>
    <r>
      <t xml:space="preserve">relative_invoice_amount_3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</si>
  <si>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相対割引金額3</t>
  </si>
  <si>
    <t>relative_discount_amount_3</t>
  </si>
  <si>
    <r>
      <t xml:space="preserve">relative_discount_amount_3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</si>
  <si>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相対割引率3</t>
  </si>
  <si>
    <t>relative_discount_rate_3</t>
  </si>
  <si>
    <r>
      <t xml:space="preserve">relative_discount_rate_3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</si>
  <si>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相対割引開始月3</t>
  </si>
  <si>
    <t>relative_discount_start_month_3</t>
  </si>
  <si>
    <r>
      <t xml:space="preserve">relative_discount_start_month_3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</si>
  <si>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相対期間3</t>
  </si>
  <si>
    <t>relative_period_3</t>
  </si>
  <si>
    <r>
      <t xml:space="preserve">relative_period_3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</si>
  <si>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相対pdカテゴリ4</t>
  </si>
  <si>
    <t>relative_pd_category_4</t>
  </si>
  <si>
    <r>
      <t xml:space="preserve">relative_pd_category_4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</si>
  <si>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相対pd名称4</t>
  </si>
  <si>
    <t>relative_pd_name_4</t>
  </si>
  <si>
    <r>
      <t xml:space="preserve">relative_pd_name_4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</si>
  <si>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相対割引方法4</t>
  </si>
  <si>
    <t>relative_discount_method_4</t>
  </si>
  <si>
    <r>
      <t xml:space="preserve">relative_discount_method_4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</si>
  <si>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相対有効開始日4</t>
  </si>
  <si>
    <t>relative_effective_start_date_4</t>
  </si>
  <si>
    <r>
      <t xml:space="preserve">relative_effective_start_date_4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</si>
  <si>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相対有効終了日4</t>
  </si>
  <si>
    <t>relative_effective_end_date_4</t>
  </si>
  <si>
    <r>
      <t xml:space="preserve">relative_effective_end_date_4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</si>
  <si>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相対請求金額4</t>
  </si>
  <si>
    <t>relative_invoice_amount_4</t>
  </si>
  <si>
    <r>
      <t xml:space="preserve">relative_invoice_amount_4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</si>
  <si>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相対割引金額4</t>
  </si>
  <si>
    <t>relative_discount_amount_4</t>
  </si>
  <si>
    <r>
      <t xml:space="preserve">relative_discount_amount_4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</si>
  <si>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相対割引率4</t>
  </si>
  <si>
    <t>relative_discount_rate_4</t>
  </si>
  <si>
    <r>
      <t xml:space="preserve">relative_discount_rate_4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</si>
  <si>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相対割引開始月4</t>
  </si>
  <si>
    <t>relative_discount_start_month_4</t>
  </si>
  <si>
    <r>
      <t xml:space="preserve">relative_discount_start_month_4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</si>
  <si>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相対期間4</t>
  </si>
  <si>
    <t>relative_period_4</t>
  </si>
  <si>
    <r>
      <t xml:space="preserve">relative_period_4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</si>
  <si>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相対pdカテゴリ5</t>
  </si>
  <si>
    <t>relative_pd_category_5</t>
  </si>
  <si>
    <r>
      <t xml:space="preserve">relative_pd_category_5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</si>
  <si>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相対pd名称5</t>
  </si>
  <si>
    <t>relative_pd_name_5</t>
  </si>
  <si>
    <r>
      <t xml:space="preserve">relative_pd_name_5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</si>
  <si>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相対割引方法5</t>
  </si>
  <si>
    <t>relative_discount_method_5</t>
  </si>
  <si>
    <r>
      <t xml:space="preserve">relative_discount_method_5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</si>
  <si>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相対有効開始日5</t>
  </si>
  <si>
    <t>relative_effective_start_date_5</t>
  </si>
  <si>
    <r>
      <t xml:space="preserve">relative_effective_start_date_5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</si>
  <si>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相対有効終了日5</t>
  </si>
  <si>
    <t>relative_effective_end_date_5</t>
  </si>
  <si>
    <r>
      <t xml:space="preserve">relative_effective_end_date_5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</si>
  <si>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相対請求金額5</t>
  </si>
  <si>
    <t>relative_invoice_amount_5</t>
  </si>
  <si>
    <r>
      <t xml:space="preserve">relative_invoice_amount_5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</si>
  <si>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相対割引金額5</t>
  </si>
  <si>
    <t>relative_discount_amount_5</t>
  </si>
  <si>
    <r>
      <t xml:space="preserve">relative_discount_amount_5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</si>
  <si>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相対割引率5</t>
  </si>
  <si>
    <t>relative_discount_rate_5</t>
  </si>
  <si>
    <r>
      <t xml:space="preserve">relative_discount_rate_5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</si>
  <si>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相対割引開始月5</t>
  </si>
  <si>
    <t>relative_discount_start_month_5</t>
  </si>
  <si>
    <r>
      <t xml:space="preserve">relative_discount_start_month_5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</si>
  <si>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相対期間5</t>
  </si>
  <si>
    <t>relative_period_5</t>
  </si>
  <si>
    <r>
      <t xml:space="preserve">relative_period_5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</si>
  <si>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相対pdカテゴリ6</t>
  </si>
  <si>
    <t>relative_pd_category_6</t>
  </si>
  <si>
    <r>
      <t xml:space="preserve">relative_pd_category_6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</si>
  <si>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相対pd名称6</t>
  </si>
  <si>
    <t>relative_pd_name_6</t>
  </si>
  <si>
    <r>
      <t xml:space="preserve">relative_pd_name_6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</si>
  <si>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相対割引方法6</t>
  </si>
  <si>
    <t>relative_discount_method_6</t>
  </si>
  <si>
    <r>
      <t xml:space="preserve">relative_discount_method_6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</si>
  <si>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相対有効開始日6</t>
  </si>
  <si>
    <t>relative_effective_start_date_6</t>
  </si>
  <si>
    <r>
      <t xml:space="preserve">relative_effective_start_date_6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</si>
  <si>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相対有効終了日6</t>
  </si>
  <si>
    <t>relative_effective_end_date_6</t>
  </si>
  <si>
    <r>
      <t xml:space="preserve">relative_effective_end_date_6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</si>
  <si>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相対請求金額6</t>
  </si>
  <si>
    <t>relative_invoice_amount_6</t>
  </si>
  <si>
    <r>
      <t xml:space="preserve">relative_invoice_amount_6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</si>
  <si>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相対割引金額6</t>
  </si>
  <si>
    <t>relative_discount_amount_6</t>
  </si>
  <si>
    <r>
      <t xml:space="preserve">relative_discount_amount_6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</si>
  <si>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相対割引率6</t>
  </si>
  <si>
    <t>relative_discount_rate_6</t>
  </si>
  <si>
    <r>
      <t xml:space="preserve">relative_discount_rate_6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</si>
  <si>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相対割引開始月6</t>
  </si>
  <si>
    <t>relative_discount_start_month_6</t>
  </si>
  <si>
    <r>
      <t xml:space="preserve">relative_discount_start_month_6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</si>
  <si>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相対期間6</t>
  </si>
  <si>
    <t>relative_period_6</t>
  </si>
  <si>
    <r>
      <t xml:space="preserve">relative_period_6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</si>
  <si>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相対pdカテゴリ7</t>
  </si>
  <si>
    <t>relative_pd_category_7</t>
  </si>
  <si>
    <r>
      <t xml:space="preserve">relative_pd_category_7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</si>
  <si>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相対pd名称7</t>
  </si>
  <si>
    <t>relative_pd_name_7</t>
  </si>
  <si>
    <r>
      <t xml:space="preserve">relative_pd_name_7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</si>
  <si>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相対割引方法7</t>
  </si>
  <si>
    <t>relative_discount_method_7</t>
  </si>
  <si>
    <r>
      <t xml:space="preserve">relative_discount_method_7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</si>
  <si>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相対有効開始日7</t>
  </si>
  <si>
    <t>relative_effective_start_date_7</t>
  </si>
  <si>
    <r>
      <t xml:space="preserve">relative_effective_start_date_7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</si>
  <si>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相対有効終了日7</t>
  </si>
  <si>
    <t>relative_effective_end_date_7</t>
  </si>
  <si>
    <r>
      <t xml:space="preserve">relative_effective_end_date_7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</si>
  <si>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相対請求金額7</t>
  </si>
  <si>
    <t>relative_invoice_amount_7</t>
  </si>
  <si>
    <r>
      <t xml:space="preserve">relative_invoice_amount_7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</si>
  <si>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相対割引金額7</t>
  </si>
  <si>
    <t>relative_discount_amount_7</t>
  </si>
  <si>
    <r>
      <t xml:space="preserve">relative_discount_amount_7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</si>
  <si>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相対割引率7</t>
  </si>
  <si>
    <t>relative_discount_rate_7</t>
  </si>
  <si>
    <r>
      <t xml:space="preserve">relative_discount_rate_7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</si>
  <si>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相対割引開始月7</t>
  </si>
  <si>
    <t>relative_discount_start_month_7</t>
  </si>
  <si>
    <r>
      <t xml:space="preserve">relative_discount_start_month_7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</si>
  <si>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相対期間7</t>
  </si>
  <si>
    <t>relative_period_7</t>
  </si>
  <si>
    <r>
      <t xml:space="preserve">relative_period_7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</si>
  <si>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相対pdカテゴリ8</t>
  </si>
  <si>
    <t>relative_pd_category_8</t>
  </si>
  <si>
    <r>
      <t xml:space="preserve">relative_pd_category_8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</si>
  <si>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相対pd名称8</t>
  </si>
  <si>
    <t>relative_pd_name_8</t>
  </si>
  <si>
    <r>
      <t xml:space="preserve">relative_pd_name_8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</si>
  <si>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相対割引方法8</t>
  </si>
  <si>
    <t>relative_discount_method_8</t>
  </si>
  <si>
    <r>
      <t xml:space="preserve">relative_discount_method_8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</si>
  <si>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相対有効開始日8</t>
  </si>
  <si>
    <t>relative_effective_start_date_8</t>
  </si>
  <si>
    <r>
      <t xml:space="preserve">relative_effective_start_date_8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</si>
  <si>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相対有効終了日8</t>
  </si>
  <si>
    <t>relative_effective_end_date_8</t>
  </si>
  <si>
    <r>
      <t xml:space="preserve">relative_effective_end_date_8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</si>
  <si>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相対請求金額8</t>
  </si>
  <si>
    <t>relative_invoice_amount_8</t>
  </si>
  <si>
    <r>
      <t xml:space="preserve">relative_invoice_amount_8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</si>
  <si>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相対割引金額8</t>
  </si>
  <si>
    <t>relative_discount_amount_8</t>
  </si>
  <si>
    <r>
      <t xml:space="preserve">relative_discount_amount_8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</si>
  <si>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相対割引率8</t>
  </si>
  <si>
    <t>relative_discount_rate_8</t>
  </si>
  <si>
    <r>
      <t xml:space="preserve">relative_discount_rate_8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</si>
  <si>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相対割引開始月8</t>
  </si>
  <si>
    <t>relative_discount_start_month_8</t>
  </si>
  <si>
    <r>
      <t xml:space="preserve">relative_discount_start_month_8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</si>
  <si>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相対期間8</t>
  </si>
  <si>
    <t>relative_period_8</t>
  </si>
  <si>
    <r>
      <t xml:space="preserve">relative_period_8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</si>
  <si>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相対pdカテゴリ9</t>
  </si>
  <si>
    <t>relative_pd_category_9</t>
  </si>
  <si>
    <r>
      <t xml:space="preserve">relative_pd_category_9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</si>
  <si>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相対pd名称9</t>
  </si>
  <si>
    <t>relative_pd_name_9</t>
  </si>
  <si>
    <r>
      <t xml:space="preserve">relative_pd_name_9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</si>
  <si>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相対割引方法9</t>
  </si>
  <si>
    <t>relative_discount_method_9</t>
  </si>
  <si>
    <r>
      <t xml:space="preserve">relative_discount_method_9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</si>
  <si>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相対有効開始日9</t>
  </si>
  <si>
    <t>relative_effective_start_date_9</t>
  </si>
  <si>
    <r>
      <t xml:space="preserve">relative_effective_start_date_9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</si>
  <si>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相対有効終了日9</t>
  </si>
  <si>
    <t>relative_effective_end_date_9</t>
  </si>
  <si>
    <r>
      <t xml:space="preserve">relative_effective_end_date_9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</si>
  <si>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相対請求金額9</t>
  </si>
  <si>
    <t>relative_invoice_amount_9</t>
  </si>
  <si>
    <r>
      <t xml:space="preserve">relative_invoice_amount_9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</si>
  <si>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相対割引金額9</t>
  </si>
  <si>
    <t>relative_discount_amount_9</t>
  </si>
  <si>
    <r>
      <t xml:space="preserve">relative_discount_amount_9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</si>
  <si>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相対割引率9</t>
  </si>
  <si>
    <t>relative_discount_rate_9</t>
  </si>
  <si>
    <r>
      <t xml:space="preserve">relative_discount_rate_9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</si>
  <si>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相対割引開始月9</t>
  </si>
  <si>
    <t>relative_discount_start_month_9</t>
  </si>
  <si>
    <r>
      <t xml:space="preserve">relative_discount_start_month_9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</si>
  <si>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相対期間9</t>
  </si>
  <si>
    <t>relative_period_9</t>
  </si>
  <si>
    <r>
      <t xml:space="preserve">relative_period_9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</si>
  <si>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相対pdカテゴリ10</t>
  </si>
  <si>
    <t>relative_pd_category_10</t>
  </si>
  <si>
    <r>
      <t xml:space="preserve">relative_pd_category_10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</si>
  <si>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相対pd名称10</t>
  </si>
  <si>
    <t>relative_pd_name_10</t>
  </si>
  <si>
    <r>
      <t xml:space="preserve">relative_pd_name_10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</si>
  <si>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相対割引方法10</t>
  </si>
  <si>
    <t>relative_discount_method_10</t>
  </si>
  <si>
    <r>
      <t xml:space="preserve">relative_discount_method_10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</si>
  <si>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相対有効開始日10</t>
  </si>
  <si>
    <t>relative_effective_start_date_10</t>
  </si>
  <si>
    <r>
      <t xml:space="preserve">relative_effective_start_date_10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</si>
  <si>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相対有効終了日10</t>
  </si>
  <si>
    <t>relative_effective_end_date_10</t>
  </si>
  <si>
    <r>
      <t xml:space="preserve">relative_effective_end_date_10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</si>
  <si>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相対請求金額10</t>
  </si>
  <si>
    <t>relative_invoice_amount_10</t>
  </si>
  <si>
    <r>
      <t xml:space="preserve">relative_invoice_amount_10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</si>
  <si>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相対割引金額10</t>
  </si>
  <si>
    <t>relative_discount_amount_10</t>
  </si>
  <si>
    <r>
      <t xml:space="preserve">relative_discount_amount_10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</si>
  <si>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相対割引率10</t>
  </si>
  <si>
    <t>relative_discount_rate_10</t>
  </si>
  <si>
    <r>
      <t xml:space="preserve">relative_discount_rate_10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</si>
  <si>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相対割引開始月10</t>
  </si>
  <si>
    <t>relative_discount_start_month_10</t>
  </si>
  <si>
    <r>
      <t xml:space="preserve">relative_discount_start_month_10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</si>
  <si>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相対期間10</t>
  </si>
  <si>
    <t>relative_period_10</t>
  </si>
  <si>
    <r>
      <t xml:space="preserve">relative_period_10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</si>
  <si>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相対他pdカテゴリ1</t>
  </si>
  <si>
    <t>relative_other_pd_category_1</t>
  </si>
  <si>
    <r>
      <t xml:space="preserve">relative_other_pd_category_1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</si>
  <si>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相対他pd名称1</t>
  </si>
  <si>
    <t>relative_other_pd_name_1</t>
  </si>
  <si>
    <r>
      <t xml:space="preserve">relative_other_pd_name_1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</si>
  <si>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相対他割引方法1</t>
  </si>
  <si>
    <t>relative_other_discount_method_1</t>
  </si>
  <si>
    <r>
      <t xml:space="preserve">relative_other_discount_method_1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</si>
  <si>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相対他有効開始日1</t>
  </si>
  <si>
    <t>relative_other_effective_start_date_1</t>
  </si>
  <si>
    <r>
      <t xml:space="preserve">relative_other_effective_start_date_1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</si>
  <si>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相対他有効終了日1</t>
  </si>
  <si>
    <t>relative_other_effective_end_date_1</t>
  </si>
  <si>
    <r>
      <t xml:space="preserve">relative_other_effective_end_date_1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</si>
  <si>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相対他請求金額1</t>
  </si>
  <si>
    <t>relative_other_invoice_amount_1</t>
  </si>
  <si>
    <r>
      <t xml:space="preserve">relative_other_invoice_amount_1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</si>
  <si>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相対他割引金額1</t>
  </si>
  <si>
    <t>relative_other_discount_amount_1</t>
  </si>
  <si>
    <r>
      <t xml:space="preserve">relative_other_discount_amount_1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</si>
  <si>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相対他割引率1</t>
  </si>
  <si>
    <t>relative_other_discount_rate_1</t>
  </si>
  <si>
    <r>
      <t xml:space="preserve">relative_other_discount_rate_1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</si>
  <si>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相対他割引開始月1</t>
  </si>
  <si>
    <t>relative_other_discount_start_month_1</t>
  </si>
  <si>
    <r>
      <t xml:space="preserve">relative_other_discount_start_month_1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</si>
  <si>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相対他期間1</t>
  </si>
  <si>
    <t>relative_other_period_1</t>
  </si>
  <si>
    <r>
      <t xml:space="preserve">relative_other_period_1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</si>
  <si>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相対他pdカテゴリ2</t>
  </si>
  <si>
    <t>relative_other_pd_category_2</t>
  </si>
  <si>
    <r>
      <t xml:space="preserve">relative_other_pd_category_2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</si>
  <si>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相対他pd名称2</t>
  </si>
  <si>
    <t>relative_other_pd_name_2</t>
  </si>
  <si>
    <r>
      <t xml:space="preserve">relative_other_pd_name_2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</si>
  <si>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相対他割引方法2</t>
  </si>
  <si>
    <t>relative_other_discount_method_2</t>
  </si>
  <si>
    <r>
      <t xml:space="preserve">relative_other_discount_method_2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</si>
  <si>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相対他有効開始日2</t>
  </si>
  <si>
    <t>relative_other_effective_open_start_date_2</t>
  </si>
  <si>
    <r>
      <t xml:space="preserve">relative_other_effective_open_start_date_2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</si>
  <si>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相対他有効終了日2</t>
  </si>
  <si>
    <t>relative_other_effective_end_date_2</t>
  </si>
  <si>
    <r>
      <t xml:space="preserve">relative_other_effective_end_date_2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</si>
  <si>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相対他請求金額2</t>
  </si>
  <si>
    <t>relative_other_invoice_amount_2</t>
  </si>
  <si>
    <r>
      <t xml:space="preserve">relative_other_invoice_amount_2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</si>
  <si>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相対他割引金額2</t>
  </si>
  <si>
    <t>relative_other_discount_amount_2</t>
  </si>
  <si>
    <r>
      <t xml:space="preserve">relative_other_discount_amount_2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</si>
  <si>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相対他割引率2</t>
  </si>
  <si>
    <t>relative_other_discount_rate_2</t>
  </si>
  <si>
    <r>
      <t xml:space="preserve">relative_other_discount_rate_2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</si>
  <si>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相対他割引開始月2</t>
  </si>
  <si>
    <t>relative_other_discount_start_month_2</t>
  </si>
  <si>
    <r>
      <t xml:space="preserve">relative_other_discount_start_month_2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</si>
  <si>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相対他期間2</t>
  </si>
  <si>
    <t>relative_other_period_2</t>
  </si>
  <si>
    <r>
      <t xml:space="preserve">relative_other_period_2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</si>
  <si>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相対他pdカテゴリ3</t>
  </si>
  <si>
    <t>relative_other_pd_category_3</t>
  </si>
  <si>
    <r>
      <t xml:space="preserve">relative_other_pd_category_3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</si>
  <si>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相対他pd名称3</t>
  </si>
  <si>
    <t>relative_other_pd_name_3</t>
  </si>
  <si>
    <r>
      <t xml:space="preserve">relative_other_pd_name_3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</si>
  <si>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相対他割引方法3</t>
  </si>
  <si>
    <t>relative_other_discount_method_3</t>
  </si>
  <si>
    <r>
      <t xml:space="preserve">relative_other_discount_method_3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</si>
  <si>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相対他有効開始日3</t>
  </si>
  <si>
    <t>relative_other_effective_start_date_3</t>
  </si>
  <si>
    <r>
      <t xml:space="preserve">relative_other_effective_start_date_3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</si>
  <si>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相対他有効終了日3</t>
  </si>
  <si>
    <t>relative_other_effective_end_date_3</t>
  </si>
  <si>
    <r>
      <t xml:space="preserve">relative_other_effective_end_date_3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</si>
  <si>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相対他請求金額3</t>
  </si>
  <si>
    <t>relative_other_invoice_amount_3</t>
  </si>
  <si>
    <r>
      <t xml:space="preserve">relative_other_invoice_amount_3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</si>
  <si>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相対他割引金額3</t>
  </si>
  <si>
    <t>relative_other_discount_amount_3</t>
  </si>
  <si>
    <r>
      <t xml:space="preserve">relative_other_discount_amount_3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</si>
  <si>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相対他割引率3</t>
  </si>
  <si>
    <t>relative_other_discount_rate_3</t>
  </si>
  <si>
    <r>
      <t xml:space="preserve">relative_other_discount_rate_3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</si>
  <si>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相対他割引開始月3</t>
  </si>
  <si>
    <t>relative_other_discount_start_month_3</t>
  </si>
  <si>
    <r>
      <t xml:space="preserve">relative_other_discount_start_month_3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</si>
  <si>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相対他期間3</t>
  </si>
  <si>
    <t>relative_other_period_3</t>
  </si>
  <si>
    <r>
      <t xml:space="preserve">relative_other_period_3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</si>
  <si>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相対他pdカテゴリ4</t>
  </si>
  <si>
    <t>relative_other_pd_category_4</t>
  </si>
  <si>
    <r>
      <t xml:space="preserve">relative_other_pd_category_4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</si>
  <si>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相対他pd名称4</t>
  </si>
  <si>
    <t>relative_other_pd_name_4</t>
  </si>
  <si>
    <r>
      <t xml:space="preserve">relative_other_pd_name_4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</si>
  <si>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相対他割引方法4</t>
  </si>
  <si>
    <t>relative_other_discount_method_4</t>
  </si>
  <si>
    <r>
      <t xml:space="preserve">relative_other_discount_method_4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</si>
  <si>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相対他有効開始日4</t>
  </si>
  <si>
    <t>relative_other_effective_start_date_4</t>
  </si>
  <si>
    <r>
      <t xml:space="preserve">relative_other_effective_start_date_4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</si>
  <si>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相対他有効終了日4</t>
  </si>
  <si>
    <t>relative_other_effective_end_date_4</t>
  </si>
  <si>
    <r>
      <t xml:space="preserve">relative_other_effective_end_date_4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</si>
  <si>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相対他請求金額4</t>
  </si>
  <si>
    <t>relative_other_invoice_amount_4</t>
  </si>
  <si>
    <r>
      <t xml:space="preserve">relative_other_invoice_amount_4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</si>
  <si>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相対他割引金額4</t>
  </si>
  <si>
    <t>relative_other_discount_amount_4</t>
  </si>
  <si>
    <r>
      <t xml:space="preserve">relative_other_discount_amount_4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</si>
  <si>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相対他割引率4</t>
  </si>
  <si>
    <t>relative_other_discount_rate_4</t>
  </si>
  <si>
    <r>
      <t xml:space="preserve">relative_other_discount_rate_4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</si>
  <si>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相対他割引開始月4</t>
  </si>
  <si>
    <t>relative_other_discount_start_month_4</t>
  </si>
  <si>
    <r>
      <t xml:space="preserve">relative_other_discount_start_month_4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</si>
  <si>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相対他期間4</t>
  </si>
  <si>
    <t>relative_other_period_4</t>
  </si>
  <si>
    <r>
      <t xml:space="preserve">relative_other_period_4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</si>
  <si>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相対他pdカテゴリ5</t>
  </si>
  <si>
    <t>relative_other_pd_category_5</t>
  </si>
  <si>
    <r>
      <t xml:space="preserve">relative_other_pd_category_5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</si>
  <si>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相対他pd名称5</t>
  </si>
  <si>
    <t>relative_other_pd_name_5</t>
  </si>
  <si>
    <r>
      <t xml:space="preserve">relative_other_pd_name_5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</si>
  <si>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相対他割引方法5</t>
  </si>
  <si>
    <t>relative_other_discount_method_5</t>
  </si>
  <si>
    <r>
      <t xml:space="preserve">relative_other_discount_method_5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</si>
  <si>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相対他有効開始日5</t>
  </si>
  <si>
    <t>relative_other_effective_start_date_5</t>
  </si>
  <si>
    <r>
      <t xml:space="preserve">relative_other_effective_start_date_5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</si>
  <si>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相対他有効終了日5</t>
  </si>
  <si>
    <t>relative_other_effective_end_date_5</t>
  </si>
  <si>
    <r>
      <t xml:space="preserve">relative_other_effective_end_date_5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</si>
  <si>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相対他請求金額5</t>
  </si>
  <si>
    <t>relative_other_billing_amount_5</t>
  </si>
  <si>
    <r>
      <t xml:space="preserve">relative_other_billing_amount_5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</si>
  <si>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相対他割引金額5</t>
  </si>
  <si>
    <t>relative_other_discount_amount_5</t>
  </si>
  <si>
    <r>
      <t xml:space="preserve">relative_other_discount_amount_5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</si>
  <si>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相対他割引率5</t>
  </si>
  <si>
    <t>relative_other_discount_rate_5</t>
  </si>
  <si>
    <r>
      <t xml:space="preserve">relative_other_discount_rate_5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</si>
  <si>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相対他割引開始月5</t>
  </si>
  <si>
    <t>relative_other_discount_start_month_5</t>
  </si>
  <si>
    <r>
      <t xml:space="preserve">relative_other_discount_start_month_5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</si>
  <si>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相対他期間5</t>
  </si>
  <si>
    <t>relative_other_period_5</t>
  </si>
  <si>
    <r>
      <t xml:space="preserve">relative_other_period_5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</si>
  <si>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rnt登録事務手数料免除</t>
  </si>
  <si>
    <t>rnt_registration_administrative_fee_waiver</t>
  </si>
  <si>
    <r>
      <t xml:space="preserve">rnt_registration_administrative_fee_waiver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</si>
  <si>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rnt登録事務手数料金額</t>
  </si>
  <si>
    <t>rnt_registration_administrative_fee_amount</t>
  </si>
  <si>
    <r>
      <t xml:space="preserve">rnt_registration_administrative_fee_amount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</si>
  <si>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rnt解約違約金割引方法</t>
  </si>
  <si>
    <t>rnt_cancellation_penalty_discount_method</t>
  </si>
  <si>
    <r>
      <t xml:space="preserve">rnt_cancellation_penalty_discount_method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</si>
  <si>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rnt解約違約金金額</t>
  </si>
  <si>
    <t>rnt_cancellation_penalty_amount</t>
  </si>
  <si>
    <r>
      <t xml:space="preserve">rnt_cancellation_penalty_amount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</si>
  <si>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r相対op1</t>
  </si>
  <si>
    <t>rrelative_op_1</t>
  </si>
  <si>
    <r>
      <t xml:space="preserve">rrelative_op_1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</si>
  <si>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r相対プラン1</t>
  </si>
  <si>
    <t>rrelative_plan_1</t>
  </si>
  <si>
    <r>
      <t xml:space="preserve">rrelative_plan_1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</si>
  <si>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r相対割引方法1</t>
  </si>
  <si>
    <t>rrelative_discount_method_1</t>
  </si>
  <si>
    <r>
      <t xml:space="preserve">rrelative_discount_method_1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</si>
  <si>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r相対有効開始日1</t>
  </si>
  <si>
    <t>rrelative_effective_start_date_1</t>
  </si>
  <si>
    <r>
      <t xml:space="preserve">rrelative_effective_start_date_1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</si>
  <si>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r相対有効終了日1</t>
  </si>
  <si>
    <t>rrelative_effective_end_date_1</t>
  </si>
  <si>
    <r>
      <t xml:space="preserve">rrelative_effective_end_date_1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</si>
  <si>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r相対金額1</t>
  </si>
  <si>
    <t>rrelative_amount_1</t>
  </si>
  <si>
    <r>
      <t xml:space="preserve">rrelative_amount_1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</si>
  <si>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t>r相対期間1</t>
  </si>
  <si>
    <t>rrelative_period_1</t>
  </si>
  <si>
    <r>
      <t xml:space="preserve">rrelative_period_1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</si>
  <si>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r相対op2</t>
  </si>
  <si>
    <t>rrelative_op_2</t>
  </si>
  <si>
    <r>
      <t xml:space="preserve">rrelative_op_2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</si>
  <si>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r相対プラン2</t>
  </si>
  <si>
    <t>rrelative_plan_2</t>
  </si>
  <si>
    <r>
      <t xml:space="preserve">rrelative_plan_2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</si>
  <si>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r相対割引方法2</t>
  </si>
  <si>
    <t>rrelative_discount_method_2</t>
  </si>
  <si>
    <r>
      <t xml:space="preserve">rrelative_discount_method_2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</si>
  <si>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r相対有効開始日2</t>
  </si>
  <si>
    <t>rrelative_effective_start_date_2</t>
  </si>
  <si>
    <r>
      <t xml:space="preserve">rrelative_effective_start_date_2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</si>
  <si>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r相対有効終了日2</t>
  </si>
  <si>
    <t>rrelative_effective_end_date_2</t>
  </si>
  <si>
    <r>
      <t xml:space="preserve">rrelative_effective_end_date_2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</si>
  <si>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r相対金額2</t>
  </si>
  <si>
    <t>rrelative_amount_2</t>
  </si>
  <si>
    <r>
      <t xml:space="preserve">rrelative_amount_2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</si>
  <si>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t>r相対期間2</t>
  </si>
  <si>
    <t>rrelative_period_2</t>
  </si>
  <si>
    <r>
      <t xml:space="preserve">rrelative_period_2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</si>
  <si>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r相対op3</t>
  </si>
  <si>
    <t>rrelative_op_3</t>
  </si>
  <si>
    <r>
      <t xml:space="preserve">rrelative_op_3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</si>
  <si>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r相対プラン3</t>
  </si>
  <si>
    <t>rrelative_plan_3</t>
  </si>
  <si>
    <r>
      <t xml:space="preserve">rrelative_plan_3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</si>
  <si>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r相対割引方法3</t>
  </si>
  <si>
    <t>rrelative_discount_method_3</t>
  </si>
  <si>
    <r>
      <t xml:space="preserve">rrelative_discount_method_3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</si>
  <si>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r相対有効開始日3</t>
  </si>
  <si>
    <t>rrelative_effective_start_date_3</t>
  </si>
  <si>
    <r>
      <t xml:space="preserve">rrelative_effective_start_date_3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</si>
  <si>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r相対有効終了日3</t>
  </si>
  <si>
    <t>rrelative_effective_end_date_3</t>
  </si>
  <si>
    <r>
      <t xml:space="preserve">rrelative_effective_end_date_3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</si>
  <si>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r相対金額3</t>
  </si>
  <si>
    <t>rrelative_amount_3</t>
  </si>
  <si>
    <r>
      <t xml:space="preserve">rrelative_amount_3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</si>
  <si>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t>r相対期間3</t>
  </si>
  <si>
    <t>rrelative_period_3</t>
  </si>
  <si>
    <r>
      <t xml:space="preserve">rrelative_period_3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</si>
  <si>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r相対op4</t>
  </si>
  <si>
    <t>rrelative_op_4</t>
  </si>
  <si>
    <r>
      <t xml:space="preserve">rrelative_op_4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</si>
  <si>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r相対プラン4</t>
  </si>
  <si>
    <t>rrelative_plan_4</t>
  </si>
  <si>
    <r>
      <t xml:space="preserve">rrelative_plan_4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</si>
  <si>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r相対割引方法4</t>
  </si>
  <si>
    <t>rrelative_discount_discount_method_4</t>
  </si>
  <si>
    <r>
      <t xml:space="preserve">rrelative_discount_discount_method_4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</si>
  <si>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r相対有効開始日4</t>
  </si>
  <si>
    <t>rrelative_effective_start_date_4</t>
  </si>
  <si>
    <r>
      <t xml:space="preserve">rrelative_effective_start_date_4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</si>
  <si>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r相対有効終了日4</t>
  </si>
  <si>
    <t>rrelative_effective_end_date_4</t>
  </si>
  <si>
    <r>
      <t xml:space="preserve">rrelative_effective_end_date_4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</si>
  <si>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r相対金額4</t>
  </si>
  <si>
    <t>rrelative_amount_4</t>
  </si>
  <si>
    <r>
      <t xml:space="preserve">rrelative_amount_4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</si>
  <si>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t>r相対期間4</t>
  </si>
  <si>
    <t>rrelative_period_4</t>
  </si>
  <si>
    <r>
      <t xml:space="preserve">rrelative_period_4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</si>
  <si>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r相対op5</t>
  </si>
  <si>
    <t>rrelative_op_5</t>
  </si>
  <si>
    <r>
      <t xml:space="preserve">rrelative_op_5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</si>
  <si>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r相対プラン5</t>
  </si>
  <si>
    <t>rrelative_plan_5</t>
  </si>
  <si>
    <r>
      <t xml:space="preserve">rrelative_plan_5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</si>
  <si>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r相対割引方法5</t>
  </si>
  <si>
    <t>rrelative_discount_method_5</t>
  </si>
  <si>
    <r>
      <t xml:space="preserve">rrelative_discount_method_5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</si>
  <si>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r相対有効開始日5</t>
  </si>
  <si>
    <t>rrelative_effective_start_date_5</t>
  </si>
  <si>
    <r>
      <t xml:space="preserve">rrelative_effective_start_date_5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</si>
  <si>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r相対有効終了日5</t>
  </si>
  <si>
    <t>rrelative_effective_end_date_5</t>
  </si>
  <si>
    <r>
      <t xml:space="preserve">rrelative_effective_end_date_5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</si>
  <si>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r相対金額5</t>
  </si>
  <si>
    <t>rrelative_amount_5</t>
  </si>
  <si>
    <r>
      <t xml:space="preserve">rrelative_amount_5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</si>
  <si>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t>r相対期間5</t>
  </si>
  <si>
    <t>rrelative_period_5</t>
  </si>
  <si>
    <r>
      <t xml:space="preserve">rrelative_period_5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</si>
  <si>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r相対他pd名称1</t>
  </si>
  <si>
    <t>rrelative_other_pd_name_1</t>
  </si>
  <si>
    <r>
      <t xml:space="preserve">rrelative_other_pd_name_1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</si>
  <si>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r相対他割引方法1</t>
  </si>
  <si>
    <t>rrelative_other_discount_method_1</t>
  </si>
  <si>
    <r>
      <t xml:space="preserve">rrelative_other_discount_method_1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</si>
  <si>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r相対他有効開始日1</t>
  </si>
  <si>
    <t>rrelative_other_effective_start_date_1</t>
  </si>
  <si>
    <r>
      <t xml:space="preserve">rrelative_other_effective_start_date_1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</si>
  <si>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r相対他有効終了日1</t>
  </si>
  <si>
    <t>rrelative_other_effective_end_date_1</t>
  </si>
  <si>
    <r>
      <t xml:space="preserve">rrelative_other_effective_end_date_1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</si>
  <si>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r相対他金額1</t>
  </si>
  <si>
    <t>rrelative_other_amount_1</t>
  </si>
  <si>
    <r>
      <t xml:space="preserve">rrelative_other_amount_1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</si>
  <si>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t>r相対他期間1</t>
  </si>
  <si>
    <t>rrelative_other_period_1</t>
  </si>
  <si>
    <r>
      <t xml:space="preserve">rrelative_other_period_1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</si>
  <si>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r相対他pd名称2</t>
  </si>
  <si>
    <t>rrelative_other_pd_name_2</t>
  </si>
  <si>
    <r>
      <t xml:space="preserve">rrelative_other_pd_name_2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</si>
  <si>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r相対他割引方法2</t>
  </si>
  <si>
    <t>rrelative_other_discount_method_2</t>
  </si>
  <si>
    <r>
      <t xml:space="preserve">rrelative_other_discount_method_2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</si>
  <si>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r相対他有効開始日2</t>
  </si>
  <si>
    <t>rrelative_other_effective_start_date_2</t>
  </si>
  <si>
    <r>
      <t xml:space="preserve">rrelative_other_effective_start_date_2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</si>
  <si>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r相対他有効終了日2</t>
  </si>
  <si>
    <t>rrelative_other_effective_end_date_2</t>
  </si>
  <si>
    <r>
      <t xml:space="preserve">rrelative_other_effective_end_date_2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</si>
  <si>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r相対他金額2</t>
  </si>
  <si>
    <t>rrelative_other_amount_2</t>
  </si>
  <si>
    <r>
      <t xml:space="preserve">rrelative_other_amount_2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</si>
  <si>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t>r相対他期間2</t>
  </si>
  <si>
    <t>rrelative_other_period_2</t>
  </si>
  <si>
    <r>
      <t xml:space="preserve">rrelative_other_period_2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</si>
  <si>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r相対他pd名称3</t>
  </si>
  <si>
    <t>rrelative_other_pd_name_3</t>
  </si>
  <si>
    <r>
      <t xml:space="preserve">rrelative_other_pd_name_3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</si>
  <si>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r相対他割引方法3</t>
  </si>
  <si>
    <t>rrelative_other_discount_method_3</t>
  </si>
  <si>
    <r>
      <t xml:space="preserve">rrelative_other_discount_method_3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</si>
  <si>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r相対他有効開始日3</t>
  </si>
  <si>
    <t>rrelative_other_effective_start_date_3</t>
  </si>
  <si>
    <r>
      <t xml:space="preserve">rrelative_other_effective_start_date_3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</si>
  <si>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r相対他有効終了日3</t>
  </si>
  <si>
    <t>rrelative_other_effective_end_date_3</t>
  </si>
  <si>
    <r>
      <t xml:space="preserve">rrelative_other_effective_end_date_3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</si>
  <si>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r相対他金額3</t>
  </si>
  <si>
    <t>rrelative_other_amount_3</t>
  </si>
  <si>
    <r>
      <t xml:space="preserve">rrelative_other_amount_3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</si>
  <si>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t>r相対他期間3</t>
  </si>
  <si>
    <t>rrelative_other_period_3</t>
  </si>
  <si>
    <r>
      <t xml:space="preserve">rrelative_other_period_3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</si>
  <si>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r相対他pd名称4</t>
  </si>
  <si>
    <t>rrelative_other_pd_name_4</t>
  </si>
  <si>
    <r>
      <t xml:space="preserve">rrelative_other_pd_name_4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</si>
  <si>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r相対他割引方法4</t>
  </si>
  <si>
    <t>rrelative_other_discount_method_method_4</t>
  </si>
  <si>
    <r>
      <t xml:space="preserve">rrelative_other_discount_method_method_4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</si>
  <si>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r相対他有効開始日4</t>
  </si>
  <si>
    <t>r_relative_other_valid_start_date_4</t>
  </si>
  <si>
    <r>
      <t xml:space="preserve">r_relative_other_valid_start_date_4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</si>
  <si>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r相対他有効終了日4</t>
  </si>
  <si>
    <t>r_relative_other_valid_end_date_4</t>
  </si>
  <si>
    <r>
      <t xml:space="preserve">r_relative_other_valid_end_date_4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</si>
  <si>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r相対他金額4</t>
  </si>
  <si>
    <t>r_relative_other_amount_4</t>
  </si>
  <si>
    <r>
      <t xml:space="preserve">r_relative_other_amount_4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</si>
  <si>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t>r相対他期間4</t>
  </si>
  <si>
    <t>r_relative_other_period_4</t>
  </si>
  <si>
    <r>
      <t xml:space="preserve">r_relative_other_period_4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</si>
  <si>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r相対他pd名称5</t>
  </si>
  <si>
    <t>r_relative_other_pd_name_5</t>
  </si>
  <si>
    <r>
      <t xml:space="preserve">r_relative_other_pd_name_5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</si>
  <si>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r相対他割引方法5</t>
  </si>
  <si>
    <t>r_relative_other_discount_method_5</t>
  </si>
  <si>
    <r>
      <t xml:space="preserve">r_relative_other_discount_method_5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</si>
  <si>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r相対他有効開始日5</t>
  </si>
  <si>
    <t>r_relative_other_valid_start_date_5</t>
  </si>
  <si>
    <r>
      <t xml:space="preserve">r_relative_other_valid_start_date_5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</si>
  <si>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r相対他有効終了日5</t>
  </si>
  <si>
    <t>r_relative_other_valid_end_date_5</t>
  </si>
  <si>
    <r>
      <t xml:space="preserve">r_relative_other_valid_end_date_5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</si>
  <si>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r相対他金額5</t>
  </si>
  <si>
    <t>r_relative_other_amount_5</t>
  </si>
  <si>
    <r>
      <t xml:space="preserve">r_relative_other_amount_5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</si>
  <si>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t>r相対他期間5</t>
  </si>
  <si>
    <t>r_relative_other_period_5</t>
  </si>
  <si>
    <r>
      <t xml:space="preserve">r_relative_other_period_5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</si>
  <si>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プラン変更許可範囲1</t>
  </si>
  <si>
    <t>plan_change_permission_range_1</t>
  </si>
  <si>
    <r>
      <t xml:space="preserve">plan_change_permission_range_1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</si>
  <si>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プラン変更許可範囲2</t>
  </si>
  <si>
    <t>plan_change_permission_range_2</t>
  </si>
  <si>
    <r>
      <t xml:space="preserve">plan_change_permission_range_2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</si>
  <si>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プラン変更許可範囲3</t>
  </si>
  <si>
    <t>plan_change_permission_range_3</t>
  </si>
  <si>
    <r>
      <t xml:space="preserve">plan_change_permission_range_3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</si>
  <si>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プラン変更許可範囲4</t>
  </si>
  <si>
    <t>plan_change_permission_range_4</t>
  </si>
  <si>
    <r>
      <t xml:space="preserve">plan_change_permission_range_4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</si>
  <si>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プラン変更許可範囲5</t>
  </si>
  <si>
    <t>plan_change_permission_range_5</t>
  </si>
  <si>
    <r>
      <t xml:space="preserve">plan_change_permission_range_5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</si>
  <si>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プラン変更許可範囲6</t>
  </si>
  <si>
    <t>plan_change_permission_range_6</t>
  </si>
  <si>
    <r>
      <t xml:space="preserve">plan_change_permission_range_6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</si>
  <si>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プラン変更許可範囲7</t>
  </si>
  <si>
    <t>plan_change_permission_range_7</t>
  </si>
  <si>
    <r>
      <t xml:space="preserve">plan_change_permission_range_7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</si>
  <si>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プラン変更許可範囲8</t>
  </si>
  <si>
    <t>plan_change_permission_range_8</t>
  </si>
  <si>
    <r>
      <t xml:space="preserve">plan_change_permission_range_8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</si>
  <si>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プラン変更許可範囲9</t>
  </si>
  <si>
    <t>plan_change_permission_range_9</t>
  </si>
  <si>
    <r>
      <t xml:space="preserve">plan_change_permission_range_9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</si>
  <si>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解除料免除率</t>
  </si>
  <si>
    <t>cancellation_fee_exemption_rate</t>
  </si>
  <si>
    <r>
      <t xml:space="preserve">cancellation_fee_exemption_rate </t>
    </r>
    <r>
      <rPr>
        <b/>
        <sz val="10"/>
        <color rgb="FF0080FF"/>
        <rFont val="Consolas"/>
        <family val="3"/>
      </rPr>
      <t>VARCHAR</t>
    </r>
    <r>
      <rPr>
        <b/>
        <sz val="10"/>
        <color rgb="FF808080"/>
        <rFont val="Consolas"/>
        <family val="3"/>
      </rPr>
      <t>(</t>
    </r>
    <r>
      <rPr>
        <b/>
        <sz val="10"/>
        <color rgb="FFFF2800"/>
        <rFont val="Consolas"/>
        <family val="3"/>
      </rPr>
      <t>12</t>
    </r>
    <r>
      <rPr>
        <b/>
        <sz val="10"/>
        <color rgb="FF808080"/>
        <rFont val="Consolas"/>
        <family val="3"/>
      </rPr>
      <t>),</t>
    </r>
  </si>
  <si>
    <t>起算日変更</t>
  </si>
  <si>
    <t>start_date_change</t>
  </si>
  <si>
    <r>
      <t xml:space="preserve">start_date_change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</si>
  <si>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サマリ作成担当者id</t>
  </si>
  <si>
    <t>summary_creator_id</t>
  </si>
  <si>
    <r>
      <t xml:space="preserve">summary_creator_id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</si>
  <si>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サマリ作成日時</t>
  </si>
  <si>
    <t>summary_creation_date_and_time</t>
  </si>
  <si>
    <r>
      <t xml:space="preserve">summary_creation_date_and_time </t>
    </r>
    <r>
      <rPr>
        <b/>
        <sz val="10"/>
        <color rgb="FF0080FF"/>
        <rFont val="Consolas"/>
        <family val="3"/>
      </rPr>
      <t>VARCHAR</t>
    </r>
    <r>
      <rPr>
        <b/>
        <sz val="10"/>
        <color rgb="FF808080"/>
        <rFont val="Consolas"/>
        <family val="3"/>
      </rPr>
      <t>(</t>
    </r>
    <r>
      <rPr>
        <b/>
        <sz val="10"/>
        <color rgb="FFFF2800"/>
        <rFont val="Consolas"/>
        <family val="3"/>
      </rPr>
      <t>78</t>
    </r>
    <r>
      <rPr>
        <b/>
        <sz val="10"/>
        <color rgb="FF808080"/>
        <rFont val="Consolas"/>
        <family val="3"/>
      </rPr>
      <t>),</t>
    </r>
  </si>
  <si>
    <t>サマリ更新担当者id</t>
  </si>
  <si>
    <t>summary_updater_id</t>
  </si>
  <si>
    <r>
      <t xml:space="preserve">summary_updater_id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</si>
  <si>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サマリ更新日時</t>
  </si>
  <si>
    <t>summary_update_date_and_time</t>
  </si>
  <si>
    <r>
      <t xml:space="preserve">summary_update_date_and_time </t>
    </r>
    <r>
      <rPr>
        <b/>
        <sz val="10"/>
        <color rgb="FF0080FF"/>
        <rFont val="Consolas"/>
        <family val="3"/>
      </rPr>
      <t>VARCHAR</t>
    </r>
    <r>
      <rPr>
        <b/>
        <sz val="10"/>
        <color rgb="FF808080"/>
        <rFont val="Consolas"/>
        <family val="3"/>
      </rPr>
      <t>(</t>
    </r>
    <r>
      <rPr>
        <b/>
        <sz val="10"/>
        <color rgb="FFFF2800"/>
        <rFont val="Consolas"/>
        <family val="3"/>
      </rPr>
      <t>78</t>
    </r>
    <r>
      <rPr>
        <b/>
        <sz val="10"/>
        <color rgb="FF808080"/>
        <rFont val="Consolas"/>
        <family val="3"/>
      </rPr>
      <t>),</t>
    </r>
  </si>
  <si>
    <t>回線数下限</t>
  </si>
  <si>
    <t>minimum_number_of_lines</t>
  </si>
  <si>
    <r>
      <t xml:space="preserve">minimum_number_of_lines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</si>
  <si>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提供世代種別</t>
  </si>
  <si>
    <t>generation_type</t>
  </si>
  <si>
    <r>
      <t xml:space="preserve">generation_type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</si>
  <si>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レンタル機変詳細名称</t>
  </si>
  <si>
    <t>rental_device_change_details_name</t>
  </si>
  <si>
    <r>
      <t xml:space="preserve">rental_device_change_details_name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</si>
  <si>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現端末利用期間名称</t>
  </si>
  <si>
    <t>current_device_usage_period_name</t>
  </si>
  <si>
    <r>
      <t xml:space="preserve">current_device_usage_period_name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</si>
  <si>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現端末回収状況名称</t>
  </si>
  <si>
    <t>current_device_collection_status_name</t>
  </si>
  <si>
    <r>
      <t xml:space="preserve">current_device_collection_status_name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</si>
  <si>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現端末未回収残高</t>
  </si>
  <si>
    <t>current_device_uncollected_balance</t>
  </si>
  <si>
    <r>
      <t xml:space="preserve">current_device_uncollected_balance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</si>
  <si>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現端末ブランド名</t>
  </si>
  <si>
    <t>current_device_brand_name</t>
  </si>
  <si>
    <r>
      <t xml:space="preserve">current_device_brand_name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</si>
  <si>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現端末商品コード</t>
  </si>
  <si>
    <t>current_device_product_code</t>
  </si>
  <si>
    <r>
      <t xml:space="preserve">current_device_product_code </t>
    </r>
    <r>
      <rPr>
        <b/>
        <sz val="10"/>
        <color rgb="FF0080FF"/>
        <rFont val="Consolas"/>
        <family val="3"/>
      </rPr>
      <t>VARCHAR</t>
    </r>
    <r>
      <rPr>
        <b/>
        <sz val="10"/>
        <color rgb="FF808080"/>
        <rFont val="Consolas"/>
        <family val="3"/>
      </rPr>
      <t>(</t>
    </r>
    <r>
      <rPr>
        <b/>
        <sz val="10"/>
        <color rgb="FFFF2800"/>
        <rFont val="Consolas"/>
        <family val="3"/>
      </rPr>
      <t>45</t>
    </r>
    <r>
      <rPr>
        <b/>
        <sz val="10"/>
        <color rgb="FF808080"/>
        <rFont val="Consolas"/>
        <family val="3"/>
      </rPr>
      <t>),</t>
    </r>
  </si>
  <si>
    <t>現端末商品名称</t>
  </si>
  <si>
    <t>current_device_product_name</t>
  </si>
  <si>
    <r>
      <t xml:space="preserve">current_device_product_name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</si>
  <si>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現端末購入月</t>
  </si>
  <si>
    <t>current_device_purchase_month</t>
  </si>
  <si>
    <r>
      <t xml:space="preserve">current_device_purchase_month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</si>
  <si>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複数回線割引名称</t>
  </si>
  <si>
    <t>multiple_line_discount_name</t>
  </si>
  <si>
    <r>
      <t xml:space="preserve">multiple_line_discount_name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</si>
  <si>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実通話国内音声</t>
  </si>
  <si>
    <t>actual_domestic_voice_calls</t>
  </si>
  <si>
    <r>
      <t xml:space="preserve">actual_domestic_voice_calls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</si>
  <si>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実通話国内データ</t>
  </si>
  <si>
    <t>actual_domestic_data_calls</t>
  </si>
  <si>
    <r>
      <t xml:space="preserve">actual_domestic_data_calls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</si>
  <si>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大口割引名称</t>
  </si>
  <si>
    <t>large_volume_discount_name</t>
  </si>
  <si>
    <r>
      <t xml:space="preserve">large_volume_discount_name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</si>
  <si>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実通話国際電話</t>
  </si>
  <si>
    <t>actual_international_calls</t>
  </si>
  <si>
    <r>
      <t xml:space="preserve">actual_international_calls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</si>
  <si>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国際rmデータ</t>
  </si>
  <si>
    <t>international_rm_data</t>
  </si>
  <si>
    <r>
      <t xml:space="preserve">international_rm_data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</si>
  <si>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国際rm音声</t>
  </si>
  <si>
    <t>international_rm_voice</t>
  </si>
  <si>
    <r>
      <t xml:space="preserve">international_rm_voice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</si>
  <si>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シェア相対パケ名称</t>
  </si>
  <si>
    <t>share_relative_package_name</t>
  </si>
  <si>
    <r>
      <t xml:space="preserve">share_relative_package_name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</si>
  <si>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違約金減額増額</t>
  </si>
  <si>
    <t>penalty_reduction_increase</t>
  </si>
  <si>
    <r>
      <t xml:space="preserve">penalty_reduction_increase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</si>
  <si>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代理店協業有無名称</t>
  </si>
  <si>
    <t>agency_collaboration_status_name</t>
  </si>
  <si>
    <r>
      <t xml:space="preserve">agency_collaboration_status_name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</si>
  <si>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二次代理店コード</t>
  </si>
  <si>
    <t>secondary_agency_code</t>
  </si>
  <si>
    <r>
      <t xml:space="preserve">secondary_agency_code </t>
    </r>
    <r>
      <rPr>
        <b/>
        <sz val="10"/>
        <color rgb="FF0080FF"/>
        <rFont val="Consolas"/>
        <family val="3"/>
      </rPr>
      <t>VARCHAR</t>
    </r>
    <r>
      <rPr>
        <b/>
        <sz val="10"/>
        <color rgb="FF808080"/>
        <rFont val="Consolas"/>
        <family val="3"/>
      </rPr>
      <t>(</t>
    </r>
    <r>
      <rPr>
        <b/>
        <sz val="10"/>
        <color rgb="FFFF2800"/>
        <rFont val="Consolas"/>
        <family val="3"/>
      </rPr>
      <t>180</t>
    </r>
    <r>
      <rPr>
        <b/>
        <sz val="10"/>
        <color rgb="FF808080"/>
        <rFont val="Consolas"/>
        <family val="3"/>
      </rPr>
      <t>),</t>
    </r>
  </si>
  <si>
    <t>二次代理店名</t>
  </si>
  <si>
    <t>secondary_agency_name</t>
  </si>
  <si>
    <r>
      <t xml:space="preserve">secondary_agency_name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</si>
  <si>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請求代行業者名称</t>
  </si>
  <si>
    <t>billing_agent_name</t>
  </si>
  <si>
    <r>
      <t xml:space="preserve">billing_agent_name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</si>
  <si>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ショット手数料</t>
  </si>
  <si>
    <t>short_term_fee</t>
  </si>
  <si>
    <r>
      <t xml:space="preserve">short_term_fee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</si>
  <si>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継続手数料率</t>
  </si>
  <si>
    <t>continuing_fee_rate</t>
  </si>
  <si>
    <r>
      <t xml:space="preserve">continuing_fee_rate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</si>
  <si>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カスタマイズ等請求額</t>
  </si>
  <si>
    <t>customization_and_other_billing_amounts</t>
  </si>
  <si>
    <r>
      <t xml:space="preserve">customization_and_other_billing_amounts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</si>
  <si>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カスタマイズ等コスト</t>
  </si>
  <si>
    <t>customization_and_other_costs</t>
  </si>
  <si>
    <r>
      <t xml:space="preserve">customization_and_other_costs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</si>
  <si>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capex</t>
  </si>
  <si>
    <r>
      <t xml:space="preserve">capex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</si>
  <si>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その他調整額</t>
  </si>
  <si>
    <t>other_adjustments</t>
  </si>
  <si>
    <r>
      <t xml:space="preserve">other_adjustments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</si>
  <si>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bizコンシェル定価</t>
  </si>
  <si>
    <t>biz_concierge_list_price</t>
  </si>
  <si>
    <r>
      <t xml:space="preserve">biz_concierge_list_price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</si>
  <si>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bizコンシェル値引額</t>
  </si>
  <si>
    <t>biz_concierge_discount_amount</t>
  </si>
  <si>
    <r>
      <t xml:space="preserve">biz_concierge_discount_amount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</si>
  <si>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bizコンシェルコスト</t>
  </si>
  <si>
    <t>biz_concierge_cost</t>
  </si>
  <si>
    <r>
      <t xml:space="preserve">biz_concierge_cost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</si>
  <si>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保守端末ブランド名</t>
  </si>
  <si>
    <t>maintenance_device_brand_name</t>
  </si>
  <si>
    <r>
      <t xml:space="preserve">maintenance_device_brand_name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</si>
  <si>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保守端末商品コード</t>
  </si>
  <si>
    <t>maintenance_device_product_code</t>
  </si>
  <si>
    <r>
      <t xml:space="preserve">maintenance_device_product_code </t>
    </r>
    <r>
      <rPr>
        <b/>
        <sz val="10"/>
        <color rgb="FF0080FF"/>
        <rFont val="Consolas"/>
        <family val="3"/>
      </rPr>
      <t>VARCHAR</t>
    </r>
    <r>
      <rPr>
        <b/>
        <sz val="10"/>
        <color rgb="FF808080"/>
        <rFont val="Consolas"/>
        <family val="3"/>
      </rPr>
      <t>(</t>
    </r>
    <r>
      <rPr>
        <b/>
        <sz val="10"/>
        <color rgb="FFFF2800"/>
        <rFont val="Consolas"/>
        <family val="3"/>
      </rPr>
      <t>45</t>
    </r>
    <r>
      <rPr>
        <b/>
        <sz val="10"/>
        <color rgb="FF808080"/>
        <rFont val="Consolas"/>
        <family val="3"/>
      </rPr>
      <t>),</t>
    </r>
  </si>
  <si>
    <t>保守端末商品名称</t>
  </si>
  <si>
    <t>maintenance_device_product_name</t>
  </si>
  <si>
    <r>
      <t xml:space="preserve">maintenance_device_product_name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</si>
  <si>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保守端末標準価格</t>
  </si>
  <si>
    <t>maintenance_device_standard_price</t>
  </si>
  <si>
    <r>
      <t xml:space="preserve">maintenance_device_standard_price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</si>
  <si>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保守端末値引</t>
  </si>
  <si>
    <t>maintenance_device_discount</t>
  </si>
  <si>
    <r>
      <t xml:space="preserve">maintenance_device_discount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</si>
  <si>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保守端末数量</t>
  </si>
  <si>
    <t>maintenance_quantity_of_terminals</t>
  </si>
  <si>
    <r>
      <t xml:space="preserve">maintenance_quantity_of_terminals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</si>
  <si>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wo適用名称</t>
  </si>
  <si>
    <t>wo_applicable_name</t>
  </si>
  <si>
    <r>
      <t xml:space="preserve">wo_applicable_name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</si>
  <si>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足回り名称</t>
  </si>
  <si>
    <t>suspension_name</t>
  </si>
  <si>
    <r>
      <t xml:space="preserve">suspension_name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</si>
  <si>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ntt東西ma内外名称1</t>
  </si>
  <si>
    <t>ntt_east_west_ma_domestic_foreign_name_1</t>
  </si>
  <si>
    <r>
      <t xml:space="preserve">ntt_east_west_ma_domestic_foreign_name_1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</si>
  <si>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アクセス回線距離1</t>
  </si>
  <si>
    <t>access_line_distance_1</t>
  </si>
  <si>
    <r>
      <t xml:space="preserve">access_line_distance_1 </t>
    </r>
    <r>
      <rPr>
        <b/>
        <sz val="10"/>
        <color rgb="FF0080FF"/>
        <rFont val="Consolas"/>
        <family val="3"/>
      </rPr>
      <t>VARCHAR</t>
    </r>
    <r>
      <rPr>
        <b/>
        <sz val="10"/>
        <color rgb="FF808080"/>
        <rFont val="Consolas"/>
        <family val="3"/>
      </rPr>
      <t>(</t>
    </r>
    <r>
      <rPr>
        <b/>
        <sz val="10"/>
        <color rgb="FFFF2800"/>
        <rFont val="Consolas"/>
        <family val="3"/>
      </rPr>
      <t>39</t>
    </r>
    <r>
      <rPr>
        <b/>
        <sz val="10"/>
        <color rgb="FF808080"/>
        <rFont val="Consolas"/>
        <family val="3"/>
      </rPr>
      <t>),</t>
    </r>
  </si>
  <si>
    <t>回線数1</t>
  </si>
  <si>
    <t>number_of_lines_1</t>
  </si>
  <si>
    <r>
      <t xml:space="preserve">number_of_lines_1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</si>
  <si>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定価1</t>
  </si>
  <si>
    <t>list_price_1</t>
  </si>
  <si>
    <r>
      <t xml:space="preserve">list_price_1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</si>
  <si>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ntt東西ma内外名称2</t>
  </si>
  <si>
    <t>ntt_east_west_ma_domestic_foreign_name_2</t>
  </si>
  <si>
    <r>
      <t xml:space="preserve">ntt_east_west_ma_domestic_foreign_name_2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</si>
  <si>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アクセス回線距離2</t>
  </si>
  <si>
    <t>access_line_distance_2</t>
  </si>
  <si>
    <r>
      <t xml:space="preserve">access_line_distance_2 </t>
    </r>
    <r>
      <rPr>
        <b/>
        <sz val="10"/>
        <color rgb="FF0080FF"/>
        <rFont val="Consolas"/>
        <family val="3"/>
      </rPr>
      <t>VARCHAR</t>
    </r>
    <r>
      <rPr>
        <b/>
        <sz val="10"/>
        <color rgb="FF808080"/>
        <rFont val="Consolas"/>
        <family val="3"/>
      </rPr>
      <t>(</t>
    </r>
    <r>
      <rPr>
        <b/>
        <sz val="10"/>
        <color rgb="FFFF2800"/>
        <rFont val="Consolas"/>
        <family val="3"/>
      </rPr>
      <t>39</t>
    </r>
    <r>
      <rPr>
        <b/>
        <sz val="10"/>
        <color rgb="FF808080"/>
        <rFont val="Consolas"/>
        <family val="3"/>
      </rPr>
      <t>),</t>
    </r>
  </si>
  <si>
    <t>回線数2</t>
  </si>
  <si>
    <t>number_of_lines_2</t>
  </si>
  <si>
    <r>
      <t xml:space="preserve">number_of_lines_2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</si>
  <si>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定価2</t>
  </si>
  <si>
    <t>list_price_2</t>
  </si>
  <si>
    <r>
      <t xml:space="preserve">list_price_2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</si>
  <si>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da1500提供額値引</t>
  </si>
  <si>
    <t>da1500_offer_price_discount</t>
  </si>
  <si>
    <r>
      <t xml:space="preserve">da1500_offer_price_discount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</si>
  <si>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内線番号値引</t>
  </si>
  <si>
    <t>extension_number_discount</t>
  </si>
  <si>
    <r>
      <t xml:space="preserve">extension_number_discount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</si>
  <si>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内線番号回線数</t>
  </si>
  <si>
    <t>number_of_extension_number_lines</t>
  </si>
  <si>
    <r>
      <t xml:space="preserve">number_of_extension_number_lines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</si>
  <si>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拠点番号値引</t>
  </si>
  <si>
    <t>location_number_discount</t>
  </si>
  <si>
    <r>
      <t xml:space="preserve">location_number_discount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</si>
  <si>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拠点番号回線数</t>
  </si>
  <si>
    <t>number_of_location_number_lines</t>
  </si>
  <si>
    <r>
      <t xml:space="preserve">number_of_location_number_lines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</si>
  <si>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ipbgw登録工事費値引</t>
  </si>
  <si>
    <t>ipbgw_registration_installation_fee_discount</t>
  </si>
  <si>
    <r>
      <t xml:space="preserve">ipbgw_registration_installation_fee_discount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</si>
  <si>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ipbgw登録工事gw台数</t>
  </si>
  <si>
    <t>number_of_ipbgw_registration_installation_gws</t>
  </si>
  <si>
    <r>
      <t xml:space="preserve">number_of_ipbgw_registration_installation_gws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</si>
  <si>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ip接続ch接続料値引</t>
  </si>
  <si>
    <t>ip_connection_channel_connection_fee_discount</t>
  </si>
  <si>
    <r>
      <t xml:space="preserve">ip_connection_channel_connection_fee_discount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</si>
  <si>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ip接続ch接続料ch数</t>
  </si>
  <si>
    <t>number_of_ip_connection_channel_connection_fee_channels</t>
  </si>
  <si>
    <r>
      <t xml:space="preserve">number_of_ip_connection_channel_connection_fee_channels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</si>
  <si>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月額固定コスト</t>
  </si>
  <si>
    <t>monthly_fixed_cost</t>
  </si>
  <si>
    <r>
      <t xml:space="preserve">monthly_fixed_cost </t>
    </r>
    <r>
      <rPr>
        <b/>
        <sz val="10"/>
        <color rgb="FF0080FF"/>
        <rFont val="Consolas"/>
        <family val="3"/>
      </rPr>
      <t>VARCHAR</t>
    </r>
    <r>
      <rPr>
        <b/>
        <sz val="10"/>
        <color rgb="FF808080"/>
        <rFont val="Consolas"/>
        <family val="3"/>
      </rPr>
      <t>(</t>
    </r>
    <r>
      <rPr>
        <b/>
        <sz val="10"/>
        <color rgb="FFFF2800"/>
        <rFont val="Consolas"/>
        <family val="3"/>
      </rPr>
      <t>27</t>
    </r>
    <r>
      <rPr>
        <b/>
        <sz val="10"/>
        <color rgb="FF808080"/>
        <rFont val="Consolas"/>
        <family val="3"/>
      </rPr>
      <t>),</t>
    </r>
  </si>
  <si>
    <t>月額変動コスト</t>
  </si>
  <si>
    <t>monthly_variable_cost</t>
  </si>
  <si>
    <r>
      <t xml:space="preserve">monthly_variable_cost </t>
    </r>
    <r>
      <rPr>
        <b/>
        <sz val="10"/>
        <color rgb="FF0080FF"/>
        <rFont val="Consolas"/>
        <family val="3"/>
      </rPr>
      <t>VARCHAR</t>
    </r>
    <r>
      <rPr>
        <b/>
        <sz val="10"/>
        <color rgb="FF808080"/>
        <rFont val="Consolas"/>
        <family val="3"/>
      </rPr>
      <t>(</t>
    </r>
    <r>
      <rPr>
        <b/>
        <sz val="10"/>
        <color rgb="FFFF2800"/>
        <rFont val="Consolas"/>
        <family val="3"/>
      </rPr>
      <t>27</t>
    </r>
    <r>
      <rPr>
        <b/>
        <sz val="10"/>
        <color rgb="FF808080"/>
        <rFont val="Consolas"/>
        <family val="3"/>
      </rPr>
      <t>),</t>
    </r>
  </si>
  <si>
    <t>請求書一括割引</t>
  </si>
  <si>
    <t>bulk_invoice_discount</t>
  </si>
  <si>
    <r>
      <t xml:space="preserve">bulk_invoice_discount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</si>
  <si>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通話従量率</t>
  </si>
  <si>
    <t>call_pay_as_you_go_rate</t>
  </si>
  <si>
    <r>
      <t xml:space="preserve">call_pay_as_you_go_rate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</si>
  <si>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国際通話従量率</t>
  </si>
  <si>
    <t>international_call_pay_as_you_go_rate</t>
  </si>
  <si>
    <r>
      <t xml:space="preserve">international_call_pay_as_you_go_rate </t>
    </r>
    <r>
      <rPr>
        <b/>
        <sz val="10"/>
        <color rgb="FF0080FF"/>
        <rFont val="Consolas"/>
        <family val="3"/>
      </rPr>
      <t>VARCHAR</t>
    </r>
    <r>
      <rPr>
        <b/>
        <sz val="10"/>
        <color rgb="FF808080"/>
        <rFont val="Consolas"/>
        <family val="3"/>
      </rPr>
      <t>(</t>
    </r>
    <r>
      <rPr>
        <b/>
        <sz val="10"/>
        <color rgb="FFFF2800"/>
        <rFont val="Consolas"/>
        <family val="3"/>
      </rPr>
      <t>45</t>
    </r>
    <r>
      <rPr>
        <b/>
        <sz val="10"/>
        <color rgb="FF808080"/>
        <rFont val="Consolas"/>
        <family val="3"/>
      </rPr>
      <t>),</t>
    </r>
  </si>
  <si>
    <t>国際アクセスチャージ</t>
  </si>
  <si>
    <t>international_access_charge</t>
  </si>
  <si>
    <r>
      <t xml:space="preserve">international_access_charge </t>
    </r>
    <r>
      <rPr>
        <b/>
        <sz val="10"/>
        <color rgb="FF0080FF"/>
        <rFont val="Consolas"/>
        <family val="3"/>
      </rPr>
      <t>VARCHAR</t>
    </r>
    <r>
      <rPr>
        <b/>
        <sz val="10"/>
        <color rgb="FF808080"/>
        <rFont val="Consolas"/>
        <family val="3"/>
      </rPr>
      <t>(</t>
    </r>
    <r>
      <rPr>
        <b/>
        <sz val="10"/>
        <color rgb="FFFF2800"/>
        <rFont val="Consolas"/>
        <family val="3"/>
      </rPr>
      <t>45</t>
    </r>
    <r>
      <rPr>
        <b/>
        <sz val="10"/>
        <color rgb="FF808080"/>
        <rFont val="Consolas"/>
        <family val="3"/>
      </rPr>
      <t>),</t>
    </r>
  </si>
  <si>
    <t>旧連結営業貢献利益</t>
  </si>
  <si>
    <t>previous_consolidated_operating_contribution_margin</t>
  </si>
  <si>
    <r>
      <t xml:space="preserve">previous_consolidated_operating_contribution_margin </t>
    </r>
    <r>
      <rPr>
        <b/>
        <sz val="10"/>
        <color rgb="FF0080FF"/>
        <rFont val="Consolas"/>
        <family val="3"/>
      </rPr>
      <t>VARCHAR</t>
    </r>
    <r>
      <rPr>
        <b/>
        <sz val="10"/>
        <color rgb="FF808080"/>
        <rFont val="Consolas"/>
        <family val="3"/>
      </rPr>
      <t>(</t>
    </r>
    <r>
      <rPr>
        <b/>
        <sz val="10"/>
        <color rgb="FFFF2800"/>
        <rFont val="Consolas"/>
        <family val="3"/>
      </rPr>
      <t>45</t>
    </r>
    <r>
      <rPr>
        <b/>
        <sz val="10"/>
        <color rgb="FF808080"/>
        <rFont val="Consolas"/>
        <family val="3"/>
      </rPr>
      <t>),</t>
    </r>
  </si>
  <si>
    <t>新sbmnpv</t>
  </si>
  <si>
    <t>new_sbm_npv</t>
  </si>
  <si>
    <r>
      <t xml:space="preserve">new_sbm_npv </t>
    </r>
    <r>
      <rPr>
        <b/>
        <sz val="10"/>
        <color rgb="FF0080FF"/>
        <rFont val="Consolas"/>
        <family val="3"/>
      </rPr>
      <t>VARCHAR</t>
    </r>
    <r>
      <rPr>
        <b/>
        <sz val="10"/>
        <color rgb="FF808080"/>
        <rFont val="Consolas"/>
        <family val="3"/>
      </rPr>
      <t>(</t>
    </r>
    <r>
      <rPr>
        <b/>
        <sz val="10"/>
        <color rgb="FFFF2800"/>
        <rFont val="Consolas"/>
        <family val="3"/>
      </rPr>
      <t>45</t>
    </r>
    <r>
      <rPr>
        <b/>
        <sz val="10"/>
        <color rgb="FF808080"/>
        <rFont val="Consolas"/>
        <family val="3"/>
      </rPr>
      <t>),</t>
    </r>
  </si>
  <si>
    <t>相対相談1</t>
  </si>
  <si>
    <t>private_consultation_1</t>
  </si>
  <si>
    <r>
      <t xml:space="preserve">private_consultation_1 </t>
    </r>
    <r>
      <rPr>
        <b/>
        <sz val="10"/>
        <color rgb="FF0080FF"/>
        <rFont val="Consolas"/>
        <family val="3"/>
      </rPr>
      <t>VARCHAR</t>
    </r>
    <r>
      <rPr>
        <b/>
        <sz val="10"/>
        <color rgb="FF808080"/>
        <rFont val="Consolas"/>
        <family val="3"/>
      </rPr>
      <t>(</t>
    </r>
    <r>
      <rPr>
        <b/>
        <sz val="10"/>
        <color rgb="FFFF2800"/>
        <rFont val="Consolas"/>
        <family val="3"/>
      </rPr>
      <t>45</t>
    </r>
    <r>
      <rPr>
        <b/>
        <sz val="10"/>
        <color rgb="FF808080"/>
        <rFont val="Consolas"/>
        <family val="3"/>
      </rPr>
      <t>),</t>
    </r>
  </si>
  <si>
    <t>相対相談2</t>
  </si>
  <si>
    <t>private_consultation_2</t>
  </si>
  <si>
    <r>
      <t xml:space="preserve">private_consultation_2 </t>
    </r>
    <r>
      <rPr>
        <b/>
        <sz val="10"/>
        <color rgb="FF0080FF"/>
        <rFont val="Consolas"/>
        <family val="3"/>
      </rPr>
      <t>VARCHAR</t>
    </r>
    <r>
      <rPr>
        <b/>
        <sz val="10"/>
        <color rgb="FF808080"/>
        <rFont val="Consolas"/>
        <family val="3"/>
      </rPr>
      <t>(</t>
    </r>
    <r>
      <rPr>
        <b/>
        <sz val="10"/>
        <color rgb="FFFF2800"/>
        <rFont val="Consolas"/>
        <family val="3"/>
      </rPr>
      <t>45</t>
    </r>
    <r>
      <rPr>
        <b/>
        <sz val="10"/>
        <color rgb="FF808080"/>
        <rFont val="Consolas"/>
        <family val="3"/>
      </rPr>
      <t>),</t>
    </r>
  </si>
  <si>
    <t>相対相談3</t>
  </si>
  <si>
    <t>private_consultation_3</t>
  </si>
  <si>
    <r>
      <t xml:space="preserve">private_consultation_3 </t>
    </r>
    <r>
      <rPr>
        <b/>
        <sz val="10"/>
        <color rgb="FF0080FF"/>
        <rFont val="Consolas"/>
        <family val="3"/>
      </rPr>
      <t>VARCHAR</t>
    </r>
    <r>
      <rPr>
        <b/>
        <sz val="10"/>
        <color rgb="FF808080"/>
        <rFont val="Consolas"/>
        <family val="3"/>
      </rPr>
      <t>(</t>
    </r>
    <r>
      <rPr>
        <b/>
        <sz val="10"/>
        <color rgb="FFFF2800"/>
        <rFont val="Consolas"/>
        <family val="3"/>
      </rPr>
      <t>45</t>
    </r>
    <r>
      <rPr>
        <b/>
        <sz val="10"/>
        <color rgb="FF808080"/>
        <rFont val="Consolas"/>
        <family val="3"/>
      </rPr>
      <t>),</t>
    </r>
  </si>
  <si>
    <t>相対相談4</t>
  </si>
  <si>
    <t>private_consultation_4</t>
  </si>
  <si>
    <r>
      <t xml:space="preserve">private_consultation_4 </t>
    </r>
    <r>
      <rPr>
        <b/>
        <sz val="10"/>
        <color rgb="FF0080FF"/>
        <rFont val="Consolas"/>
        <family val="3"/>
      </rPr>
      <t>VARCHAR</t>
    </r>
    <r>
      <rPr>
        <b/>
        <sz val="10"/>
        <color rgb="FF808080"/>
        <rFont val="Consolas"/>
        <family val="3"/>
      </rPr>
      <t>(</t>
    </r>
    <r>
      <rPr>
        <b/>
        <sz val="10"/>
        <color rgb="FFFF2800"/>
        <rFont val="Consolas"/>
        <family val="3"/>
      </rPr>
      <t>45</t>
    </r>
    <r>
      <rPr>
        <b/>
        <sz val="10"/>
        <color rgb="FF808080"/>
        <rFont val="Consolas"/>
        <family val="3"/>
      </rPr>
      <t>),</t>
    </r>
  </si>
  <si>
    <t>相対相談5</t>
  </si>
  <si>
    <t>private_consultation_5</t>
  </si>
  <si>
    <r>
      <t xml:space="preserve">private_consultation_5 </t>
    </r>
    <r>
      <rPr>
        <b/>
        <sz val="10"/>
        <color rgb="FF0080FF"/>
        <rFont val="Consolas"/>
        <family val="3"/>
      </rPr>
      <t>VARCHAR</t>
    </r>
    <r>
      <rPr>
        <b/>
        <sz val="10"/>
        <color rgb="FF808080"/>
        <rFont val="Consolas"/>
        <family val="3"/>
      </rPr>
      <t>(</t>
    </r>
    <r>
      <rPr>
        <b/>
        <sz val="10"/>
        <color rgb="FFFF2800"/>
        <rFont val="Consolas"/>
        <family val="3"/>
      </rPr>
      <t>45</t>
    </r>
    <r>
      <rPr>
        <b/>
        <sz val="10"/>
        <color rgb="FF808080"/>
        <rFont val="Consolas"/>
        <family val="3"/>
      </rPr>
      <t>),</t>
    </r>
  </si>
  <si>
    <t>相対相談6</t>
  </si>
  <si>
    <t>private_consultation_6</t>
  </si>
  <si>
    <r>
      <t xml:space="preserve">private_consultation_6 </t>
    </r>
    <r>
      <rPr>
        <b/>
        <sz val="10"/>
        <color rgb="FF0080FF"/>
        <rFont val="Consolas"/>
        <family val="3"/>
      </rPr>
      <t>VARCHAR</t>
    </r>
    <r>
      <rPr>
        <b/>
        <sz val="10"/>
        <color rgb="FF808080"/>
        <rFont val="Consolas"/>
        <family val="3"/>
      </rPr>
      <t>(</t>
    </r>
    <r>
      <rPr>
        <b/>
        <sz val="10"/>
        <color rgb="FFFF2800"/>
        <rFont val="Consolas"/>
        <family val="3"/>
      </rPr>
      <t>45</t>
    </r>
    <r>
      <rPr>
        <b/>
        <sz val="10"/>
        <color rgb="FF808080"/>
        <rFont val="Consolas"/>
        <family val="3"/>
      </rPr>
      <t>),</t>
    </r>
  </si>
  <si>
    <t>相対相談7</t>
  </si>
  <si>
    <t>private_consultation_7</t>
  </si>
  <si>
    <r>
      <t xml:space="preserve">private_consultation_7 </t>
    </r>
    <r>
      <rPr>
        <b/>
        <sz val="10"/>
        <color rgb="FF0080FF"/>
        <rFont val="Consolas"/>
        <family val="3"/>
      </rPr>
      <t>VARCHAR</t>
    </r>
    <r>
      <rPr>
        <b/>
        <sz val="10"/>
        <color rgb="FF808080"/>
        <rFont val="Consolas"/>
        <family val="3"/>
      </rPr>
      <t>(</t>
    </r>
    <r>
      <rPr>
        <b/>
        <sz val="10"/>
        <color rgb="FFFF2800"/>
        <rFont val="Consolas"/>
        <family val="3"/>
      </rPr>
      <t>45</t>
    </r>
    <r>
      <rPr>
        <b/>
        <sz val="10"/>
        <color rgb="FF808080"/>
        <rFont val="Consolas"/>
        <family val="3"/>
      </rPr>
      <t>),</t>
    </r>
  </si>
  <si>
    <t>相対相談8</t>
  </si>
  <si>
    <t>private_consultation_consultation_8</t>
  </si>
  <si>
    <r>
      <t xml:space="preserve">private_consultation_consultation_8 </t>
    </r>
    <r>
      <rPr>
        <b/>
        <sz val="10"/>
        <color rgb="FF0080FF"/>
        <rFont val="Consolas"/>
        <family val="3"/>
      </rPr>
      <t>VARCHAR</t>
    </r>
    <r>
      <rPr>
        <b/>
        <sz val="10"/>
        <color rgb="FF808080"/>
        <rFont val="Consolas"/>
        <family val="3"/>
      </rPr>
      <t>(</t>
    </r>
    <r>
      <rPr>
        <b/>
        <sz val="10"/>
        <color rgb="FFFF2800"/>
        <rFont val="Consolas"/>
        <family val="3"/>
      </rPr>
      <t>45</t>
    </r>
    <r>
      <rPr>
        <b/>
        <sz val="10"/>
        <color rgb="FF808080"/>
        <rFont val="Consolas"/>
        <family val="3"/>
      </rPr>
      <t>),</t>
    </r>
  </si>
  <si>
    <t>相対相談9</t>
  </si>
  <si>
    <t>consultation_9</t>
  </si>
  <si>
    <r>
      <t xml:space="preserve">consultation_9 </t>
    </r>
    <r>
      <rPr>
        <b/>
        <sz val="10"/>
        <color rgb="FF0080FF"/>
        <rFont val="Consolas"/>
        <family val="3"/>
      </rPr>
      <t>VARCHAR</t>
    </r>
    <r>
      <rPr>
        <b/>
        <sz val="10"/>
        <color rgb="FF808080"/>
        <rFont val="Consolas"/>
        <family val="3"/>
      </rPr>
      <t>(</t>
    </r>
    <r>
      <rPr>
        <b/>
        <sz val="10"/>
        <color rgb="FFFF2800"/>
        <rFont val="Consolas"/>
        <family val="3"/>
      </rPr>
      <t>45</t>
    </r>
    <r>
      <rPr>
        <b/>
        <sz val="10"/>
        <color rgb="FF808080"/>
        <rFont val="Consolas"/>
        <family val="3"/>
      </rPr>
      <t>),</t>
    </r>
  </si>
  <si>
    <t>相対相談10</t>
  </si>
  <si>
    <t>consultation_10</t>
  </si>
  <si>
    <r>
      <t xml:space="preserve">consultation_10 </t>
    </r>
    <r>
      <rPr>
        <b/>
        <sz val="10"/>
        <color rgb="FF0080FF"/>
        <rFont val="Consolas"/>
        <family val="3"/>
      </rPr>
      <t>VARCHAR</t>
    </r>
    <r>
      <rPr>
        <b/>
        <sz val="10"/>
        <color rgb="FF808080"/>
        <rFont val="Consolas"/>
        <family val="3"/>
      </rPr>
      <t>(</t>
    </r>
    <r>
      <rPr>
        <b/>
        <sz val="10"/>
        <color rgb="FFFF2800"/>
        <rFont val="Consolas"/>
        <family val="3"/>
      </rPr>
      <t>45</t>
    </r>
    <r>
      <rPr>
        <b/>
        <sz val="10"/>
        <color rgb="FF808080"/>
        <rFont val="Consolas"/>
        <family val="3"/>
      </rPr>
      <t>),</t>
    </r>
  </si>
  <si>
    <t>適用op料金品目1</t>
  </si>
  <si>
    <t>applicable_op_fee_item_1</t>
  </si>
  <si>
    <r>
      <t xml:space="preserve">applicable_op_fee_item_1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</si>
  <si>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適用op基本使用料1</t>
  </si>
  <si>
    <t>applicable_op_basic_fee_1</t>
  </si>
  <si>
    <r>
      <t xml:space="preserve">applicable_op_basic_fee_1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</si>
  <si>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適用op提供金額1</t>
  </si>
  <si>
    <t>applicable_op_provision_amount_1</t>
  </si>
  <si>
    <r>
      <t xml:space="preserve">applicable_op_provision_amount_1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</si>
  <si>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適用op変動費1</t>
  </si>
  <si>
    <t>applicable_op_variable_fee_1</t>
  </si>
  <si>
    <r>
      <t xml:space="preserve">applicable_op_variable_fee_1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</si>
  <si>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適用op固定費1</t>
  </si>
  <si>
    <t>applicable_op_fixed_fee_1</t>
  </si>
  <si>
    <r>
      <t xml:space="preserve">applicable_op_fixed_fee_1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</si>
  <si>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適用op開始月1</t>
  </si>
  <si>
    <t>applicable_op_start_month_1</t>
  </si>
  <si>
    <r>
      <t xml:space="preserve">applicable_op_start_month_1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</si>
  <si>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適用op期間1</t>
  </si>
  <si>
    <t>applicable_op_period_1</t>
  </si>
  <si>
    <r>
      <t xml:space="preserve">applicable_op_period_1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</si>
  <si>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適用op永年1</t>
  </si>
  <si>
    <t>applicable_op_perpetual_1</t>
  </si>
  <si>
    <r>
      <t xml:space="preserve">applicable_op_perpetual_1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</si>
  <si>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適用op料金品目2</t>
  </si>
  <si>
    <t>applicable_op_fee_item_2</t>
  </si>
  <si>
    <r>
      <t xml:space="preserve">applicable_op_fee_item_2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</si>
  <si>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適用op基本使用料2</t>
  </si>
  <si>
    <t>applicable_op_basic_fee_2</t>
  </si>
  <si>
    <r>
      <t xml:space="preserve">applicable_op_basic_fee_2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</si>
  <si>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適用op提供金額2</t>
  </si>
  <si>
    <t>applicable_op_provision_amount_2</t>
  </si>
  <si>
    <r>
      <t xml:space="preserve">applicable_op_provision_amount_2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</si>
  <si>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適用op変動費2</t>
  </si>
  <si>
    <t>applicable_op_variable_fee_2</t>
  </si>
  <si>
    <r>
      <t xml:space="preserve">applicable_op_variable_fee_2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</si>
  <si>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適用op固定費2</t>
  </si>
  <si>
    <t>applicable_op_fixed_fee_2</t>
  </si>
  <si>
    <r>
      <t xml:space="preserve">applicable_op_fixed_fee_2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</si>
  <si>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適用op開始月2</t>
  </si>
  <si>
    <t>applicable_op_start_month_2</t>
  </si>
  <si>
    <r>
      <t xml:space="preserve">applicable_op_start_month_2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</si>
  <si>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適用op期間2</t>
  </si>
  <si>
    <t>applicable_op_period_2</t>
  </si>
  <si>
    <r>
      <t xml:space="preserve">applicable_op_period_2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</si>
  <si>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適用op永年2</t>
  </si>
  <si>
    <t>applicable_op_perpetual_2</t>
  </si>
  <si>
    <r>
      <t xml:space="preserve">applicable_op_perpetual_2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</si>
  <si>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適用op料金品目3</t>
  </si>
  <si>
    <t>applicable_op_fee_item_3</t>
  </si>
  <si>
    <r>
      <t xml:space="preserve">applicable_op_fee_item_3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</si>
  <si>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適用op基本使用料3</t>
  </si>
  <si>
    <t>applicable_op_basic_fee_3</t>
  </si>
  <si>
    <r>
      <t xml:space="preserve">applicable_op_basic_fee_3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</si>
  <si>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適用op提供金額3</t>
  </si>
  <si>
    <t>applicable_op_provision_amount_3</t>
  </si>
  <si>
    <r>
      <t xml:space="preserve">applicable_op_provision_amount_3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</si>
  <si>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適用op変動費3</t>
  </si>
  <si>
    <t>applicable_op_variable_fee_3</t>
  </si>
  <si>
    <r>
      <t xml:space="preserve">applicable_op_variable_fee_3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</si>
  <si>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適用op固定費3</t>
  </si>
  <si>
    <t>applicable_op_fixed_fee_3</t>
  </si>
  <si>
    <r>
      <t xml:space="preserve">applicable_op_fixed_fee_3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</si>
  <si>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適用op開始月3</t>
  </si>
  <si>
    <t>applicable_op_start_month_3</t>
  </si>
  <si>
    <r>
      <t xml:space="preserve">applicable_op_start_month_3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</si>
  <si>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適用op期間3</t>
  </si>
  <si>
    <t>applicable_op_period_3</t>
  </si>
  <si>
    <r>
      <t xml:space="preserve">applicable_op_period_3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</si>
  <si>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適用op永年3</t>
  </si>
  <si>
    <t>applicable_op_perpetual_3</t>
  </si>
  <si>
    <r>
      <t xml:space="preserve">applicable_op_perpetual_3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</si>
  <si>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適用op料金品目4</t>
  </si>
  <si>
    <t>applicable_op_fee_item_4</t>
  </si>
  <si>
    <r>
      <t xml:space="preserve">applicable_op_fee_item_4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</si>
  <si>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適用op基本使用料4</t>
  </si>
  <si>
    <t>applicable_op_basic_fee_4</t>
  </si>
  <si>
    <r>
      <t xml:space="preserve">applicable_op_basic_fee_4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</si>
  <si>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適用op提供金額4</t>
  </si>
  <si>
    <t>applicable_op_provision_amount_4</t>
  </si>
  <si>
    <r>
      <t xml:space="preserve">applicable_op_provision_amount_4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</si>
  <si>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適用op変動費4</t>
  </si>
  <si>
    <t>applicable_op_variable_fee_4</t>
  </si>
  <si>
    <r>
      <t xml:space="preserve">applicable_op_variable_fee_4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</si>
  <si>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適用op固定費4</t>
  </si>
  <si>
    <t>applicable_op_fixed_fee_4</t>
  </si>
  <si>
    <r>
      <t xml:space="preserve">applicable_op_fixed_fee_4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</si>
  <si>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適用op開始月4</t>
  </si>
  <si>
    <t>applicable_op_start_month_4</t>
  </si>
  <si>
    <r>
      <t xml:space="preserve">applicable_op_start_month_4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</si>
  <si>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適用op期間4</t>
  </si>
  <si>
    <t>applicable_op_period_4</t>
  </si>
  <si>
    <r>
      <t xml:space="preserve">applicable_op_period_4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</si>
  <si>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適用op永年4</t>
  </si>
  <si>
    <t>applicable_op_permanent_4</t>
  </si>
  <si>
    <r>
      <t xml:space="preserve">applicable_op_permanent_4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</si>
  <si>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適用op料金品目5</t>
  </si>
  <si>
    <t>applicable_op_fee_item_5</t>
  </si>
  <si>
    <r>
      <t xml:space="preserve">applicable_op_fee_item_5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</si>
  <si>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適用op基本使用料5</t>
  </si>
  <si>
    <t>applicable_op_basic_monthly_fee_5</t>
  </si>
  <si>
    <r>
      <t xml:space="preserve">applicable_op_basic_monthly_fee_5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</si>
  <si>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適用op提供金額5</t>
  </si>
  <si>
    <t>applicable_op_provision_amount_5</t>
  </si>
  <si>
    <r>
      <t xml:space="preserve">applicable_op_provision_amount_5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</si>
  <si>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適用op変動費5</t>
  </si>
  <si>
    <t>applicable_op_variable_cost_5</t>
  </si>
  <si>
    <r>
      <t xml:space="preserve">applicable_op_variable_cost_5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</si>
  <si>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適用op固定費5</t>
  </si>
  <si>
    <t>applicable_op_fixed_cost_5</t>
  </si>
  <si>
    <r>
      <t xml:space="preserve">applicable_op_fixed_cost_5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</si>
  <si>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適用op開始月5</t>
  </si>
  <si>
    <t>applicable_op_start_month_5</t>
  </si>
  <si>
    <r>
      <t xml:space="preserve">applicable_op_start_month_5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</si>
  <si>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適用op期間5</t>
  </si>
  <si>
    <t>applicable_op_period_5</t>
  </si>
  <si>
    <r>
      <t xml:space="preserve">applicable_op_period_5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</si>
  <si>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適用op永年5</t>
  </si>
  <si>
    <t>applicable_op_permanent_5</t>
  </si>
  <si>
    <r>
      <t xml:space="preserve">applicable_op_permanent_5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</si>
  <si>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woおとくdi登録請求額</t>
  </si>
  <si>
    <t>wo_otoku_di_registration_bill</t>
  </si>
  <si>
    <r>
      <t xml:space="preserve">wo_otoku_di_registration_bill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</si>
  <si>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woおとくdi使用請求額</t>
  </si>
  <si>
    <t>wo_otoku_di_usage_bill</t>
  </si>
  <si>
    <r>
      <t xml:space="preserve">wo_otoku_di_usage_bill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</si>
  <si>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isdn1500回線数</t>
  </si>
  <si>
    <t>number_of_isdn_1500_lines</t>
  </si>
  <si>
    <r>
      <t xml:space="preserve">number_of_isdn_1500_lines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</si>
  <si>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isdn1500登録請求額</t>
  </si>
  <si>
    <t>isdn_1500_registration_charges</t>
  </si>
  <si>
    <r>
      <t xml:space="preserve">isdn_1500_registration_charges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</si>
  <si>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isdn1500接続請求額</t>
  </si>
  <si>
    <t>isdn_1500_connection_charges</t>
  </si>
  <si>
    <r>
      <t xml:space="preserve">isdn_1500_connection_charges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</si>
  <si>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isdn1500定額請求額</t>
  </si>
  <si>
    <t>isdn_1500_flat_rate_charges</t>
  </si>
  <si>
    <r>
      <t xml:space="preserve">isdn_1500_flat_rate_charges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</si>
  <si>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isdn64回線数</t>
  </si>
  <si>
    <t>number_of_isdn64_lines</t>
  </si>
  <si>
    <r>
      <t xml:space="preserve">number_of_isdn64_lines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</si>
  <si>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isdn64登録請求額</t>
  </si>
  <si>
    <t>isdn64_registration_charges</t>
  </si>
  <si>
    <r>
      <t xml:space="preserve">isdn64_registration_charges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</si>
  <si>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isdn64接続請求額</t>
  </si>
  <si>
    <t>isdn64_connection_charges</t>
  </si>
  <si>
    <r>
      <t xml:space="preserve">isdn64_connection_charges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</si>
  <si>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isdn64定額請求額</t>
  </si>
  <si>
    <t>isdn64_flat_rate_charges</t>
  </si>
  <si>
    <r>
      <t xml:space="preserve">isdn64_flat_rate_charges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</si>
  <si>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解約新規有無</t>
  </si>
  <si>
    <t>new_customer_cancellation_new_customer_cancellation</t>
  </si>
  <si>
    <r>
      <t xml:space="preserve">new_customer_cancellation_new_customer_cancellation </t>
    </r>
    <r>
      <rPr>
        <b/>
        <sz val="10"/>
        <color rgb="FF0080FF"/>
        <rFont val="Consolas"/>
        <family val="3"/>
      </rPr>
      <t>VARCHAR</t>
    </r>
    <r>
      <rPr>
        <b/>
        <sz val="10"/>
        <color rgb="FF808080"/>
        <rFont val="Consolas"/>
        <family val="3"/>
      </rPr>
      <t>(</t>
    </r>
    <r>
      <rPr>
        <b/>
        <sz val="10"/>
        <color rgb="FFFF2800"/>
        <rFont val="Consolas"/>
        <family val="3"/>
      </rPr>
      <t>90</t>
    </r>
    <r>
      <rPr>
        <b/>
        <sz val="10"/>
        <color rgb="FF808080"/>
        <rFont val="Consolas"/>
        <family val="3"/>
      </rPr>
      <t>),</t>
    </r>
  </si>
  <si>
    <t>未対応商品コード</t>
  </si>
  <si>
    <t>unsupported_product_code</t>
  </si>
  <si>
    <r>
      <t xml:space="preserve">unsupported_product_code </t>
    </r>
    <r>
      <rPr>
        <b/>
        <sz val="10"/>
        <color rgb="FF0080FF"/>
        <rFont val="Consolas"/>
        <family val="3"/>
      </rPr>
      <t>VARCHAR</t>
    </r>
    <r>
      <rPr>
        <b/>
        <sz val="10"/>
        <color rgb="FF808080"/>
        <rFont val="Consolas"/>
        <family val="3"/>
      </rPr>
      <t>(</t>
    </r>
    <r>
      <rPr>
        <b/>
        <sz val="10"/>
        <color rgb="FFFF2800"/>
        <rFont val="Consolas"/>
        <family val="3"/>
      </rPr>
      <t>45</t>
    </r>
    <r>
      <rPr>
        <b/>
        <sz val="10"/>
        <color rgb="FF808080"/>
        <rFont val="Consolas"/>
        <family val="3"/>
      </rPr>
      <t>),</t>
    </r>
  </si>
  <si>
    <t>未対応商品名称</t>
  </si>
  <si>
    <t>unsupported_product_name</t>
  </si>
  <si>
    <r>
      <t xml:space="preserve">unsupported_product_name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</si>
  <si>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疑似シェア試算容量</t>
  </si>
  <si>
    <t>estimated_pseudo_share_capacity</t>
  </si>
  <si>
    <r>
      <t xml:space="preserve">estimated_pseudo_share_capacity </t>
    </r>
    <r>
      <rPr>
        <b/>
        <sz val="10"/>
        <color rgb="FF0080FF"/>
        <rFont val="Consolas"/>
        <family val="3"/>
      </rPr>
      <t>VARCHAR</t>
    </r>
    <r>
      <rPr>
        <b/>
        <sz val="10"/>
        <color rgb="FF808080"/>
        <rFont val="Consolas"/>
        <family val="3"/>
      </rPr>
      <t>(</t>
    </r>
    <r>
      <rPr>
        <b/>
        <sz val="10"/>
        <color rgb="FFFF2800"/>
        <rFont val="Consolas"/>
        <family val="3"/>
      </rPr>
      <t>15</t>
    </r>
    <r>
      <rPr>
        <b/>
        <sz val="10"/>
        <color rgb="FF808080"/>
        <rFont val="Consolas"/>
        <family val="3"/>
      </rPr>
      <t>),</t>
    </r>
  </si>
  <si>
    <t>疑似シェア超過料</t>
  </si>
  <si>
    <t>estimated_pseudo_share_excess_charge</t>
  </si>
  <si>
    <r>
      <t xml:space="preserve">estimated_pseudo_share_excess_charge </t>
    </r>
    <r>
      <rPr>
        <b/>
        <sz val="10"/>
        <color rgb="FF0080FF"/>
        <rFont val="Consolas"/>
        <family val="3"/>
      </rPr>
      <t>VARCHAR</t>
    </r>
    <r>
      <rPr>
        <b/>
        <sz val="10"/>
        <color rgb="FF808080"/>
        <rFont val="Consolas"/>
        <family val="3"/>
      </rPr>
      <t>(</t>
    </r>
    <r>
      <rPr>
        <b/>
        <sz val="10"/>
        <color rgb="FFFF2800"/>
        <rFont val="Consolas"/>
        <family val="3"/>
      </rPr>
      <t>15</t>
    </r>
    <r>
      <rPr>
        <b/>
        <sz val="10"/>
        <color rgb="FF808080"/>
        <rFont val="Consolas"/>
        <family val="3"/>
      </rPr>
      <t>),</t>
    </r>
  </si>
  <si>
    <t>esim登録</t>
  </si>
  <si>
    <t>esim_registration</t>
  </si>
  <si>
    <r>
      <t xml:space="preserve">esim_registration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</si>
  <si>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現端末契約期間</t>
  </si>
  <si>
    <t>2,0</t>
  </si>
  <si>
    <t>current_device_contract_period</t>
  </si>
  <si>
    <r>
      <t xml:space="preserve">current_device_contract_period </t>
    </r>
    <r>
      <rPr>
        <b/>
        <sz val="10"/>
        <color rgb="FF0080FF"/>
        <rFont val="Consolas"/>
        <family val="3"/>
      </rPr>
      <t>DECIMAL</t>
    </r>
    <r>
      <rPr>
        <b/>
        <sz val="10"/>
        <color rgb="FF808080"/>
        <rFont val="Consolas"/>
        <family val="3"/>
      </rPr>
      <t>(</t>
    </r>
    <r>
      <rPr>
        <b/>
        <sz val="10"/>
        <color rgb="FFFF2800"/>
        <rFont val="Consolas"/>
        <family val="3"/>
      </rPr>
      <t>2</t>
    </r>
    <r>
      <rPr>
        <b/>
        <sz val="10"/>
        <color rgb="FF808080"/>
        <rFont val="Consolas"/>
        <family val="3"/>
      </rPr>
      <t>,</t>
    </r>
    <r>
      <rPr>
        <b/>
        <sz val="10"/>
        <color rgb="FFFF2800"/>
        <rFont val="Consolas"/>
        <family val="3"/>
      </rPr>
      <t>0</t>
    </r>
    <r>
      <rPr>
        <b/>
        <sz val="10"/>
        <color rgb="FF808080"/>
        <rFont val="Consolas"/>
        <family val="3"/>
      </rPr>
      <t>),</t>
    </r>
  </si>
  <si>
    <t>サマリ単位反映</t>
  </si>
  <si>
    <t>reflected_in_summary_unit</t>
  </si>
  <si>
    <r>
      <t xml:space="preserve">reflected_in_summary_unit </t>
    </r>
    <r>
      <rPr>
        <b/>
        <sz val="10"/>
        <color rgb="FF0080FF"/>
        <rFont val="Consolas"/>
        <family val="3"/>
      </rPr>
      <t>VARCHAR</t>
    </r>
    <r>
      <rPr>
        <b/>
        <sz val="10"/>
        <color rgb="FF808080"/>
        <rFont val="Consolas"/>
        <family val="3"/>
      </rPr>
      <t>(</t>
    </r>
    <r>
      <rPr>
        <b/>
        <sz val="10"/>
        <color rgb="FFFF2800"/>
        <rFont val="Consolas"/>
        <family val="3"/>
      </rPr>
      <t>90</t>
    </r>
    <r>
      <rPr>
        <b/>
        <sz val="10"/>
        <color rgb="FF808080"/>
        <rFont val="Consolas"/>
        <family val="3"/>
      </rPr>
      <t>),</t>
    </r>
  </si>
  <si>
    <r>
      <t>CONSTRAINT</t>
    </r>
    <r>
      <rPr>
        <b/>
        <sz val="10"/>
        <color theme="1"/>
        <rFont val="Consolas"/>
        <family val="3"/>
      </rPr>
      <t xml:space="preserve"> pk_bfs_service_summary_device </t>
    </r>
    <r>
      <rPr>
        <b/>
        <sz val="10"/>
        <color rgb="FF0080FF"/>
        <rFont val="Consolas"/>
        <family val="3"/>
      </rPr>
      <t>PRIMARY</t>
    </r>
    <r>
      <rPr>
        <b/>
        <sz val="10"/>
        <color theme="1"/>
        <rFont val="Consolas"/>
        <family val="3"/>
      </rPr>
      <t xml:space="preserve"> </t>
    </r>
    <r>
      <rPr>
        <b/>
        <sz val="10"/>
        <color rgb="FF0080FF"/>
        <rFont val="Consolas"/>
        <family val="3"/>
      </rPr>
      <t>KEY</t>
    </r>
    <r>
      <rPr>
        <b/>
        <sz val="10"/>
        <color theme="1"/>
        <rFont val="Consolas"/>
        <family val="3"/>
      </rPr>
      <t xml:space="preserve"> </t>
    </r>
    <r>
      <rPr>
        <b/>
        <sz val="10"/>
        <color rgb="FF808080"/>
        <rFont val="Consolas"/>
        <family val="3"/>
      </rPr>
      <t>(</t>
    </r>
    <r>
      <rPr>
        <b/>
        <sz val="10"/>
        <color theme="1"/>
        <rFont val="Consolas"/>
        <family val="3"/>
      </rPr>
      <t>id</t>
    </r>
    <r>
      <rPr>
        <b/>
        <sz val="10"/>
        <color rgb="FF808080"/>
        <rFont val="Consolas"/>
        <family val="3"/>
      </rPr>
      <t>));</t>
    </r>
    <r>
      <rPr>
        <b/>
        <sz val="10"/>
        <color theme="1"/>
        <rFont val="Consolas"/>
        <family val="3"/>
      </rPr>
      <t xml:space="preserve"> </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</si>
  <si>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TABLE</t>
    </r>
    <r>
      <rPr>
        <b/>
        <sz val="10"/>
        <color theme="1"/>
        <rFont val="Consolas"/>
        <family val="3"/>
      </rPr>
      <t xml:space="preserve"> bfs_service_summary_device </t>
    </r>
    <r>
      <rPr>
        <b/>
        <sz val="10"/>
        <color rgb="FF0080FF"/>
        <rFont val="Consolas"/>
        <family val="3"/>
      </rPr>
      <t>IS</t>
    </r>
    <r>
      <rPr>
        <b/>
        <sz val="10"/>
        <color theme="1"/>
        <rFont val="Consolas"/>
        <family val="3"/>
      </rPr>
      <t xml:space="preserve"> </t>
    </r>
    <r>
      <rPr>
        <b/>
        <sz val="10"/>
        <color rgb="FFFF2800"/>
        <rFont val="Consolas"/>
        <family val="3"/>
      </rPr>
      <t>'b_hjn_bfs_モバイル_サービスサマリ_端末'</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</si>
  <si>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id </t>
    </r>
    <r>
      <rPr>
        <b/>
        <sz val="10"/>
        <color rgb="FF0080FF"/>
        <rFont val="Consolas"/>
        <family val="3"/>
      </rPr>
      <t>IS</t>
    </r>
    <r>
      <rPr>
        <b/>
        <sz val="10"/>
        <color theme="1"/>
        <rFont val="Consolas"/>
        <family val="3"/>
      </rPr>
      <t xml:space="preserve"> </t>
    </r>
    <r>
      <rPr>
        <b/>
        <sz val="10"/>
        <color rgb="FFFF2800"/>
        <rFont val="Consolas"/>
        <family val="3"/>
      </rPr>
      <t>'id'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</si>
  <si>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entry_number </t>
    </r>
    <r>
      <rPr>
        <b/>
        <sz val="10"/>
        <color rgb="FF0080FF"/>
        <rFont val="Consolas"/>
        <family val="3"/>
      </rPr>
      <t>IS</t>
    </r>
    <r>
      <rPr>
        <b/>
        <sz val="10"/>
        <color theme="1"/>
        <rFont val="Consolas"/>
        <family val="3"/>
      </rPr>
      <t xml:space="preserve"> </t>
    </r>
    <r>
      <rPr>
        <b/>
        <sz val="10"/>
        <color rgb="FFFF2800"/>
        <rFont val="Consolas"/>
        <family val="3"/>
      </rPr>
      <t>'エントリ番号'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</si>
  <si>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summary_number </t>
    </r>
    <r>
      <rPr>
        <b/>
        <sz val="10"/>
        <color rgb="FF0080FF"/>
        <rFont val="Consolas"/>
        <family val="3"/>
      </rPr>
      <t>IS</t>
    </r>
    <r>
      <rPr>
        <b/>
        <sz val="10"/>
        <color theme="1"/>
        <rFont val="Consolas"/>
        <family val="3"/>
      </rPr>
      <t xml:space="preserve"> </t>
    </r>
    <r>
      <rPr>
        <b/>
        <sz val="10"/>
        <color rgb="FFFF2800"/>
        <rFont val="Consolas"/>
        <family val="3"/>
      </rPr>
      <t>'サマリ番号'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</si>
  <si>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number_of_lines </t>
    </r>
    <r>
      <rPr>
        <b/>
        <sz val="10"/>
        <color rgb="FF0080FF"/>
        <rFont val="Consolas"/>
        <family val="3"/>
      </rPr>
      <t>IS</t>
    </r>
    <r>
      <rPr>
        <b/>
        <sz val="10"/>
        <color theme="1"/>
        <rFont val="Consolas"/>
        <family val="3"/>
      </rPr>
      <t xml:space="preserve"> </t>
    </r>
    <r>
      <rPr>
        <b/>
        <sz val="10"/>
        <color rgb="FFFF2800"/>
        <rFont val="Consolas"/>
        <family val="3"/>
      </rPr>
      <t>'回線数'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</si>
  <si>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rental_set_device </t>
    </r>
    <r>
      <rPr>
        <b/>
        <sz val="10"/>
        <color rgb="FF0080FF"/>
        <rFont val="Consolas"/>
        <family val="3"/>
      </rPr>
      <t>IS</t>
    </r>
    <r>
      <rPr>
        <b/>
        <sz val="10"/>
        <color theme="1"/>
        <rFont val="Consolas"/>
        <family val="3"/>
      </rPr>
      <t xml:space="preserve"> </t>
    </r>
    <r>
      <rPr>
        <b/>
        <sz val="10"/>
        <color rgb="FFFF2800"/>
        <rFont val="Consolas"/>
        <family val="3"/>
      </rPr>
      <t>'レンタルセット端末'</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</si>
  <si>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mnp </t>
    </r>
    <r>
      <rPr>
        <b/>
        <sz val="10"/>
        <color rgb="FF0080FF"/>
        <rFont val="Consolas"/>
        <family val="3"/>
      </rPr>
      <t>IS</t>
    </r>
    <r>
      <rPr>
        <b/>
        <sz val="10"/>
        <color theme="1"/>
        <rFont val="Consolas"/>
        <family val="3"/>
      </rPr>
      <t xml:space="preserve"> </t>
    </r>
    <r>
      <rPr>
        <b/>
        <sz val="10"/>
        <color rgb="FFFF2800"/>
        <rFont val="Consolas"/>
        <family val="3"/>
      </rPr>
      <t>'mnp'</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</si>
  <si>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product_code </t>
    </r>
    <r>
      <rPr>
        <b/>
        <sz val="10"/>
        <color rgb="FF0080FF"/>
        <rFont val="Consolas"/>
        <family val="3"/>
      </rPr>
      <t>IS</t>
    </r>
    <r>
      <rPr>
        <b/>
        <sz val="10"/>
        <color theme="1"/>
        <rFont val="Consolas"/>
        <family val="3"/>
      </rPr>
      <t xml:space="preserve"> </t>
    </r>
    <r>
      <rPr>
        <b/>
        <sz val="10"/>
        <color rgb="FFFF2800"/>
        <rFont val="Consolas"/>
        <family val="3"/>
      </rPr>
      <t>'商品コード'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</si>
  <si>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manufacturer </t>
    </r>
    <r>
      <rPr>
        <b/>
        <sz val="10"/>
        <color rgb="FF0080FF"/>
        <rFont val="Consolas"/>
        <family val="3"/>
      </rPr>
      <t>IS</t>
    </r>
    <r>
      <rPr>
        <b/>
        <sz val="10"/>
        <color theme="1"/>
        <rFont val="Consolas"/>
        <family val="3"/>
      </rPr>
      <t xml:space="preserve"> </t>
    </r>
    <r>
      <rPr>
        <b/>
        <sz val="10"/>
        <color rgb="FFFF2800"/>
        <rFont val="Consolas"/>
        <family val="3"/>
      </rPr>
      <t>'メーカ'</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</si>
  <si>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mobile_device_classification </t>
    </r>
    <r>
      <rPr>
        <b/>
        <sz val="10"/>
        <color rgb="FF0080FF"/>
        <rFont val="Consolas"/>
        <family val="3"/>
      </rPr>
      <t>IS</t>
    </r>
    <r>
      <rPr>
        <b/>
        <sz val="10"/>
        <color theme="1"/>
        <rFont val="Consolas"/>
        <family val="3"/>
      </rPr>
      <t xml:space="preserve"> </t>
    </r>
    <r>
      <rPr>
        <b/>
        <sz val="10"/>
        <color rgb="FFFF2800"/>
        <rFont val="Consolas"/>
        <family val="3"/>
      </rPr>
      <t>'移動機分類'</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</si>
  <si>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model_name </t>
    </r>
    <r>
      <rPr>
        <b/>
        <sz val="10"/>
        <color rgb="FF0080FF"/>
        <rFont val="Consolas"/>
        <family val="3"/>
      </rPr>
      <t>IS</t>
    </r>
    <r>
      <rPr>
        <b/>
        <sz val="10"/>
        <color theme="1"/>
        <rFont val="Consolas"/>
        <family val="3"/>
      </rPr>
      <t xml:space="preserve"> </t>
    </r>
    <r>
      <rPr>
        <b/>
        <sz val="10"/>
        <color rgb="FFFF2800"/>
        <rFont val="Consolas"/>
        <family val="3"/>
      </rPr>
      <t>'機種名'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</si>
  <si>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color_1 </t>
    </r>
    <r>
      <rPr>
        <b/>
        <sz val="10"/>
        <color rgb="FF0080FF"/>
        <rFont val="Consolas"/>
        <family val="3"/>
      </rPr>
      <t>IS</t>
    </r>
    <r>
      <rPr>
        <b/>
        <sz val="10"/>
        <color theme="1"/>
        <rFont val="Consolas"/>
        <family val="3"/>
      </rPr>
      <t xml:space="preserve"> </t>
    </r>
    <r>
      <rPr>
        <b/>
        <sz val="10"/>
        <color rgb="FFFF2800"/>
        <rFont val="Consolas"/>
        <family val="3"/>
      </rPr>
      <t>'カラー1'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</si>
  <si>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quantity_1 </t>
    </r>
    <r>
      <rPr>
        <b/>
        <sz val="10"/>
        <color rgb="FF0080FF"/>
        <rFont val="Consolas"/>
        <family val="3"/>
      </rPr>
      <t>IS</t>
    </r>
    <r>
      <rPr>
        <b/>
        <sz val="10"/>
        <color theme="1"/>
        <rFont val="Consolas"/>
        <family val="3"/>
      </rPr>
      <t xml:space="preserve"> </t>
    </r>
    <r>
      <rPr>
        <b/>
        <sz val="10"/>
        <color rgb="FFFF2800"/>
        <rFont val="Consolas"/>
        <family val="3"/>
      </rPr>
      <t>'台数1'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</si>
  <si>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color_2 </t>
    </r>
    <r>
      <rPr>
        <b/>
        <sz val="10"/>
        <color rgb="FF0080FF"/>
        <rFont val="Consolas"/>
        <family val="3"/>
      </rPr>
      <t>IS</t>
    </r>
    <r>
      <rPr>
        <b/>
        <sz val="10"/>
        <color theme="1"/>
        <rFont val="Consolas"/>
        <family val="3"/>
      </rPr>
      <t xml:space="preserve"> </t>
    </r>
    <r>
      <rPr>
        <b/>
        <sz val="10"/>
        <color rgb="FFFF2800"/>
        <rFont val="Consolas"/>
        <family val="3"/>
      </rPr>
      <t>'カラー2'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</si>
  <si>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quantity_2 </t>
    </r>
    <r>
      <rPr>
        <b/>
        <sz val="10"/>
        <color rgb="FF0080FF"/>
        <rFont val="Consolas"/>
        <family val="3"/>
      </rPr>
      <t>IS</t>
    </r>
    <r>
      <rPr>
        <b/>
        <sz val="10"/>
        <color theme="1"/>
        <rFont val="Consolas"/>
        <family val="3"/>
      </rPr>
      <t xml:space="preserve"> </t>
    </r>
    <r>
      <rPr>
        <b/>
        <sz val="10"/>
        <color rgb="FFFF2800"/>
        <rFont val="Consolas"/>
        <family val="3"/>
      </rPr>
      <t>'台数2'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</si>
  <si>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color_3 </t>
    </r>
    <r>
      <rPr>
        <b/>
        <sz val="10"/>
        <color rgb="FF0080FF"/>
        <rFont val="Consolas"/>
        <family val="3"/>
      </rPr>
      <t>IS</t>
    </r>
    <r>
      <rPr>
        <b/>
        <sz val="10"/>
        <color theme="1"/>
        <rFont val="Consolas"/>
        <family val="3"/>
      </rPr>
      <t xml:space="preserve"> </t>
    </r>
    <r>
      <rPr>
        <b/>
        <sz val="10"/>
        <color rgb="FFFF2800"/>
        <rFont val="Consolas"/>
        <family val="3"/>
      </rPr>
      <t>'カラー3'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</si>
  <si>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quantity_3 </t>
    </r>
    <r>
      <rPr>
        <b/>
        <sz val="10"/>
        <color rgb="FF0080FF"/>
        <rFont val="Consolas"/>
        <family val="3"/>
      </rPr>
      <t>IS</t>
    </r>
    <r>
      <rPr>
        <b/>
        <sz val="10"/>
        <color theme="1"/>
        <rFont val="Consolas"/>
        <family val="3"/>
      </rPr>
      <t xml:space="preserve"> </t>
    </r>
    <r>
      <rPr>
        <b/>
        <sz val="10"/>
        <color rgb="FFFF2800"/>
        <rFont val="Consolas"/>
        <family val="3"/>
      </rPr>
      <t>'台数3'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</si>
  <si>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color_4 </t>
    </r>
    <r>
      <rPr>
        <b/>
        <sz val="10"/>
        <color rgb="FF0080FF"/>
        <rFont val="Consolas"/>
        <family val="3"/>
      </rPr>
      <t>IS</t>
    </r>
    <r>
      <rPr>
        <b/>
        <sz val="10"/>
        <color theme="1"/>
        <rFont val="Consolas"/>
        <family val="3"/>
      </rPr>
      <t xml:space="preserve"> </t>
    </r>
    <r>
      <rPr>
        <b/>
        <sz val="10"/>
        <color rgb="FFFF2800"/>
        <rFont val="Consolas"/>
        <family val="3"/>
      </rPr>
      <t>'カラー4'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</si>
  <si>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quantity_4 </t>
    </r>
    <r>
      <rPr>
        <b/>
        <sz val="10"/>
        <color rgb="FF0080FF"/>
        <rFont val="Consolas"/>
        <family val="3"/>
      </rPr>
      <t>IS</t>
    </r>
    <r>
      <rPr>
        <b/>
        <sz val="10"/>
        <color theme="1"/>
        <rFont val="Consolas"/>
        <family val="3"/>
      </rPr>
      <t xml:space="preserve"> </t>
    </r>
    <r>
      <rPr>
        <b/>
        <sz val="10"/>
        <color rgb="FFFF2800"/>
        <rFont val="Consolas"/>
        <family val="3"/>
      </rPr>
      <t>'台数4'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</si>
  <si>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color_5 </t>
    </r>
    <r>
      <rPr>
        <b/>
        <sz val="10"/>
        <color rgb="FF0080FF"/>
        <rFont val="Consolas"/>
        <family val="3"/>
      </rPr>
      <t>IS</t>
    </r>
    <r>
      <rPr>
        <b/>
        <sz val="10"/>
        <color theme="1"/>
        <rFont val="Consolas"/>
        <family val="3"/>
      </rPr>
      <t xml:space="preserve"> </t>
    </r>
    <r>
      <rPr>
        <b/>
        <sz val="10"/>
        <color rgb="FFFF2800"/>
        <rFont val="Consolas"/>
        <family val="3"/>
      </rPr>
      <t>'カラー5'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</si>
  <si>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quantity_5 </t>
    </r>
    <r>
      <rPr>
        <b/>
        <sz val="10"/>
        <color rgb="FF0080FF"/>
        <rFont val="Consolas"/>
        <family val="3"/>
      </rPr>
      <t>IS</t>
    </r>
    <r>
      <rPr>
        <b/>
        <sz val="10"/>
        <color theme="1"/>
        <rFont val="Consolas"/>
        <family val="3"/>
      </rPr>
      <t xml:space="preserve"> </t>
    </r>
    <r>
      <rPr>
        <b/>
        <sz val="10"/>
        <color rgb="FFFF2800"/>
        <rFont val="Consolas"/>
        <family val="3"/>
      </rPr>
      <t>'台数5'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</si>
  <si>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standard_device_price </t>
    </r>
    <r>
      <rPr>
        <b/>
        <sz val="10"/>
        <color rgb="FF0080FF"/>
        <rFont val="Consolas"/>
        <family val="3"/>
      </rPr>
      <t>IS</t>
    </r>
    <r>
      <rPr>
        <b/>
        <sz val="10"/>
        <color theme="1"/>
        <rFont val="Consolas"/>
        <family val="3"/>
      </rPr>
      <t xml:space="preserve"> </t>
    </r>
    <r>
      <rPr>
        <b/>
        <sz val="10"/>
        <color rgb="FFFF2800"/>
        <rFont val="Consolas"/>
        <family val="3"/>
      </rPr>
      <t>'端末標準価格'</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</si>
  <si>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provision_fee </t>
    </r>
    <r>
      <rPr>
        <b/>
        <sz val="10"/>
        <color rgb="FF0080FF"/>
        <rFont val="Consolas"/>
        <family val="3"/>
      </rPr>
      <t>IS</t>
    </r>
    <r>
      <rPr>
        <b/>
        <sz val="10"/>
        <color theme="1"/>
        <rFont val="Consolas"/>
        <family val="3"/>
      </rPr>
      <t xml:space="preserve"> </t>
    </r>
    <r>
      <rPr>
        <b/>
        <sz val="10"/>
        <color rgb="FFFF2800"/>
        <rFont val="Consolas"/>
        <family val="3"/>
      </rPr>
      <t>'提供代金'</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</si>
  <si>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points_used </t>
    </r>
    <r>
      <rPr>
        <b/>
        <sz val="10"/>
        <color rgb="FF0080FF"/>
        <rFont val="Consolas"/>
        <family val="3"/>
      </rPr>
      <t>IS</t>
    </r>
    <r>
      <rPr>
        <b/>
        <sz val="10"/>
        <color theme="1"/>
        <rFont val="Consolas"/>
        <family val="3"/>
      </rPr>
      <t xml:space="preserve"> </t>
    </r>
    <r>
      <rPr>
        <b/>
        <sz val="10"/>
        <color rgb="FFFF2800"/>
        <rFont val="Consolas"/>
        <family val="3"/>
      </rPr>
      <t>'使用ポイント'</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</si>
  <si>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rental_fee </t>
    </r>
    <r>
      <rPr>
        <b/>
        <sz val="10"/>
        <color rgb="FF0080FF"/>
        <rFont val="Consolas"/>
        <family val="3"/>
      </rPr>
      <t>IS</t>
    </r>
    <r>
      <rPr>
        <b/>
        <sz val="10"/>
        <color theme="1"/>
        <rFont val="Consolas"/>
        <family val="3"/>
      </rPr>
      <t xml:space="preserve"> </t>
    </r>
    <r>
      <rPr>
        <b/>
        <sz val="10"/>
        <color rgb="FFFF2800"/>
        <rFont val="Consolas"/>
        <family val="3"/>
      </rPr>
      <t>'レンタル料'</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</si>
  <si>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actual_rental_provision_fee </t>
    </r>
    <r>
      <rPr>
        <b/>
        <sz val="10"/>
        <color rgb="FF0080FF"/>
        <rFont val="Consolas"/>
        <family val="3"/>
      </rPr>
      <t>IS</t>
    </r>
    <r>
      <rPr>
        <b/>
        <sz val="10"/>
        <color theme="1"/>
        <rFont val="Consolas"/>
        <family val="3"/>
      </rPr>
      <t xml:space="preserve"> </t>
    </r>
    <r>
      <rPr>
        <b/>
        <sz val="10"/>
        <color rgb="FFFF2800"/>
        <rFont val="Consolas"/>
        <family val="3"/>
      </rPr>
      <t>'レンタル実質提供料金'</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</si>
  <si>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campaign_1 </t>
    </r>
    <r>
      <rPr>
        <b/>
        <sz val="10"/>
        <color rgb="FF0080FF"/>
        <rFont val="Consolas"/>
        <family val="3"/>
      </rPr>
      <t>IS</t>
    </r>
    <r>
      <rPr>
        <b/>
        <sz val="10"/>
        <color theme="1"/>
        <rFont val="Consolas"/>
        <family val="3"/>
      </rPr>
      <t xml:space="preserve"> </t>
    </r>
    <r>
      <rPr>
        <b/>
        <sz val="10"/>
        <color rgb="FFFF2800"/>
        <rFont val="Consolas"/>
        <family val="3"/>
      </rPr>
      <t>'キャンペーン1'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</si>
  <si>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campaign_2 </t>
    </r>
    <r>
      <rPr>
        <b/>
        <sz val="10"/>
        <color rgb="FF0080FF"/>
        <rFont val="Consolas"/>
        <family val="3"/>
      </rPr>
      <t>IS</t>
    </r>
    <r>
      <rPr>
        <b/>
        <sz val="10"/>
        <color theme="1"/>
        <rFont val="Consolas"/>
        <family val="3"/>
      </rPr>
      <t xml:space="preserve"> </t>
    </r>
    <r>
      <rPr>
        <b/>
        <sz val="10"/>
        <color rgb="FFFF2800"/>
        <rFont val="Consolas"/>
        <family val="3"/>
      </rPr>
      <t>'キャンペーン2'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</si>
  <si>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campaign_3 </t>
    </r>
    <r>
      <rPr>
        <b/>
        <sz val="10"/>
        <color rgb="FF0080FF"/>
        <rFont val="Consolas"/>
        <family val="3"/>
      </rPr>
      <t>IS</t>
    </r>
    <r>
      <rPr>
        <b/>
        <sz val="10"/>
        <color theme="1"/>
        <rFont val="Consolas"/>
        <family val="3"/>
      </rPr>
      <t xml:space="preserve"> </t>
    </r>
    <r>
      <rPr>
        <b/>
        <sz val="10"/>
        <color rgb="FFFF2800"/>
        <rFont val="Consolas"/>
        <family val="3"/>
      </rPr>
      <t>'キャンペーン3'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</si>
  <si>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campaign_4 </t>
    </r>
    <r>
      <rPr>
        <b/>
        <sz val="10"/>
        <color rgb="FF0080FF"/>
        <rFont val="Consolas"/>
        <family val="3"/>
      </rPr>
      <t>IS</t>
    </r>
    <r>
      <rPr>
        <b/>
        <sz val="10"/>
        <color theme="1"/>
        <rFont val="Consolas"/>
        <family val="3"/>
      </rPr>
      <t xml:space="preserve"> </t>
    </r>
    <r>
      <rPr>
        <b/>
        <sz val="10"/>
        <color rgb="FFFF2800"/>
        <rFont val="Consolas"/>
        <family val="3"/>
      </rPr>
      <t>'キャンペーン4'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</si>
  <si>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campaign_5 </t>
    </r>
    <r>
      <rPr>
        <b/>
        <sz val="10"/>
        <color rgb="FF0080FF"/>
        <rFont val="Consolas"/>
        <family val="3"/>
      </rPr>
      <t>IS</t>
    </r>
    <r>
      <rPr>
        <b/>
        <sz val="10"/>
        <color theme="1"/>
        <rFont val="Consolas"/>
        <family val="3"/>
      </rPr>
      <t xml:space="preserve"> </t>
    </r>
    <r>
      <rPr>
        <b/>
        <sz val="10"/>
        <color rgb="FFFF2800"/>
        <rFont val="Consolas"/>
        <family val="3"/>
      </rPr>
      <t>'キャンペーン5'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</si>
  <si>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benefit_code_1 </t>
    </r>
    <r>
      <rPr>
        <b/>
        <sz val="10"/>
        <color rgb="FF0080FF"/>
        <rFont val="Consolas"/>
        <family val="3"/>
      </rPr>
      <t>IS</t>
    </r>
    <r>
      <rPr>
        <b/>
        <sz val="10"/>
        <color theme="1"/>
        <rFont val="Consolas"/>
        <family val="3"/>
      </rPr>
      <t xml:space="preserve"> </t>
    </r>
    <r>
      <rPr>
        <b/>
        <sz val="10"/>
        <color rgb="FFFF2800"/>
        <rFont val="Consolas"/>
        <family val="3"/>
      </rPr>
      <t>'特典コード1'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</si>
  <si>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benefit_code_2 </t>
    </r>
    <r>
      <rPr>
        <b/>
        <sz val="10"/>
        <color rgb="FF0080FF"/>
        <rFont val="Consolas"/>
        <family val="3"/>
      </rPr>
      <t>IS</t>
    </r>
    <r>
      <rPr>
        <b/>
        <sz val="10"/>
        <color theme="1"/>
        <rFont val="Consolas"/>
        <family val="3"/>
      </rPr>
      <t xml:space="preserve"> </t>
    </r>
    <r>
      <rPr>
        <b/>
        <sz val="10"/>
        <color rgb="FFFF2800"/>
        <rFont val="Consolas"/>
        <family val="3"/>
      </rPr>
      <t>'特典コード2'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</si>
  <si>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benefit_code_3 </t>
    </r>
    <r>
      <rPr>
        <b/>
        <sz val="10"/>
        <color rgb="FF0080FF"/>
        <rFont val="Consolas"/>
        <family val="3"/>
      </rPr>
      <t>IS</t>
    </r>
    <r>
      <rPr>
        <b/>
        <sz val="10"/>
        <color theme="1"/>
        <rFont val="Consolas"/>
        <family val="3"/>
      </rPr>
      <t xml:space="preserve"> </t>
    </r>
    <r>
      <rPr>
        <b/>
        <sz val="10"/>
        <color rgb="FFFF2800"/>
        <rFont val="Consolas"/>
        <family val="3"/>
      </rPr>
      <t>'特典コード3'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</si>
  <si>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benefit_code_4 </t>
    </r>
    <r>
      <rPr>
        <b/>
        <sz val="10"/>
        <color rgb="FF0080FF"/>
        <rFont val="Consolas"/>
        <family val="3"/>
      </rPr>
      <t>IS</t>
    </r>
    <r>
      <rPr>
        <b/>
        <sz val="10"/>
        <color theme="1"/>
        <rFont val="Consolas"/>
        <family val="3"/>
      </rPr>
      <t xml:space="preserve"> </t>
    </r>
    <r>
      <rPr>
        <b/>
        <sz val="10"/>
        <color rgb="FFFF2800"/>
        <rFont val="Consolas"/>
        <family val="3"/>
      </rPr>
      <t>'特典コード4'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</si>
  <si>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urgent_campaign_1 </t>
    </r>
    <r>
      <rPr>
        <b/>
        <sz val="10"/>
        <color rgb="FF0080FF"/>
        <rFont val="Consolas"/>
        <family val="3"/>
      </rPr>
      <t>IS</t>
    </r>
    <r>
      <rPr>
        <b/>
        <sz val="10"/>
        <color theme="1"/>
        <rFont val="Consolas"/>
        <family val="3"/>
      </rPr>
      <t xml:space="preserve"> </t>
    </r>
    <r>
      <rPr>
        <b/>
        <sz val="10"/>
        <color rgb="FFFF2800"/>
        <rFont val="Consolas"/>
        <family val="3"/>
      </rPr>
      <t>'緊急キャンペーン1'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</si>
  <si>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urgent_campaign_2 </t>
    </r>
    <r>
      <rPr>
        <b/>
        <sz val="10"/>
        <color rgb="FF0080FF"/>
        <rFont val="Consolas"/>
        <family val="3"/>
      </rPr>
      <t>IS</t>
    </r>
    <r>
      <rPr>
        <b/>
        <sz val="10"/>
        <color theme="1"/>
        <rFont val="Consolas"/>
        <family val="3"/>
      </rPr>
      <t xml:space="preserve"> </t>
    </r>
    <r>
      <rPr>
        <b/>
        <sz val="10"/>
        <color rgb="FFFF2800"/>
        <rFont val="Consolas"/>
        <family val="3"/>
      </rPr>
      <t>'緊急キャンペーン2'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</si>
  <si>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urgent_campaign_3 </t>
    </r>
    <r>
      <rPr>
        <b/>
        <sz val="10"/>
        <color rgb="FF0080FF"/>
        <rFont val="Consolas"/>
        <family val="3"/>
      </rPr>
      <t>IS</t>
    </r>
    <r>
      <rPr>
        <b/>
        <sz val="10"/>
        <color theme="1"/>
        <rFont val="Consolas"/>
        <family val="3"/>
      </rPr>
      <t xml:space="preserve"> </t>
    </r>
    <r>
      <rPr>
        <b/>
        <sz val="10"/>
        <color rgb="FFFF2800"/>
        <rFont val="Consolas"/>
        <family val="3"/>
      </rPr>
      <t>'緊急キャンペーン3'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</si>
  <si>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plan </t>
    </r>
    <r>
      <rPr>
        <b/>
        <sz val="10"/>
        <color rgb="FF0080FF"/>
        <rFont val="Consolas"/>
        <family val="3"/>
      </rPr>
      <t>IS</t>
    </r>
    <r>
      <rPr>
        <b/>
        <sz val="10"/>
        <color theme="1"/>
        <rFont val="Consolas"/>
        <family val="3"/>
      </rPr>
      <t xml:space="preserve"> </t>
    </r>
    <r>
      <rPr>
        <b/>
        <sz val="10"/>
        <color rgb="FFFF2800"/>
        <rFont val="Consolas"/>
        <family val="3"/>
      </rPr>
      <t>'プラン'</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</si>
  <si>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white_corporate </t>
    </r>
    <r>
      <rPr>
        <b/>
        <sz val="10"/>
        <color rgb="FF0080FF"/>
        <rFont val="Consolas"/>
        <family val="3"/>
      </rPr>
      <t>IS</t>
    </r>
    <r>
      <rPr>
        <b/>
        <sz val="10"/>
        <color theme="1"/>
        <rFont val="Consolas"/>
        <family val="3"/>
      </rPr>
      <t xml:space="preserve"> </t>
    </r>
    <r>
      <rPr>
        <b/>
        <sz val="10"/>
        <color rgb="FFFF2800"/>
        <rFont val="Consolas"/>
        <family val="3"/>
      </rPr>
      <t>'ホワイト法人'</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</si>
  <si>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call_discount_w_white </t>
    </r>
    <r>
      <rPr>
        <b/>
        <sz val="10"/>
        <color rgb="FF0080FF"/>
        <rFont val="Consolas"/>
        <family val="3"/>
      </rPr>
      <t>IS</t>
    </r>
    <r>
      <rPr>
        <b/>
        <sz val="10"/>
        <color theme="1"/>
        <rFont val="Consolas"/>
        <family val="3"/>
      </rPr>
      <t xml:space="preserve"> </t>
    </r>
    <r>
      <rPr>
        <b/>
        <sz val="10"/>
        <color rgb="FFFF2800"/>
        <rFont val="Consolas"/>
        <family val="3"/>
      </rPr>
      <t>'通話料割引wホワイト'</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</si>
  <si>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call_discount_l_white </t>
    </r>
    <r>
      <rPr>
        <b/>
        <sz val="10"/>
        <color rgb="FF0080FF"/>
        <rFont val="Consolas"/>
        <family val="3"/>
      </rPr>
      <t>IS</t>
    </r>
    <r>
      <rPr>
        <b/>
        <sz val="10"/>
        <color theme="1"/>
        <rFont val="Consolas"/>
        <family val="3"/>
      </rPr>
      <t xml:space="preserve"> </t>
    </r>
    <r>
      <rPr>
        <b/>
        <sz val="10"/>
        <color rgb="FFFF2800"/>
        <rFont val="Consolas"/>
        <family val="3"/>
      </rPr>
      <t>'通話料割引ホワイトl'</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</si>
  <si>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flat_rate_calling_24_hour </t>
    </r>
    <r>
      <rPr>
        <b/>
        <sz val="10"/>
        <color rgb="FF0080FF"/>
        <rFont val="Consolas"/>
        <family val="3"/>
      </rPr>
      <t>IS</t>
    </r>
    <r>
      <rPr>
        <b/>
        <sz val="10"/>
        <color theme="1"/>
        <rFont val="Consolas"/>
        <family val="3"/>
      </rPr>
      <t xml:space="preserve"> </t>
    </r>
    <r>
      <rPr>
        <b/>
        <sz val="10"/>
        <color rgb="FFFF2800"/>
        <rFont val="Consolas"/>
        <family val="3"/>
      </rPr>
      <t>'24時間通話定額'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</si>
  <si>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white_office </t>
    </r>
    <r>
      <rPr>
        <b/>
        <sz val="10"/>
        <color rgb="FF0080FF"/>
        <rFont val="Consolas"/>
        <family val="3"/>
      </rPr>
      <t>IS</t>
    </r>
    <r>
      <rPr>
        <b/>
        <sz val="10"/>
        <color theme="1"/>
        <rFont val="Consolas"/>
        <family val="3"/>
      </rPr>
      <t xml:space="preserve"> </t>
    </r>
    <r>
      <rPr>
        <b/>
        <sz val="10"/>
        <color rgb="FFFF2800"/>
        <rFont val="Consolas"/>
        <family val="3"/>
      </rPr>
      <t>'ホワイトオフィス'</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</si>
  <si>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continuing_discount </t>
    </r>
    <r>
      <rPr>
        <b/>
        <sz val="10"/>
        <color rgb="FF0080FF"/>
        <rFont val="Consolas"/>
        <family val="3"/>
      </rPr>
      <t>IS</t>
    </r>
    <r>
      <rPr>
        <b/>
        <sz val="10"/>
        <color theme="1"/>
        <rFont val="Consolas"/>
        <family val="3"/>
      </rPr>
      <t xml:space="preserve"> </t>
    </r>
    <r>
      <rPr>
        <b/>
        <sz val="10"/>
        <color rgb="FFFF2800"/>
        <rFont val="Consolas"/>
        <family val="3"/>
      </rPr>
      <t>'継続割引'</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</si>
  <si>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breaking_contract_gold_annual_contract </t>
    </r>
    <r>
      <rPr>
        <b/>
        <sz val="10"/>
        <color rgb="FF0080FF"/>
        <rFont val="Consolas"/>
        <family val="3"/>
      </rPr>
      <t>IS</t>
    </r>
    <r>
      <rPr>
        <b/>
        <sz val="10"/>
        <color theme="1"/>
        <rFont val="Consolas"/>
        <family val="3"/>
      </rPr>
      <t xml:space="preserve"> </t>
    </r>
    <r>
      <rPr>
        <b/>
        <sz val="10"/>
        <color rgb="FFFF2800"/>
        <rFont val="Consolas"/>
        <family val="3"/>
      </rPr>
      <t>'違約金年契'</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</si>
  <si>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s_basic_pack </t>
    </r>
    <r>
      <rPr>
        <b/>
        <sz val="10"/>
        <color rgb="FF0080FF"/>
        <rFont val="Consolas"/>
        <family val="3"/>
      </rPr>
      <t>IS</t>
    </r>
    <r>
      <rPr>
        <b/>
        <sz val="10"/>
        <color theme="1"/>
        <rFont val="Consolas"/>
        <family val="3"/>
      </rPr>
      <t xml:space="preserve"> </t>
    </r>
    <r>
      <rPr>
        <b/>
        <sz val="10"/>
        <color rgb="FFFF2800"/>
        <rFont val="Consolas"/>
        <family val="3"/>
      </rPr>
      <t>'sベーシックパック'</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</si>
  <si>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data_communication_basic_fee_4g </t>
    </r>
    <r>
      <rPr>
        <b/>
        <sz val="10"/>
        <color rgb="FF0080FF"/>
        <rFont val="Consolas"/>
        <family val="3"/>
      </rPr>
      <t>IS</t>
    </r>
    <r>
      <rPr>
        <b/>
        <sz val="10"/>
        <color theme="1"/>
        <rFont val="Consolas"/>
        <family val="3"/>
      </rPr>
      <t xml:space="preserve"> </t>
    </r>
    <r>
      <rPr>
        <b/>
        <sz val="10"/>
        <color rgb="FFFF2800"/>
        <rFont val="Consolas"/>
        <family val="3"/>
      </rPr>
      <t>'4gデータ通信基本料'</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</si>
  <si>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basic_fee_5g </t>
    </r>
    <r>
      <rPr>
        <b/>
        <sz val="10"/>
        <color rgb="FF0080FF"/>
        <rFont val="Consolas"/>
        <family val="3"/>
      </rPr>
      <t>IS</t>
    </r>
    <r>
      <rPr>
        <b/>
        <sz val="10"/>
        <color theme="1"/>
        <rFont val="Consolas"/>
        <family val="3"/>
      </rPr>
      <t xml:space="preserve"> </t>
    </r>
    <r>
      <rPr>
        <b/>
        <sz val="10"/>
        <color rgb="FFFF2800"/>
        <rFont val="Consolas"/>
        <family val="3"/>
      </rPr>
      <t>'5g基本料'</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</si>
  <si>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packet_discount </t>
    </r>
    <r>
      <rPr>
        <b/>
        <sz val="10"/>
        <color rgb="FF0080FF"/>
        <rFont val="Consolas"/>
        <family val="3"/>
      </rPr>
      <t>IS</t>
    </r>
    <r>
      <rPr>
        <b/>
        <sz val="10"/>
        <color theme="1"/>
        <rFont val="Consolas"/>
        <family val="3"/>
      </rPr>
      <t xml:space="preserve"> </t>
    </r>
    <r>
      <rPr>
        <b/>
        <sz val="10"/>
        <color rgb="FFFF2800"/>
        <rFont val="Consolas"/>
        <family val="3"/>
      </rPr>
      <t>'パケット割引'</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</si>
  <si>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data_speed_​​limit_removal </t>
    </r>
    <r>
      <rPr>
        <b/>
        <sz val="10"/>
        <color rgb="FF0080FF"/>
        <rFont val="Consolas"/>
        <family val="3"/>
      </rPr>
      <t>IS</t>
    </r>
    <r>
      <rPr>
        <b/>
        <sz val="10"/>
        <color theme="1"/>
        <rFont val="Consolas"/>
        <family val="3"/>
      </rPr>
      <t xml:space="preserve"> </t>
    </r>
    <r>
      <rPr>
        <b/>
        <sz val="10"/>
        <color rgb="FFFF2800"/>
        <rFont val="Consolas"/>
        <family val="3"/>
      </rPr>
      <t>'通信速度制限解除'</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</si>
  <si>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flat_rate_calls___anyone </t>
    </r>
    <r>
      <rPr>
        <b/>
        <sz val="10"/>
        <color rgb="FF0080FF"/>
        <rFont val="Consolas"/>
        <family val="3"/>
      </rPr>
      <t>IS</t>
    </r>
    <r>
      <rPr>
        <b/>
        <sz val="10"/>
        <color theme="1"/>
        <rFont val="Consolas"/>
        <family val="3"/>
      </rPr>
      <t xml:space="preserve"> </t>
    </r>
    <r>
      <rPr>
        <b/>
        <sz val="10"/>
        <color rgb="FFFF2800"/>
        <rFont val="Consolas"/>
        <family val="3"/>
      </rPr>
      <t>'通話定額_だれとでも'</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</si>
  <si>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wifi </t>
    </r>
    <r>
      <rPr>
        <b/>
        <sz val="10"/>
        <color rgb="FF0080FF"/>
        <rFont val="Consolas"/>
        <family val="3"/>
      </rPr>
      <t>IS</t>
    </r>
    <r>
      <rPr>
        <b/>
        <sz val="10"/>
        <color theme="1"/>
        <rFont val="Consolas"/>
        <family val="3"/>
      </rPr>
      <t xml:space="preserve"> </t>
    </r>
    <r>
      <rPr>
        <b/>
        <sz val="10"/>
        <color rgb="FFFF2800"/>
        <rFont val="Consolas"/>
        <family val="3"/>
      </rPr>
      <t>'wifi'</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</si>
  <si>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tethering </t>
    </r>
    <r>
      <rPr>
        <b/>
        <sz val="10"/>
        <color rgb="FF0080FF"/>
        <rFont val="Consolas"/>
        <family val="3"/>
      </rPr>
      <t>IS</t>
    </r>
    <r>
      <rPr>
        <b/>
        <sz val="10"/>
        <color theme="1"/>
        <rFont val="Consolas"/>
        <family val="3"/>
      </rPr>
      <t xml:space="preserve"> </t>
    </r>
    <r>
      <rPr>
        <b/>
        <sz val="10"/>
        <color rgb="FFFF2800"/>
        <rFont val="Consolas"/>
        <family val="3"/>
      </rPr>
      <t>'テザリング'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</si>
  <si>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flat_sp9 </t>
    </r>
    <r>
      <rPr>
        <b/>
        <sz val="10"/>
        <color rgb="FF0080FF"/>
        <rFont val="Consolas"/>
        <family val="3"/>
      </rPr>
      <t>IS</t>
    </r>
    <r>
      <rPr>
        <b/>
        <sz val="10"/>
        <color theme="1"/>
        <rFont val="Consolas"/>
        <family val="3"/>
      </rPr>
      <t xml:space="preserve"> </t>
    </r>
    <r>
      <rPr>
        <b/>
        <sz val="10"/>
        <color rgb="FFFF2800"/>
        <rFont val="Consolas"/>
        <family val="3"/>
      </rPr>
      <t>'フラットsp9'</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</si>
  <si>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option_pack </t>
    </r>
    <r>
      <rPr>
        <b/>
        <sz val="10"/>
        <color rgb="FF0080FF"/>
        <rFont val="Consolas"/>
        <family val="3"/>
      </rPr>
      <t>IS</t>
    </r>
    <r>
      <rPr>
        <b/>
        <sz val="10"/>
        <color theme="1"/>
        <rFont val="Consolas"/>
        <family val="3"/>
      </rPr>
      <t xml:space="preserve"> </t>
    </r>
    <r>
      <rPr>
        <b/>
        <sz val="10"/>
        <color rgb="FFFF2800"/>
        <rFont val="Consolas"/>
        <family val="3"/>
      </rPr>
      <t>'オプションパック'</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</si>
  <si>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anshin_guarantee_pack </t>
    </r>
    <r>
      <rPr>
        <b/>
        <sz val="10"/>
        <color rgb="FF0080FF"/>
        <rFont val="Consolas"/>
        <family val="3"/>
      </rPr>
      <t>IS</t>
    </r>
    <r>
      <rPr>
        <b/>
        <sz val="10"/>
        <color theme="1"/>
        <rFont val="Consolas"/>
        <family val="3"/>
      </rPr>
      <t xml:space="preserve"> </t>
    </r>
    <r>
      <rPr>
        <b/>
        <sz val="10"/>
        <color rgb="FFFF2800"/>
        <rFont val="Consolas"/>
        <family val="3"/>
      </rPr>
      <t>'あんしん保証パック'</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</si>
  <si>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 </t>
    </r>
    <r>
      <rPr>
        <b/>
        <sz val="10"/>
        <color rgb="FF0080FF"/>
        <rFont val="Consolas"/>
        <family val="3"/>
      </rPr>
      <t>IS</t>
    </r>
    <r>
      <rPr>
        <b/>
        <sz val="10"/>
        <color theme="1"/>
        <rFont val="Consolas"/>
        <family val="3"/>
      </rPr>
      <t xml:space="preserve"> </t>
    </r>
    <r>
      <rPr>
        <b/>
        <sz val="10"/>
        <color rgb="FFFF2800"/>
        <rFont val="Consolas"/>
        <family val="3"/>
      </rPr>
      <t>'app'</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</si>
  <si>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global_mobile_phone </t>
    </r>
    <r>
      <rPr>
        <b/>
        <sz val="10"/>
        <color rgb="FF0080FF"/>
        <rFont val="Consolas"/>
        <family val="3"/>
      </rPr>
      <t>IS</t>
    </r>
    <r>
      <rPr>
        <b/>
        <sz val="10"/>
        <color theme="1"/>
        <rFont val="Consolas"/>
        <family val="3"/>
      </rPr>
      <t xml:space="preserve"> </t>
    </r>
    <r>
      <rPr>
        <b/>
        <sz val="10"/>
        <color rgb="FFFF2800"/>
        <rFont val="Consolas"/>
        <family val="3"/>
      </rPr>
      <t>'世界対応ケータイ'</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</si>
  <si>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overseas_packet_discount </t>
    </r>
    <r>
      <rPr>
        <b/>
        <sz val="10"/>
        <color rgb="FF0080FF"/>
        <rFont val="Consolas"/>
        <family val="3"/>
      </rPr>
      <t>IS</t>
    </r>
    <r>
      <rPr>
        <b/>
        <sz val="10"/>
        <color theme="1"/>
        <rFont val="Consolas"/>
        <family val="3"/>
      </rPr>
      <t xml:space="preserve"> </t>
    </r>
    <r>
      <rPr>
        <b/>
        <sz val="10"/>
        <color rgb="FFFF2800"/>
        <rFont val="Consolas"/>
        <family val="3"/>
      </rPr>
      <t>'海外パケット割引'</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</si>
  <si>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call_billing_details </t>
    </r>
    <r>
      <rPr>
        <b/>
        <sz val="10"/>
        <color rgb="FF0080FF"/>
        <rFont val="Consolas"/>
        <family val="3"/>
      </rPr>
      <t>IS</t>
    </r>
    <r>
      <rPr>
        <b/>
        <sz val="10"/>
        <color theme="1"/>
        <rFont val="Consolas"/>
        <family val="3"/>
      </rPr>
      <t xml:space="preserve"> </t>
    </r>
    <r>
      <rPr>
        <b/>
        <sz val="10"/>
        <color rgb="FFFF2800"/>
        <rFont val="Consolas"/>
        <family val="3"/>
      </rPr>
      <t>'通話料明細'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</si>
  <si>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it_connection_basic_fee </t>
    </r>
    <r>
      <rPr>
        <b/>
        <sz val="10"/>
        <color rgb="FF0080FF"/>
        <rFont val="Consolas"/>
        <family val="3"/>
      </rPr>
      <t>IS</t>
    </r>
    <r>
      <rPr>
        <b/>
        <sz val="10"/>
        <color theme="1"/>
        <rFont val="Consolas"/>
        <family val="3"/>
      </rPr>
      <t xml:space="preserve"> </t>
    </r>
    <r>
      <rPr>
        <b/>
        <sz val="10"/>
        <color rgb="FFFF2800"/>
        <rFont val="Consolas"/>
        <family val="3"/>
      </rPr>
      <t>'it接続基本料'</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</si>
  <si>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option_category_1 </t>
    </r>
    <r>
      <rPr>
        <b/>
        <sz val="10"/>
        <color rgb="FF0080FF"/>
        <rFont val="Consolas"/>
        <family val="3"/>
      </rPr>
      <t>IS</t>
    </r>
    <r>
      <rPr>
        <b/>
        <sz val="10"/>
        <color theme="1"/>
        <rFont val="Consolas"/>
        <family val="3"/>
      </rPr>
      <t xml:space="preserve"> </t>
    </r>
    <r>
      <rPr>
        <b/>
        <sz val="10"/>
        <color rgb="FFFF2800"/>
        <rFont val="Consolas"/>
        <family val="3"/>
      </rPr>
      <t>'オプションカテゴリ1'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</si>
  <si>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option_service_1 </t>
    </r>
    <r>
      <rPr>
        <b/>
        <sz val="10"/>
        <color rgb="FF0080FF"/>
        <rFont val="Consolas"/>
        <family val="3"/>
      </rPr>
      <t>IS</t>
    </r>
    <r>
      <rPr>
        <b/>
        <sz val="10"/>
        <color theme="1"/>
        <rFont val="Consolas"/>
        <family val="3"/>
      </rPr>
      <t xml:space="preserve"> </t>
    </r>
    <r>
      <rPr>
        <b/>
        <sz val="10"/>
        <color rgb="FFFF2800"/>
        <rFont val="Consolas"/>
        <family val="3"/>
      </rPr>
      <t>'オプションサービス1'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</si>
  <si>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option_category_2 </t>
    </r>
    <r>
      <rPr>
        <b/>
        <sz val="10"/>
        <color rgb="FF0080FF"/>
        <rFont val="Consolas"/>
        <family val="3"/>
      </rPr>
      <t>IS</t>
    </r>
    <r>
      <rPr>
        <b/>
        <sz val="10"/>
        <color theme="1"/>
        <rFont val="Consolas"/>
        <family val="3"/>
      </rPr>
      <t xml:space="preserve"> </t>
    </r>
    <r>
      <rPr>
        <b/>
        <sz val="10"/>
        <color rgb="FFFF2800"/>
        <rFont val="Consolas"/>
        <family val="3"/>
      </rPr>
      <t>'オプションカテゴリ2'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</si>
  <si>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option_service_2 </t>
    </r>
    <r>
      <rPr>
        <b/>
        <sz val="10"/>
        <color rgb="FF0080FF"/>
        <rFont val="Consolas"/>
        <family val="3"/>
      </rPr>
      <t>IS</t>
    </r>
    <r>
      <rPr>
        <b/>
        <sz val="10"/>
        <color theme="1"/>
        <rFont val="Consolas"/>
        <family val="3"/>
      </rPr>
      <t xml:space="preserve"> </t>
    </r>
    <r>
      <rPr>
        <b/>
        <sz val="10"/>
        <color rgb="FFFF2800"/>
        <rFont val="Consolas"/>
        <family val="3"/>
      </rPr>
      <t>'オプションサービス2'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</si>
  <si>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option_category_3 </t>
    </r>
    <r>
      <rPr>
        <b/>
        <sz val="10"/>
        <color rgb="FF0080FF"/>
        <rFont val="Consolas"/>
        <family val="3"/>
      </rPr>
      <t>IS</t>
    </r>
    <r>
      <rPr>
        <b/>
        <sz val="10"/>
        <color theme="1"/>
        <rFont val="Consolas"/>
        <family val="3"/>
      </rPr>
      <t xml:space="preserve"> </t>
    </r>
    <r>
      <rPr>
        <b/>
        <sz val="10"/>
        <color rgb="FFFF2800"/>
        <rFont val="Consolas"/>
        <family val="3"/>
      </rPr>
      <t>'オプションカテゴリ3'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</si>
  <si>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option_service_3 </t>
    </r>
    <r>
      <rPr>
        <b/>
        <sz val="10"/>
        <color rgb="FF0080FF"/>
        <rFont val="Consolas"/>
        <family val="3"/>
      </rPr>
      <t>IS</t>
    </r>
    <r>
      <rPr>
        <b/>
        <sz val="10"/>
        <color theme="1"/>
        <rFont val="Consolas"/>
        <family val="3"/>
      </rPr>
      <t xml:space="preserve"> </t>
    </r>
    <r>
      <rPr>
        <b/>
        <sz val="10"/>
        <color rgb="FFFF2800"/>
        <rFont val="Consolas"/>
        <family val="3"/>
      </rPr>
      <t>'オプションサービス3'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</si>
  <si>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option_category_4 </t>
    </r>
    <r>
      <rPr>
        <b/>
        <sz val="10"/>
        <color rgb="FF0080FF"/>
        <rFont val="Consolas"/>
        <family val="3"/>
      </rPr>
      <t>IS</t>
    </r>
    <r>
      <rPr>
        <b/>
        <sz val="10"/>
        <color theme="1"/>
        <rFont val="Consolas"/>
        <family val="3"/>
      </rPr>
      <t xml:space="preserve"> </t>
    </r>
    <r>
      <rPr>
        <b/>
        <sz val="10"/>
        <color rgb="FFFF2800"/>
        <rFont val="Consolas"/>
        <family val="3"/>
      </rPr>
      <t>'オプションカテゴリ4'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</si>
  <si>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option_service_4 </t>
    </r>
    <r>
      <rPr>
        <b/>
        <sz val="10"/>
        <color rgb="FF0080FF"/>
        <rFont val="Consolas"/>
        <family val="3"/>
      </rPr>
      <t>IS</t>
    </r>
    <r>
      <rPr>
        <b/>
        <sz val="10"/>
        <color theme="1"/>
        <rFont val="Consolas"/>
        <family val="3"/>
      </rPr>
      <t xml:space="preserve"> </t>
    </r>
    <r>
      <rPr>
        <b/>
        <sz val="10"/>
        <color rgb="FFFF2800"/>
        <rFont val="Consolas"/>
        <family val="3"/>
      </rPr>
      <t>'オプションサービス4'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</si>
  <si>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option_category_5 </t>
    </r>
    <r>
      <rPr>
        <b/>
        <sz val="10"/>
        <color rgb="FF0080FF"/>
        <rFont val="Consolas"/>
        <family val="3"/>
      </rPr>
      <t>IS</t>
    </r>
    <r>
      <rPr>
        <b/>
        <sz val="10"/>
        <color theme="1"/>
        <rFont val="Consolas"/>
        <family val="3"/>
      </rPr>
      <t xml:space="preserve"> </t>
    </r>
    <r>
      <rPr>
        <b/>
        <sz val="10"/>
        <color rgb="FFFF2800"/>
        <rFont val="Consolas"/>
        <family val="3"/>
      </rPr>
      <t>'オプションカテゴリ5'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</si>
  <si>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option_service_5 </t>
    </r>
    <r>
      <rPr>
        <b/>
        <sz val="10"/>
        <color rgb="FF0080FF"/>
        <rFont val="Consolas"/>
        <family val="3"/>
      </rPr>
      <t>IS</t>
    </r>
    <r>
      <rPr>
        <b/>
        <sz val="10"/>
        <color theme="1"/>
        <rFont val="Consolas"/>
        <family val="3"/>
      </rPr>
      <t xml:space="preserve"> </t>
    </r>
    <r>
      <rPr>
        <b/>
        <sz val="10"/>
        <color rgb="FFFF2800"/>
        <rFont val="Consolas"/>
        <family val="3"/>
      </rPr>
      <t>'オプションサービス5'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</si>
  <si>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option_category_6 </t>
    </r>
    <r>
      <rPr>
        <b/>
        <sz val="10"/>
        <color rgb="FF0080FF"/>
        <rFont val="Consolas"/>
        <family val="3"/>
      </rPr>
      <t>IS</t>
    </r>
    <r>
      <rPr>
        <b/>
        <sz val="10"/>
        <color theme="1"/>
        <rFont val="Consolas"/>
        <family val="3"/>
      </rPr>
      <t xml:space="preserve"> </t>
    </r>
    <r>
      <rPr>
        <b/>
        <sz val="10"/>
        <color rgb="FFFF2800"/>
        <rFont val="Consolas"/>
        <family val="3"/>
      </rPr>
      <t>'オプションカテゴリ6'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</si>
  <si>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option_service_6 </t>
    </r>
    <r>
      <rPr>
        <b/>
        <sz val="10"/>
        <color rgb="FF0080FF"/>
        <rFont val="Consolas"/>
        <family val="3"/>
      </rPr>
      <t>IS</t>
    </r>
    <r>
      <rPr>
        <b/>
        <sz val="10"/>
        <color theme="1"/>
        <rFont val="Consolas"/>
        <family val="3"/>
      </rPr>
      <t xml:space="preserve"> </t>
    </r>
    <r>
      <rPr>
        <b/>
        <sz val="10"/>
        <color rgb="FFFF2800"/>
        <rFont val="Consolas"/>
        <family val="3"/>
      </rPr>
      <t>'オプションサービス6'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</si>
  <si>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option_category_7 </t>
    </r>
    <r>
      <rPr>
        <b/>
        <sz val="10"/>
        <color rgb="FF0080FF"/>
        <rFont val="Consolas"/>
        <family val="3"/>
      </rPr>
      <t>IS</t>
    </r>
    <r>
      <rPr>
        <b/>
        <sz val="10"/>
        <color theme="1"/>
        <rFont val="Consolas"/>
        <family val="3"/>
      </rPr>
      <t xml:space="preserve"> </t>
    </r>
    <r>
      <rPr>
        <b/>
        <sz val="10"/>
        <color rgb="FFFF2800"/>
        <rFont val="Consolas"/>
        <family val="3"/>
      </rPr>
      <t>'オプションカテゴリ7'</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</si>
  <si>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option_service_7 </t>
    </r>
    <r>
      <rPr>
        <b/>
        <sz val="10"/>
        <color rgb="FF0080FF"/>
        <rFont val="Consolas"/>
        <family val="3"/>
      </rPr>
      <t>IS</t>
    </r>
    <r>
      <rPr>
        <b/>
        <sz val="10"/>
        <color theme="1"/>
        <rFont val="Consolas"/>
        <family val="3"/>
      </rPr>
      <t xml:space="preserve"> </t>
    </r>
    <r>
      <rPr>
        <b/>
        <sz val="10"/>
        <color rgb="FFFF2800"/>
        <rFont val="Consolas"/>
        <family val="3"/>
      </rPr>
      <t>'オプションサービス7'</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</si>
  <si>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option_category_8 </t>
    </r>
    <r>
      <rPr>
        <b/>
        <sz val="10"/>
        <color rgb="FF0080FF"/>
        <rFont val="Consolas"/>
        <family val="3"/>
      </rPr>
      <t>IS</t>
    </r>
    <r>
      <rPr>
        <b/>
        <sz val="10"/>
        <color theme="1"/>
        <rFont val="Consolas"/>
        <family val="3"/>
      </rPr>
      <t xml:space="preserve"> </t>
    </r>
    <r>
      <rPr>
        <b/>
        <sz val="10"/>
        <color rgb="FFFF2800"/>
        <rFont val="Consolas"/>
        <family val="3"/>
      </rPr>
      <t>'オプションカテゴリ8'</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</si>
  <si>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optional_service_8 </t>
    </r>
    <r>
      <rPr>
        <b/>
        <sz val="10"/>
        <color rgb="FF0080FF"/>
        <rFont val="Consolas"/>
        <family val="3"/>
      </rPr>
      <t>IS</t>
    </r>
    <r>
      <rPr>
        <b/>
        <sz val="10"/>
        <color theme="1"/>
        <rFont val="Consolas"/>
        <family val="3"/>
      </rPr>
      <t xml:space="preserve"> </t>
    </r>
    <r>
      <rPr>
        <b/>
        <sz val="10"/>
        <color rgb="FFFF2800"/>
        <rFont val="Consolas"/>
        <family val="3"/>
      </rPr>
      <t>'オプションサービス8'</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</si>
  <si>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optional_category_9 </t>
    </r>
    <r>
      <rPr>
        <b/>
        <sz val="10"/>
        <color rgb="FF0080FF"/>
        <rFont val="Consolas"/>
        <family val="3"/>
      </rPr>
      <t>IS</t>
    </r>
    <r>
      <rPr>
        <b/>
        <sz val="10"/>
        <color theme="1"/>
        <rFont val="Consolas"/>
        <family val="3"/>
      </rPr>
      <t xml:space="preserve"> </t>
    </r>
    <r>
      <rPr>
        <b/>
        <sz val="10"/>
        <color rgb="FFFF2800"/>
        <rFont val="Consolas"/>
        <family val="3"/>
      </rPr>
      <t>'オプションカテゴリ9'</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</si>
  <si>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optional_service_9 </t>
    </r>
    <r>
      <rPr>
        <b/>
        <sz val="10"/>
        <color rgb="FF0080FF"/>
        <rFont val="Consolas"/>
        <family val="3"/>
      </rPr>
      <t>IS</t>
    </r>
    <r>
      <rPr>
        <b/>
        <sz val="10"/>
        <color theme="1"/>
        <rFont val="Consolas"/>
        <family val="3"/>
      </rPr>
      <t xml:space="preserve"> </t>
    </r>
    <r>
      <rPr>
        <b/>
        <sz val="10"/>
        <color rgb="FFFF2800"/>
        <rFont val="Consolas"/>
        <family val="3"/>
      </rPr>
      <t>'オプションサービス9'</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</si>
  <si>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optional_category_10 </t>
    </r>
    <r>
      <rPr>
        <b/>
        <sz val="10"/>
        <color rgb="FF0080FF"/>
        <rFont val="Consolas"/>
        <family val="3"/>
      </rPr>
      <t>IS</t>
    </r>
    <r>
      <rPr>
        <b/>
        <sz val="10"/>
        <color theme="1"/>
        <rFont val="Consolas"/>
        <family val="3"/>
      </rPr>
      <t xml:space="preserve"> </t>
    </r>
    <r>
      <rPr>
        <b/>
        <sz val="10"/>
        <color rgb="FFFF2800"/>
        <rFont val="Consolas"/>
        <family val="3"/>
      </rPr>
      <t>'オプションカテゴリ10'</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</si>
  <si>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optional_service_10 </t>
    </r>
    <r>
      <rPr>
        <b/>
        <sz val="10"/>
        <color rgb="FF0080FF"/>
        <rFont val="Consolas"/>
        <family val="3"/>
      </rPr>
      <t>IS</t>
    </r>
    <r>
      <rPr>
        <b/>
        <sz val="10"/>
        <color theme="1"/>
        <rFont val="Consolas"/>
        <family val="3"/>
      </rPr>
      <t xml:space="preserve"> </t>
    </r>
    <r>
      <rPr>
        <b/>
        <sz val="10"/>
        <color rgb="FFFF2800"/>
        <rFont val="Consolas"/>
        <family val="3"/>
      </rPr>
      <t>'オプションサービス10'</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</si>
  <si>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share_settings </t>
    </r>
    <r>
      <rPr>
        <b/>
        <sz val="10"/>
        <color rgb="FF0080FF"/>
        <rFont val="Consolas"/>
        <family val="3"/>
      </rPr>
      <t>IS</t>
    </r>
    <r>
      <rPr>
        <b/>
        <sz val="10"/>
        <color theme="1"/>
        <rFont val="Consolas"/>
        <family val="3"/>
      </rPr>
      <t xml:space="preserve"> </t>
    </r>
    <r>
      <rPr>
        <b/>
        <sz val="10"/>
        <color rgb="FFFF2800"/>
        <rFont val="Consolas"/>
        <family val="3"/>
      </rPr>
      <t>'シェア設定'</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</si>
  <si>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share_option </t>
    </r>
    <r>
      <rPr>
        <b/>
        <sz val="10"/>
        <color rgb="FF0080FF"/>
        <rFont val="Consolas"/>
        <family val="3"/>
      </rPr>
      <t>IS</t>
    </r>
    <r>
      <rPr>
        <b/>
        <sz val="10"/>
        <color theme="1"/>
        <rFont val="Consolas"/>
        <family val="3"/>
      </rPr>
      <t xml:space="preserve"> </t>
    </r>
    <r>
      <rPr>
        <b/>
        <sz val="10"/>
        <color rgb="FFFF2800"/>
        <rFont val="Consolas"/>
        <family val="3"/>
      </rPr>
      <t>'シェアオプション'</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</si>
  <si>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grp_representative_share_option </t>
    </r>
    <r>
      <rPr>
        <b/>
        <sz val="10"/>
        <color rgb="FF0080FF"/>
        <rFont val="Consolas"/>
        <family val="3"/>
      </rPr>
      <t>IS</t>
    </r>
    <r>
      <rPr>
        <b/>
        <sz val="10"/>
        <color theme="1"/>
        <rFont val="Consolas"/>
        <family val="3"/>
      </rPr>
      <t xml:space="preserve"> </t>
    </r>
    <r>
      <rPr>
        <b/>
        <sz val="10"/>
        <color rgb="FFFF2800"/>
        <rFont val="Consolas"/>
        <family val="3"/>
      </rPr>
      <t>'grp代表シェアopt'</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</si>
  <si>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grp_representative_data_speed_​​limit </t>
    </r>
    <r>
      <rPr>
        <b/>
        <sz val="10"/>
        <color rgb="FF0080FF"/>
        <rFont val="Consolas"/>
        <family val="3"/>
      </rPr>
      <t>IS</t>
    </r>
    <r>
      <rPr>
        <b/>
        <sz val="10"/>
        <color theme="1"/>
        <rFont val="Consolas"/>
        <family val="3"/>
      </rPr>
      <t xml:space="preserve"> </t>
    </r>
    <r>
      <rPr>
        <b/>
        <sz val="10"/>
        <color rgb="FFFF2800"/>
        <rFont val="Consolas"/>
        <family val="3"/>
      </rPr>
      <t>'grp代表通信速度制限'</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</si>
  <si>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rntopt_category_1 </t>
    </r>
    <r>
      <rPr>
        <b/>
        <sz val="10"/>
        <color rgb="FF0080FF"/>
        <rFont val="Consolas"/>
        <family val="3"/>
      </rPr>
      <t>IS</t>
    </r>
    <r>
      <rPr>
        <b/>
        <sz val="10"/>
        <color theme="1"/>
        <rFont val="Consolas"/>
        <family val="3"/>
      </rPr>
      <t xml:space="preserve"> </t>
    </r>
    <r>
      <rPr>
        <b/>
        <sz val="10"/>
        <color rgb="FFFF2800"/>
        <rFont val="Consolas"/>
        <family val="3"/>
      </rPr>
      <t>'rntoptカテゴリ1'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</si>
  <si>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rntopt_plan_1 </t>
    </r>
    <r>
      <rPr>
        <b/>
        <sz val="10"/>
        <color rgb="FF0080FF"/>
        <rFont val="Consolas"/>
        <family val="3"/>
      </rPr>
      <t>IS</t>
    </r>
    <r>
      <rPr>
        <b/>
        <sz val="10"/>
        <color theme="1"/>
        <rFont val="Consolas"/>
        <family val="3"/>
      </rPr>
      <t xml:space="preserve"> </t>
    </r>
    <r>
      <rPr>
        <b/>
        <sz val="10"/>
        <color rgb="FFFF2800"/>
        <rFont val="Consolas"/>
        <family val="3"/>
      </rPr>
      <t>'rntoptプラン1'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</si>
  <si>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rntopt_category_2 </t>
    </r>
    <r>
      <rPr>
        <b/>
        <sz val="10"/>
        <color rgb="FF0080FF"/>
        <rFont val="Consolas"/>
        <family val="3"/>
      </rPr>
      <t>IS</t>
    </r>
    <r>
      <rPr>
        <b/>
        <sz val="10"/>
        <color theme="1"/>
        <rFont val="Consolas"/>
        <family val="3"/>
      </rPr>
      <t xml:space="preserve"> </t>
    </r>
    <r>
      <rPr>
        <b/>
        <sz val="10"/>
        <color rgb="FFFF2800"/>
        <rFont val="Consolas"/>
        <family val="3"/>
      </rPr>
      <t>'rntoptカテゴリ2'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</si>
  <si>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rntopt_plan_2 </t>
    </r>
    <r>
      <rPr>
        <b/>
        <sz val="10"/>
        <color rgb="FF0080FF"/>
        <rFont val="Consolas"/>
        <family val="3"/>
      </rPr>
      <t>IS</t>
    </r>
    <r>
      <rPr>
        <b/>
        <sz val="10"/>
        <color theme="1"/>
        <rFont val="Consolas"/>
        <family val="3"/>
      </rPr>
      <t xml:space="preserve"> </t>
    </r>
    <r>
      <rPr>
        <b/>
        <sz val="10"/>
        <color rgb="FFFF2800"/>
        <rFont val="Consolas"/>
        <family val="3"/>
      </rPr>
      <t>'rntoptプラン2'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</si>
  <si>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rntopt_category_3 </t>
    </r>
    <r>
      <rPr>
        <b/>
        <sz val="10"/>
        <color rgb="FF0080FF"/>
        <rFont val="Consolas"/>
        <family val="3"/>
      </rPr>
      <t>IS</t>
    </r>
    <r>
      <rPr>
        <b/>
        <sz val="10"/>
        <color theme="1"/>
        <rFont val="Consolas"/>
        <family val="3"/>
      </rPr>
      <t xml:space="preserve"> </t>
    </r>
    <r>
      <rPr>
        <b/>
        <sz val="10"/>
        <color rgb="FFFF2800"/>
        <rFont val="Consolas"/>
        <family val="3"/>
      </rPr>
      <t>'rntoptカテゴリ3'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</si>
  <si>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rntopt_plan_3 </t>
    </r>
    <r>
      <rPr>
        <b/>
        <sz val="10"/>
        <color rgb="FF0080FF"/>
        <rFont val="Consolas"/>
        <family val="3"/>
      </rPr>
      <t>IS</t>
    </r>
    <r>
      <rPr>
        <b/>
        <sz val="10"/>
        <color theme="1"/>
        <rFont val="Consolas"/>
        <family val="3"/>
      </rPr>
      <t xml:space="preserve"> </t>
    </r>
    <r>
      <rPr>
        <b/>
        <sz val="10"/>
        <color rgb="FFFF2800"/>
        <rFont val="Consolas"/>
        <family val="3"/>
      </rPr>
      <t>'rntoptプラン3'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</si>
  <si>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rntopt_category_4 </t>
    </r>
    <r>
      <rPr>
        <b/>
        <sz val="10"/>
        <color rgb="FF0080FF"/>
        <rFont val="Consolas"/>
        <family val="3"/>
      </rPr>
      <t>IS</t>
    </r>
    <r>
      <rPr>
        <b/>
        <sz val="10"/>
        <color theme="1"/>
        <rFont val="Consolas"/>
        <family val="3"/>
      </rPr>
      <t xml:space="preserve"> </t>
    </r>
    <r>
      <rPr>
        <b/>
        <sz val="10"/>
        <color rgb="FFFF2800"/>
        <rFont val="Consolas"/>
        <family val="3"/>
      </rPr>
      <t>'rntoptカテゴリ4'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</si>
  <si>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rntopt_plan_4 </t>
    </r>
    <r>
      <rPr>
        <b/>
        <sz val="10"/>
        <color rgb="FF0080FF"/>
        <rFont val="Consolas"/>
        <family val="3"/>
      </rPr>
      <t>IS</t>
    </r>
    <r>
      <rPr>
        <b/>
        <sz val="10"/>
        <color theme="1"/>
        <rFont val="Consolas"/>
        <family val="3"/>
      </rPr>
      <t xml:space="preserve"> </t>
    </r>
    <r>
      <rPr>
        <b/>
        <sz val="10"/>
        <color rgb="FFFF2800"/>
        <rFont val="Consolas"/>
        <family val="3"/>
      </rPr>
      <t>'rntoptプラン4'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</si>
  <si>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rntopt_category_5 </t>
    </r>
    <r>
      <rPr>
        <b/>
        <sz val="10"/>
        <color rgb="FF0080FF"/>
        <rFont val="Consolas"/>
        <family val="3"/>
      </rPr>
      <t>IS</t>
    </r>
    <r>
      <rPr>
        <b/>
        <sz val="10"/>
        <color theme="1"/>
        <rFont val="Consolas"/>
        <family val="3"/>
      </rPr>
      <t xml:space="preserve"> </t>
    </r>
    <r>
      <rPr>
        <b/>
        <sz val="10"/>
        <color rgb="FFFF2800"/>
        <rFont val="Consolas"/>
        <family val="3"/>
      </rPr>
      <t>'rntoptカテゴリ5'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</si>
  <si>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rntopt_plan_5 </t>
    </r>
    <r>
      <rPr>
        <b/>
        <sz val="10"/>
        <color rgb="FF0080FF"/>
        <rFont val="Consolas"/>
        <family val="3"/>
      </rPr>
      <t>IS</t>
    </r>
    <r>
      <rPr>
        <b/>
        <sz val="10"/>
        <color theme="1"/>
        <rFont val="Consolas"/>
        <family val="3"/>
      </rPr>
      <t xml:space="preserve"> </t>
    </r>
    <r>
      <rPr>
        <b/>
        <sz val="10"/>
        <color rgb="FFFF2800"/>
        <rFont val="Consolas"/>
        <family val="3"/>
      </rPr>
      <t>'rntoptプラン5'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</si>
  <si>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rntopt_category_6 </t>
    </r>
    <r>
      <rPr>
        <b/>
        <sz val="10"/>
        <color rgb="FF0080FF"/>
        <rFont val="Consolas"/>
        <family val="3"/>
      </rPr>
      <t>IS</t>
    </r>
    <r>
      <rPr>
        <b/>
        <sz val="10"/>
        <color theme="1"/>
        <rFont val="Consolas"/>
        <family val="3"/>
      </rPr>
      <t xml:space="preserve"> </t>
    </r>
    <r>
      <rPr>
        <b/>
        <sz val="10"/>
        <color rgb="FFFF2800"/>
        <rFont val="Consolas"/>
        <family val="3"/>
      </rPr>
      <t>'rntoptカテゴリ6'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</si>
  <si>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rntopt_plan_6 </t>
    </r>
    <r>
      <rPr>
        <b/>
        <sz val="10"/>
        <color rgb="FF0080FF"/>
        <rFont val="Consolas"/>
        <family val="3"/>
      </rPr>
      <t>IS</t>
    </r>
    <r>
      <rPr>
        <b/>
        <sz val="10"/>
        <color theme="1"/>
        <rFont val="Consolas"/>
        <family val="3"/>
      </rPr>
      <t xml:space="preserve"> </t>
    </r>
    <r>
      <rPr>
        <b/>
        <sz val="10"/>
        <color rgb="FFFF2800"/>
        <rFont val="Consolas"/>
        <family val="3"/>
      </rPr>
      <t>'rntoptプラン6'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</si>
  <si>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rntopt_category_7 </t>
    </r>
    <r>
      <rPr>
        <b/>
        <sz val="10"/>
        <color rgb="FF0080FF"/>
        <rFont val="Consolas"/>
        <family val="3"/>
      </rPr>
      <t>IS</t>
    </r>
    <r>
      <rPr>
        <b/>
        <sz val="10"/>
        <color theme="1"/>
        <rFont val="Consolas"/>
        <family val="3"/>
      </rPr>
      <t xml:space="preserve"> </t>
    </r>
    <r>
      <rPr>
        <b/>
        <sz val="10"/>
        <color rgb="FFFF2800"/>
        <rFont val="Consolas"/>
        <family val="3"/>
      </rPr>
      <t>'rntoptカテゴリ7'</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</si>
  <si>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rntopt_plan_7 </t>
    </r>
    <r>
      <rPr>
        <b/>
        <sz val="10"/>
        <color rgb="FF0080FF"/>
        <rFont val="Consolas"/>
        <family val="3"/>
      </rPr>
      <t>IS</t>
    </r>
    <r>
      <rPr>
        <b/>
        <sz val="10"/>
        <color theme="1"/>
        <rFont val="Consolas"/>
        <family val="3"/>
      </rPr>
      <t xml:space="preserve"> </t>
    </r>
    <r>
      <rPr>
        <b/>
        <sz val="10"/>
        <color rgb="FFFF2800"/>
        <rFont val="Consolas"/>
        <family val="3"/>
      </rPr>
      <t>'rntoptプラン7'</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</si>
  <si>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rntopt_category_8 </t>
    </r>
    <r>
      <rPr>
        <b/>
        <sz val="10"/>
        <color rgb="FF0080FF"/>
        <rFont val="Consolas"/>
        <family val="3"/>
      </rPr>
      <t>IS</t>
    </r>
    <r>
      <rPr>
        <b/>
        <sz val="10"/>
        <color theme="1"/>
        <rFont val="Consolas"/>
        <family val="3"/>
      </rPr>
      <t xml:space="preserve"> </t>
    </r>
    <r>
      <rPr>
        <b/>
        <sz val="10"/>
        <color rgb="FFFF2800"/>
        <rFont val="Consolas"/>
        <family val="3"/>
      </rPr>
      <t>'rntoptカテゴリ8'</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</si>
  <si>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rntopt_plan_8 </t>
    </r>
    <r>
      <rPr>
        <b/>
        <sz val="10"/>
        <color rgb="FF0080FF"/>
        <rFont val="Consolas"/>
        <family val="3"/>
      </rPr>
      <t>IS</t>
    </r>
    <r>
      <rPr>
        <b/>
        <sz val="10"/>
        <color theme="1"/>
        <rFont val="Consolas"/>
        <family val="3"/>
      </rPr>
      <t xml:space="preserve"> </t>
    </r>
    <r>
      <rPr>
        <b/>
        <sz val="10"/>
        <color rgb="FFFF2800"/>
        <rFont val="Consolas"/>
        <family val="3"/>
      </rPr>
      <t>'rntoptプラン8'</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</si>
  <si>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rntopt_category_9 </t>
    </r>
    <r>
      <rPr>
        <b/>
        <sz val="10"/>
        <color rgb="FF0080FF"/>
        <rFont val="Consolas"/>
        <family val="3"/>
      </rPr>
      <t>IS</t>
    </r>
    <r>
      <rPr>
        <b/>
        <sz val="10"/>
        <color theme="1"/>
        <rFont val="Consolas"/>
        <family val="3"/>
      </rPr>
      <t xml:space="preserve"> </t>
    </r>
    <r>
      <rPr>
        <b/>
        <sz val="10"/>
        <color rgb="FFFF2800"/>
        <rFont val="Consolas"/>
        <family val="3"/>
      </rPr>
      <t>'rntoptカテゴリ9'</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</si>
  <si>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rntopt_plan_9 </t>
    </r>
    <r>
      <rPr>
        <b/>
        <sz val="10"/>
        <color rgb="FF0080FF"/>
        <rFont val="Consolas"/>
        <family val="3"/>
      </rPr>
      <t>IS</t>
    </r>
    <r>
      <rPr>
        <b/>
        <sz val="10"/>
        <color theme="1"/>
        <rFont val="Consolas"/>
        <family val="3"/>
      </rPr>
      <t xml:space="preserve"> </t>
    </r>
    <r>
      <rPr>
        <b/>
        <sz val="10"/>
        <color rgb="FFFF2800"/>
        <rFont val="Consolas"/>
        <family val="3"/>
      </rPr>
      <t>'rntoptプラン9'</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</si>
  <si>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rntopt_category_10 </t>
    </r>
    <r>
      <rPr>
        <b/>
        <sz val="10"/>
        <color rgb="FF0080FF"/>
        <rFont val="Consolas"/>
        <family val="3"/>
      </rPr>
      <t>IS</t>
    </r>
    <r>
      <rPr>
        <b/>
        <sz val="10"/>
        <color theme="1"/>
        <rFont val="Consolas"/>
        <family val="3"/>
      </rPr>
      <t xml:space="preserve"> </t>
    </r>
    <r>
      <rPr>
        <b/>
        <sz val="10"/>
        <color rgb="FFFF2800"/>
        <rFont val="Consolas"/>
        <family val="3"/>
      </rPr>
      <t>'rntoptカテゴリ10'</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</si>
  <si>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rntopt_plan_10 </t>
    </r>
    <r>
      <rPr>
        <b/>
        <sz val="10"/>
        <color rgb="FF0080FF"/>
        <rFont val="Consolas"/>
        <family val="3"/>
      </rPr>
      <t>IS</t>
    </r>
    <r>
      <rPr>
        <b/>
        <sz val="10"/>
        <color theme="1"/>
        <rFont val="Consolas"/>
        <family val="3"/>
      </rPr>
      <t xml:space="preserve"> </t>
    </r>
    <r>
      <rPr>
        <b/>
        <sz val="10"/>
        <color rgb="FFFF2800"/>
        <rFont val="Consolas"/>
        <family val="3"/>
      </rPr>
      <t>'rntoptプラン10'</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</si>
  <si>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rntoptatt_category_1 </t>
    </r>
    <r>
      <rPr>
        <b/>
        <sz val="10"/>
        <color rgb="FF0080FF"/>
        <rFont val="Consolas"/>
        <family val="3"/>
      </rPr>
      <t>IS</t>
    </r>
    <r>
      <rPr>
        <b/>
        <sz val="10"/>
        <color theme="1"/>
        <rFont val="Consolas"/>
        <family val="3"/>
      </rPr>
      <t xml:space="preserve"> </t>
    </r>
    <r>
      <rPr>
        <b/>
        <sz val="10"/>
        <color rgb="FFFF2800"/>
        <rFont val="Consolas"/>
        <family val="3"/>
      </rPr>
      <t>'rntoptattカテゴリ1'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</si>
  <si>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rntoptatt_plan_1 </t>
    </r>
    <r>
      <rPr>
        <b/>
        <sz val="10"/>
        <color rgb="FF0080FF"/>
        <rFont val="Consolas"/>
        <family val="3"/>
      </rPr>
      <t>IS</t>
    </r>
    <r>
      <rPr>
        <b/>
        <sz val="10"/>
        <color theme="1"/>
        <rFont val="Consolas"/>
        <family val="3"/>
      </rPr>
      <t xml:space="preserve"> </t>
    </r>
    <r>
      <rPr>
        <b/>
        <sz val="10"/>
        <color rgb="FFFF2800"/>
        <rFont val="Consolas"/>
        <family val="3"/>
      </rPr>
      <t>'rntoptattプラン1'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</si>
  <si>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rntoptatt_category_2 </t>
    </r>
    <r>
      <rPr>
        <b/>
        <sz val="10"/>
        <color rgb="FF0080FF"/>
        <rFont val="Consolas"/>
        <family val="3"/>
      </rPr>
      <t>IS</t>
    </r>
    <r>
      <rPr>
        <b/>
        <sz val="10"/>
        <color theme="1"/>
        <rFont val="Consolas"/>
        <family val="3"/>
      </rPr>
      <t xml:space="preserve"> </t>
    </r>
    <r>
      <rPr>
        <b/>
        <sz val="10"/>
        <color rgb="FFFF2800"/>
        <rFont val="Consolas"/>
        <family val="3"/>
      </rPr>
      <t>'rntoptattカテゴリ2'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</si>
  <si>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rntoptatt_plan_2 </t>
    </r>
    <r>
      <rPr>
        <b/>
        <sz val="10"/>
        <color rgb="FF0080FF"/>
        <rFont val="Consolas"/>
        <family val="3"/>
      </rPr>
      <t>IS</t>
    </r>
    <r>
      <rPr>
        <b/>
        <sz val="10"/>
        <color theme="1"/>
        <rFont val="Consolas"/>
        <family val="3"/>
      </rPr>
      <t xml:space="preserve"> </t>
    </r>
    <r>
      <rPr>
        <b/>
        <sz val="10"/>
        <color rgb="FFFF2800"/>
        <rFont val="Consolas"/>
        <family val="3"/>
      </rPr>
      <t>'rntoptattプラン2'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</si>
  <si>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rntoptatt_category_3 </t>
    </r>
    <r>
      <rPr>
        <b/>
        <sz val="10"/>
        <color rgb="FF0080FF"/>
        <rFont val="Consolas"/>
        <family val="3"/>
      </rPr>
      <t>IS</t>
    </r>
    <r>
      <rPr>
        <b/>
        <sz val="10"/>
        <color theme="1"/>
        <rFont val="Consolas"/>
        <family val="3"/>
      </rPr>
      <t xml:space="preserve"> </t>
    </r>
    <r>
      <rPr>
        <b/>
        <sz val="10"/>
        <color rgb="FFFF2800"/>
        <rFont val="Consolas"/>
        <family val="3"/>
      </rPr>
      <t>'rntoptattカテゴリ3'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</si>
  <si>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rntoptatt_plan_3 </t>
    </r>
    <r>
      <rPr>
        <b/>
        <sz val="10"/>
        <color rgb="FF0080FF"/>
        <rFont val="Consolas"/>
        <family val="3"/>
      </rPr>
      <t>IS</t>
    </r>
    <r>
      <rPr>
        <b/>
        <sz val="10"/>
        <color theme="1"/>
        <rFont val="Consolas"/>
        <family val="3"/>
      </rPr>
      <t xml:space="preserve"> </t>
    </r>
    <r>
      <rPr>
        <b/>
        <sz val="10"/>
        <color rgb="FFFF2800"/>
        <rFont val="Consolas"/>
        <family val="3"/>
      </rPr>
      <t>'rntoptattプラン3'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</si>
  <si>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rntoptatt_category_4 </t>
    </r>
    <r>
      <rPr>
        <b/>
        <sz val="10"/>
        <color rgb="FF0080FF"/>
        <rFont val="Consolas"/>
        <family val="3"/>
      </rPr>
      <t>IS</t>
    </r>
    <r>
      <rPr>
        <b/>
        <sz val="10"/>
        <color theme="1"/>
        <rFont val="Consolas"/>
        <family val="3"/>
      </rPr>
      <t xml:space="preserve"> </t>
    </r>
    <r>
      <rPr>
        <b/>
        <sz val="10"/>
        <color rgb="FFFF2800"/>
        <rFont val="Consolas"/>
        <family val="3"/>
      </rPr>
      <t>'rntoptattカテゴリ4'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</si>
  <si>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rntoptatt_plan_4 </t>
    </r>
    <r>
      <rPr>
        <b/>
        <sz val="10"/>
        <color rgb="FF0080FF"/>
        <rFont val="Consolas"/>
        <family val="3"/>
      </rPr>
      <t>IS</t>
    </r>
    <r>
      <rPr>
        <b/>
        <sz val="10"/>
        <color theme="1"/>
        <rFont val="Consolas"/>
        <family val="3"/>
      </rPr>
      <t xml:space="preserve"> </t>
    </r>
    <r>
      <rPr>
        <b/>
        <sz val="10"/>
        <color rgb="FFFF2800"/>
        <rFont val="Consolas"/>
        <family val="3"/>
      </rPr>
      <t>'rntoptattプラン4'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</si>
  <si>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rntoptatt_category_5 </t>
    </r>
    <r>
      <rPr>
        <b/>
        <sz val="10"/>
        <color rgb="FF0080FF"/>
        <rFont val="Consolas"/>
        <family val="3"/>
      </rPr>
      <t>IS</t>
    </r>
    <r>
      <rPr>
        <b/>
        <sz val="10"/>
        <color theme="1"/>
        <rFont val="Consolas"/>
        <family val="3"/>
      </rPr>
      <t xml:space="preserve"> </t>
    </r>
    <r>
      <rPr>
        <b/>
        <sz val="10"/>
        <color rgb="FFFF2800"/>
        <rFont val="Consolas"/>
        <family val="3"/>
      </rPr>
      <t>'rntoptattカテゴリ5'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</si>
  <si>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rntoptatt_plan_5 </t>
    </r>
    <r>
      <rPr>
        <b/>
        <sz val="10"/>
        <color rgb="FF0080FF"/>
        <rFont val="Consolas"/>
        <family val="3"/>
      </rPr>
      <t>IS</t>
    </r>
    <r>
      <rPr>
        <b/>
        <sz val="10"/>
        <color theme="1"/>
        <rFont val="Consolas"/>
        <family val="3"/>
      </rPr>
      <t xml:space="preserve"> </t>
    </r>
    <r>
      <rPr>
        <b/>
        <sz val="10"/>
        <color rgb="FFFF2800"/>
        <rFont val="Consolas"/>
        <family val="3"/>
      </rPr>
      <t>'rntoptattプラン5'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</si>
  <si>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rntoptatt_category_6 </t>
    </r>
    <r>
      <rPr>
        <b/>
        <sz val="10"/>
        <color rgb="FF0080FF"/>
        <rFont val="Consolas"/>
        <family val="3"/>
      </rPr>
      <t>IS</t>
    </r>
    <r>
      <rPr>
        <b/>
        <sz val="10"/>
        <color theme="1"/>
        <rFont val="Consolas"/>
        <family val="3"/>
      </rPr>
      <t xml:space="preserve"> </t>
    </r>
    <r>
      <rPr>
        <b/>
        <sz val="10"/>
        <color rgb="FFFF2800"/>
        <rFont val="Consolas"/>
        <family val="3"/>
      </rPr>
      <t>'rntoptattカテゴリ6'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</si>
  <si>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rntoptatt_plan_6 </t>
    </r>
    <r>
      <rPr>
        <b/>
        <sz val="10"/>
        <color rgb="FF0080FF"/>
        <rFont val="Consolas"/>
        <family val="3"/>
      </rPr>
      <t>IS</t>
    </r>
    <r>
      <rPr>
        <b/>
        <sz val="10"/>
        <color theme="1"/>
        <rFont val="Consolas"/>
        <family val="3"/>
      </rPr>
      <t xml:space="preserve"> </t>
    </r>
    <r>
      <rPr>
        <b/>
        <sz val="10"/>
        <color rgb="FFFF2800"/>
        <rFont val="Consolas"/>
        <family val="3"/>
      </rPr>
      <t>'rntoptattプラン6'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</si>
  <si>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rntoptatt_category_7 </t>
    </r>
    <r>
      <rPr>
        <b/>
        <sz val="10"/>
        <color rgb="FF0080FF"/>
        <rFont val="Consolas"/>
        <family val="3"/>
      </rPr>
      <t>IS</t>
    </r>
    <r>
      <rPr>
        <b/>
        <sz val="10"/>
        <color theme="1"/>
        <rFont val="Consolas"/>
        <family val="3"/>
      </rPr>
      <t xml:space="preserve"> </t>
    </r>
    <r>
      <rPr>
        <b/>
        <sz val="10"/>
        <color rgb="FFFF2800"/>
        <rFont val="Consolas"/>
        <family val="3"/>
      </rPr>
      <t>'rntoptattカテゴリ7'</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</si>
  <si>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rntoptatt_plan_7 </t>
    </r>
    <r>
      <rPr>
        <b/>
        <sz val="10"/>
        <color rgb="FF0080FF"/>
        <rFont val="Consolas"/>
        <family val="3"/>
      </rPr>
      <t>IS</t>
    </r>
    <r>
      <rPr>
        <b/>
        <sz val="10"/>
        <color theme="1"/>
        <rFont val="Consolas"/>
        <family val="3"/>
      </rPr>
      <t xml:space="preserve"> </t>
    </r>
    <r>
      <rPr>
        <b/>
        <sz val="10"/>
        <color rgb="FFFF2800"/>
        <rFont val="Consolas"/>
        <family val="3"/>
      </rPr>
      <t>'rntoptattプラン7'</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</si>
  <si>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rntoptatt_category_8 </t>
    </r>
    <r>
      <rPr>
        <b/>
        <sz val="10"/>
        <color rgb="FF0080FF"/>
        <rFont val="Consolas"/>
        <family val="3"/>
      </rPr>
      <t>IS</t>
    </r>
    <r>
      <rPr>
        <b/>
        <sz val="10"/>
        <color theme="1"/>
        <rFont val="Consolas"/>
        <family val="3"/>
      </rPr>
      <t xml:space="preserve"> </t>
    </r>
    <r>
      <rPr>
        <b/>
        <sz val="10"/>
        <color rgb="FFFF2800"/>
        <rFont val="Consolas"/>
        <family val="3"/>
      </rPr>
      <t>'rntoptattカテゴリ8'</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</si>
  <si>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rntoptatt_plan_8 </t>
    </r>
    <r>
      <rPr>
        <b/>
        <sz val="10"/>
        <color rgb="FF0080FF"/>
        <rFont val="Consolas"/>
        <family val="3"/>
      </rPr>
      <t>IS</t>
    </r>
    <r>
      <rPr>
        <b/>
        <sz val="10"/>
        <color theme="1"/>
        <rFont val="Consolas"/>
        <family val="3"/>
      </rPr>
      <t xml:space="preserve"> </t>
    </r>
    <r>
      <rPr>
        <b/>
        <sz val="10"/>
        <color rgb="FFFF2800"/>
        <rFont val="Consolas"/>
        <family val="3"/>
      </rPr>
      <t>'rntoptattプラン8'</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</si>
  <si>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rntopta_tt_category_9 </t>
    </r>
    <r>
      <rPr>
        <b/>
        <sz val="10"/>
        <color rgb="FF0080FF"/>
        <rFont val="Consolas"/>
        <family val="3"/>
      </rPr>
      <t>IS</t>
    </r>
    <r>
      <rPr>
        <b/>
        <sz val="10"/>
        <color theme="1"/>
        <rFont val="Consolas"/>
        <family val="3"/>
      </rPr>
      <t xml:space="preserve"> </t>
    </r>
    <r>
      <rPr>
        <b/>
        <sz val="10"/>
        <color rgb="FFFF2800"/>
        <rFont val="Consolas"/>
        <family val="3"/>
      </rPr>
      <t>'rntoptattカテゴリ9'</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</si>
  <si>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rntoptatt_plan_9 </t>
    </r>
    <r>
      <rPr>
        <b/>
        <sz val="10"/>
        <color rgb="FF0080FF"/>
        <rFont val="Consolas"/>
        <family val="3"/>
      </rPr>
      <t>IS</t>
    </r>
    <r>
      <rPr>
        <b/>
        <sz val="10"/>
        <color theme="1"/>
        <rFont val="Consolas"/>
        <family val="3"/>
      </rPr>
      <t xml:space="preserve"> </t>
    </r>
    <r>
      <rPr>
        <b/>
        <sz val="10"/>
        <color rgb="FFFF2800"/>
        <rFont val="Consolas"/>
        <family val="3"/>
      </rPr>
      <t>'rntoptattプラン9'</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</si>
  <si>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rntoptatt_category_10 </t>
    </r>
    <r>
      <rPr>
        <b/>
        <sz val="10"/>
        <color rgb="FF0080FF"/>
        <rFont val="Consolas"/>
        <family val="3"/>
      </rPr>
      <t>IS</t>
    </r>
    <r>
      <rPr>
        <b/>
        <sz val="10"/>
        <color theme="1"/>
        <rFont val="Consolas"/>
        <family val="3"/>
      </rPr>
      <t xml:space="preserve"> </t>
    </r>
    <r>
      <rPr>
        <b/>
        <sz val="10"/>
        <color rgb="FFFF2800"/>
        <rFont val="Consolas"/>
        <family val="3"/>
      </rPr>
      <t>'rntoptattカテゴリ10'</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</si>
  <si>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rntoptatt_plan_10 </t>
    </r>
    <r>
      <rPr>
        <b/>
        <sz val="10"/>
        <color rgb="FF0080FF"/>
        <rFont val="Consolas"/>
        <family val="3"/>
      </rPr>
      <t>IS</t>
    </r>
    <r>
      <rPr>
        <b/>
        <sz val="10"/>
        <color theme="1"/>
        <rFont val="Consolas"/>
        <family val="3"/>
      </rPr>
      <t xml:space="preserve"> </t>
    </r>
    <r>
      <rPr>
        <b/>
        <sz val="10"/>
        <color rgb="FFFF2800"/>
        <rFont val="Consolas"/>
        <family val="3"/>
      </rPr>
      <t>'rntoptattプラン10'</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</si>
  <si>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rnt_campaign_1 </t>
    </r>
    <r>
      <rPr>
        <b/>
        <sz val="10"/>
        <color rgb="FF0080FF"/>
        <rFont val="Consolas"/>
        <family val="3"/>
      </rPr>
      <t>IS</t>
    </r>
    <r>
      <rPr>
        <b/>
        <sz val="10"/>
        <color theme="1"/>
        <rFont val="Consolas"/>
        <family val="3"/>
      </rPr>
      <t xml:space="preserve"> </t>
    </r>
    <r>
      <rPr>
        <b/>
        <sz val="10"/>
        <color rgb="FFFF2800"/>
        <rFont val="Consolas"/>
        <family val="3"/>
      </rPr>
      <t>'rntキャンペーン1'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</si>
  <si>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rnt_campaign_2 </t>
    </r>
    <r>
      <rPr>
        <b/>
        <sz val="10"/>
        <color rgb="FF0080FF"/>
        <rFont val="Consolas"/>
        <family val="3"/>
      </rPr>
      <t>IS</t>
    </r>
    <r>
      <rPr>
        <b/>
        <sz val="10"/>
        <color theme="1"/>
        <rFont val="Consolas"/>
        <family val="3"/>
      </rPr>
      <t xml:space="preserve"> </t>
    </r>
    <r>
      <rPr>
        <b/>
        <sz val="10"/>
        <color rgb="FFFF2800"/>
        <rFont val="Consolas"/>
        <family val="3"/>
      </rPr>
      <t>'rntキャンペーン2'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</si>
  <si>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rnt_campaign_3 </t>
    </r>
    <r>
      <rPr>
        <b/>
        <sz val="10"/>
        <color rgb="FF0080FF"/>
        <rFont val="Consolas"/>
        <family val="3"/>
      </rPr>
      <t>IS</t>
    </r>
    <r>
      <rPr>
        <b/>
        <sz val="10"/>
        <color theme="1"/>
        <rFont val="Consolas"/>
        <family val="3"/>
      </rPr>
      <t xml:space="preserve"> </t>
    </r>
    <r>
      <rPr>
        <b/>
        <sz val="10"/>
        <color rgb="FFFF2800"/>
        <rFont val="Consolas"/>
        <family val="3"/>
      </rPr>
      <t>'rntキャンペーン3'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</si>
  <si>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campaign_code_1 </t>
    </r>
    <r>
      <rPr>
        <b/>
        <sz val="10"/>
        <color rgb="FF0080FF"/>
        <rFont val="Consolas"/>
        <family val="3"/>
      </rPr>
      <t>IS</t>
    </r>
    <r>
      <rPr>
        <b/>
        <sz val="10"/>
        <color theme="1"/>
        <rFont val="Consolas"/>
        <family val="3"/>
      </rPr>
      <t xml:space="preserve"> </t>
    </r>
    <r>
      <rPr>
        <b/>
        <sz val="10"/>
        <color rgb="FFFF2800"/>
        <rFont val="Consolas"/>
        <family val="3"/>
      </rPr>
      <t>'キャンペーンコード1'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</si>
  <si>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campaign_code_2 </t>
    </r>
    <r>
      <rPr>
        <b/>
        <sz val="10"/>
        <color rgb="FF0080FF"/>
        <rFont val="Consolas"/>
        <family val="3"/>
      </rPr>
      <t>IS</t>
    </r>
    <r>
      <rPr>
        <b/>
        <sz val="10"/>
        <color theme="1"/>
        <rFont val="Consolas"/>
        <family val="3"/>
      </rPr>
      <t xml:space="preserve"> </t>
    </r>
    <r>
      <rPr>
        <b/>
        <sz val="10"/>
        <color rgb="FFFF2800"/>
        <rFont val="Consolas"/>
        <family val="3"/>
      </rPr>
      <t>'キャンペーンコード2'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</si>
  <si>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rnt_urgent_campaign_1 </t>
    </r>
    <r>
      <rPr>
        <b/>
        <sz val="10"/>
        <color rgb="FF0080FF"/>
        <rFont val="Consolas"/>
        <family val="3"/>
      </rPr>
      <t>IS</t>
    </r>
    <r>
      <rPr>
        <b/>
        <sz val="10"/>
        <color theme="1"/>
        <rFont val="Consolas"/>
        <family val="3"/>
      </rPr>
      <t xml:space="preserve"> </t>
    </r>
    <r>
      <rPr>
        <b/>
        <sz val="10"/>
        <color rgb="FFFF2800"/>
        <rFont val="Consolas"/>
        <family val="3"/>
      </rPr>
      <t>'rnt緊急キャンペーン1'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</si>
  <si>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rnt_urgent_campaign_2 </t>
    </r>
    <r>
      <rPr>
        <b/>
        <sz val="10"/>
        <color rgb="FF0080FF"/>
        <rFont val="Consolas"/>
        <family val="3"/>
      </rPr>
      <t>IS</t>
    </r>
    <r>
      <rPr>
        <b/>
        <sz val="10"/>
        <color theme="1"/>
        <rFont val="Consolas"/>
        <family val="3"/>
      </rPr>
      <t xml:space="preserve"> </t>
    </r>
    <r>
      <rPr>
        <b/>
        <sz val="10"/>
        <color rgb="FFFF2800"/>
        <rFont val="Consolas"/>
        <family val="3"/>
      </rPr>
      <t>'rnt緊急キャンペーン2'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</si>
  <si>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rnt_urgent_campaign_3 </t>
    </r>
    <r>
      <rPr>
        <b/>
        <sz val="10"/>
        <color rgb="FF0080FF"/>
        <rFont val="Consolas"/>
        <family val="3"/>
      </rPr>
      <t>IS</t>
    </r>
    <r>
      <rPr>
        <b/>
        <sz val="10"/>
        <color theme="1"/>
        <rFont val="Consolas"/>
        <family val="3"/>
      </rPr>
      <t xml:space="preserve"> </t>
    </r>
    <r>
      <rPr>
        <b/>
        <sz val="10"/>
        <color rgb="FFFF2800"/>
        <rFont val="Consolas"/>
        <family val="3"/>
      </rPr>
      <t>'rnt緊急キャンペーン3'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</si>
  <si>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new_service_fee_exemption </t>
    </r>
    <r>
      <rPr>
        <b/>
        <sz val="10"/>
        <color rgb="FF0080FF"/>
        <rFont val="Consolas"/>
        <family val="3"/>
      </rPr>
      <t>IS</t>
    </r>
    <r>
      <rPr>
        <b/>
        <sz val="10"/>
        <color theme="1"/>
        <rFont val="Consolas"/>
        <family val="3"/>
      </rPr>
      <t xml:space="preserve"> </t>
    </r>
    <r>
      <rPr>
        <b/>
        <sz val="10"/>
        <color rgb="FFFF2800"/>
        <rFont val="Consolas"/>
        <family val="3"/>
      </rPr>
      <t>'新規事務手数料免除'</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</si>
  <si>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model_upgrade_fee_exemption </t>
    </r>
    <r>
      <rPr>
        <b/>
        <sz val="10"/>
        <color rgb="FF0080FF"/>
        <rFont val="Consolas"/>
        <family val="3"/>
      </rPr>
      <t>IS</t>
    </r>
    <r>
      <rPr>
        <b/>
        <sz val="10"/>
        <color theme="1"/>
        <rFont val="Consolas"/>
        <family val="3"/>
      </rPr>
      <t xml:space="preserve"> </t>
    </r>
    <r>
      <rPr>
        <b/>
        <sz val="10"/>
        <color rgb="FFFF2800"/>
        <rFont val="Consolas"/>
        <family val="3"/>
      </rPr>
      <t>'機種変更手数料免除'</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</si>
  <si>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contract_change_service_fee_exemption </t>
    </r>
    <r>
      <rPr>
        <b/>
        <sz val="10"/>
        <color rgb="FF0080FF"/>
        <rFont val="Consolas"/>
        <family val="3"/>
      </rPr>
      <t>IS</t>
    </r>
    <r>
      <rPr>
        <b/>
        <sz val="10"/>
        <color theme="1"/>
        <rFont val="Consolas"/>
        <family val="3"/>
      </rPr>
      <t xml:space="preserve"> </t>
    </r>
    <r>
      <rPr>
        <b/>
        <sz val="10"/>
        <color rgb="FFFF2800"/>
        <rFont val="Consolas"/>
        <family val="3"/>
      </rPr>
      <t>'契変事務手数料免除'</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</si>
  <si>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annual_contract_penalty_exemption </t>
    </r>
    <r>
      <rPr>
        <b/>
        <sz val="10"/>
        <color rgb="FF0080FF"/>
        <rFont val="Consolas"/>
        <family val="3"/>
      </rPr>
      <t>IS</t>
    </r>
    <r>
      <rPr>
        <b/>
        <sz val="10"/>
        <color theme="1"/>
        <rFont val="Consolas"/>
        <family val="3"/>
      </rPr>
      <t xml:space="preserve"> </t>
    </r>
    <r>
      <rPr>
        <b/>
        <sz val="10"/>
        <color rgb="FFFF2800"/>
        <rFont val="Consolas"/>
        <family val="3"/>
      </rPr>
      <t>'年契違約金免除'</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</si>
  <si>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applicable_relative_discount_end_date </t>
    </r>
    <r>
      <rPr>
        <b/>
        <sz val="10"/>
        <color rgb="FF0080FF"/>
        <rFont val="Consolas"/>
        <family val="3"/>
      </rPr>
      <t>IS</t>
    </r>
    <r>
      <rPr>
        <b/>
        <sz val="10"/>
        <color theme="1"/>
        <rFont val="Consolas"/>
        <family val="3"/>
      </rPr>
      <t xml:space="preserve"> </t>
    </r>
    <r>
      <rPr>
        <b/>
        <sz val="10"/>
        <color rgb="FFFF2800"/>
        <rFont val="Consolas"/>
        <family val="3"/>
      </rPr>
      <t>'適用中相対割引終了日'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</si>
  <si>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relative_pd_category_1 </t>
    </r>
    <r>
      <rPr>
        <b/>
        <sz val="10"/>
        <color rgb="FF0080FF"/>
        <rFont val="Consolas"/>
        <family val="3"/>
      </rPr>
      <t>IS</t>
    </r>
    <r>
      <rPr>
        <b/>
        <sz val="10"/>
        <color theme="1"/>
        <rFont val="Consolas"/>
        <family val="3"/>
      </rPr>
      <t xml:space="preserve"> </t>
    </r>
    <r>
      <rPr>
        <b/>
        <sz val="10"/>
        <color rgb="FFFF2800"/>
        <rFont val="Consolas"/>
        <family val="3"/>
      </rPr>
      <t>'相対pdカテゴリ1'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</si>
  <si>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relative_pd_name_1 </t>
    </r>
    <r>
      <rPr>
        <b/>
        <sz val="10"/>
        <color rgb="FF0080FF"/>
        <rFont val="Consolas"/>
        <family val="3"/>
      </rPr>
      <t>IS</t>
    </r>
    <r>
      <rPr>
        <b/>
        <sz val="10"/>
        <color theme="1"/>
        <rFont val="Consolas"/>
        <family val="3"/>
      </rPr>
      <t xml:space="preserve"> </t>
    </r>
    <r>
      <rPr>
        <b/>
        <sz val="10"/>
        <color rgb="FFFF2800"/>
        <rFont val="Consolas"/>
        <family val="3"/>
      </rPr>
      <t>'相対pd名称1'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</si>
  <si>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relative_discount_method_1 </t>
    </r>
    <r>
      <rPr>
        <b/>
        <sz val="10"/>
        <color rgb="FF0080FF"/>
        <rFont val="Consolas"/>
        <family val="3"/>
      </rPr>
      <t>IS</t>
    </r>
    <r>
      <rPr>
        <b/>
        <sz val="10"/>
        <color theme="1"/>
        <rFont val="Consolas"/>
        <family val="3"/>
      </rPr>
      <t xml:space="preserve"> </t>
    </r>
    <r>
      <rPr>
        <b/>
        <sz val="10"/>
        <color rgb="FFFF2800"/>
        <rFont val="Consolas"/>
        <family val="3"/>
      </rPr>
      <t>'相対割引方法1'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</si>
  <si>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relative_effective_start_date_1 </t>
    </r>
    <r>
      <rPr>
        <b/>
        <sz val="10"/>
        <color rgb="FF0080FF"/>
        <rFont val="Consolas"/>
        <family val="3"/>
      </rPr>
      <t>IS</t>
    </r>
    <r>
      <rPr>
        <b/>
        <sz val="10"/>
        <color theme="1"/>
        <rFont val="Consolas"/>
        <family val="3"/>
      </rPr>
      <t xml:space="preserve"> </t>
    </r>
    <r>
      <rPr>
        <b/>
        <sz val="10"/>
        <color rgb="FFFF2800"/>
        <rFont val="Consolas"/>
        <family val="3"/>
      </rPr>
      <t>'相対有効開始日1'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</si>
  <si>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relative_effective_end_date_1 </t>
    </r>
    <r>
      <rPr>
        <b/>
        <sz val="10"/>
        <color rgb="FF0080FF"/>
        <rFont val="Consolas"/>
        <family val="3"/>
      </rPr>
      <t>IS</t>
    </r>
    <r>
      <rPr>
        <b/>
        <sz val="10"/>
        <color theme="1"/>
        <rFont val="Consolas"/>
        <family val="3"/>
      </rPr>
      <t xml:space="preserve"> </t>
    </r>
    <r>
      <rPr>
        <b/>
        <sz val="10"/>
        <color rgb="FFFF2800"/>
        <rFont val="Consolas"/>
        <family val="3"/>
      </rPr>
      <t>'相対有効終了日1'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</si>
  <si>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relative_billing_amount_1 </t>
    </r>
    <r>
      <rPr>
        <b/>
        <sz val="10"/>
        <color rgb="FF0080FF"/>
        <rFont val="Consolas"/>
        <family val="3"/>
      </rPr>
      <t>IS</t>
    </r>
    <r>
      <rPr>
        <b/>
        <sz val="10"/>
        <color theme="1"/>
        <rFont val="Consolas"/>
        <family val="3"/>
      </rPr>
      <t xml:space="preserve"> </t>
    </r>
    <r>
      <rPr>
        <b/>
        <sz val="10"/>
        <color rgb="FFFF2800"/>
        <rFont val="Consolas"/>
        <family val="3"/>
      </rPr>
      <t>'相対請求金額1'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</si>
  <si>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relative_discount_amount_1 </t>
    </r>
    <r>
      <rPr>
        <b/>
        <sz val="10"/>
        <color rgb="FF0080FF"/>
        <rFont val="Consolas"/>
        <family val="3"/>
      </rPr>
      <t>IS</t>
    </r>
    <r>
      <rPr>
        <b/>
        <sz val="10"/>
        <color theme="1"/>
        <rFont val="Consolas"/>
        <family val="3"/>
      </rPr>
      <t xml:space="preserve"> </t>
    </r>
    <r>
      <rPr>
        <b/>
        <sz val="10"/>
        <color rgb="FFFF2800"/>
        <rFont val="Consolas"/>
        <family val="3"/>
      </rPr>
      <t>'相対割引金額1'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</si>
  <si>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relative_discount_rate_1 </t>
    </r>
    <r>
      <rPr>
        <b/>
        <sz val="10"/>
        <color rgb="FF0080FF"/>
        <rFont val="Consolas"/>
        <family val="3"/>
      </rPr>
      <t>IS</t>
    </r>
    <r>
      <rPr>
        <b/>
        <sz val="10"/>
        <color theme="1"/>
        <rFont val="Consolas"/>
        <family val="3"/>
      </rPr>
      <t xml:space="preserve"> </t>
    </r>
    <r>
      <rPr>
        <b/>
        <sz val="10"/>
        <color rgb="FFFF2800"/>
        <rFont val="Consolas"/>
        <family val="3"/>
      </rPr>
      <t>'相対割引率1'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</si>
  <si>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relative_discount_start_month_1 </t>
    </r>
    <r>
      <rPr>
        <b/>
        <sz val="10"/>
        <color rgb="FF0080FF"/>
        <rFont val="Consolas"/>
        <family val="3"/>
      </rPr>
      <t>IS</t>
    </r>
    <r>
      <rPr>
        <b/>
        <sz val="10"/>
        <color theme="1"/>
        <rFont val="Consolas"/>
        <family val="3"/>
      </rPr>
      <t xml:space="preserve"> </t>
    </r>
    <r>
      <rPr>
        <b/>
        <sz val="10"/>
        <color rgb="FFFF2800"/>
        <rFont val="Consolas"/>
        <family val="3"/>
      </rPr>
      <t>'相対割引開始月1'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</si>
  <si>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relative_period_1 </t>
    </r>
    <r>
      <rPr>
        <b/>
        <sz val="10"/>
        <color rgb="FF0080FF"/>
        <rFont val="Consolas"/>
        <family val="3"/>
      </rPr>
      <t>IS</t>
    </r>
    <r>
      <rPr>
        <b/>
        <sz val="10"/>
        <color theme="1"/>
        <rFont val="Consolas"/>
        <family val="3"/>
      </rPr>
      <t xml:space="preserve"> </t>
    </r>
    <r>
      <rPr>
        <b/>
        <sz val="10"/>
        <color rgb="FFFF2800"/>
        <rFont val="Consolas"/>
        <family val="3"/>
      </rPr>
      <t>'相対期間1'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</si>
  <si>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relative_pd_category_2 </t>
    </r>
    <r>
      <rPr>
        <b/>
        <sz val="10"/>
        <color rgb="FF0080FF"/>
        <rFont val="Consolas"/>
        <family val="3"/>
      </rPr>
      <t>IS</t>
    </r>
    <r>
      <rPr>
        <b/>
        <sz val="10"/>
        <color theme="1"/>
        <rFont val="Consolas"/>
        <family val="3"/>
      </rPr>
      <t xml:space="preserve"> </t>
    </r>
    <r>
      <rPr>
        <b/>
        <sz val="10"/>
        <color rgb="FFFF2800"/>
        <rFont val="Consolas"/>
        <family val="3"/>
      </rPr>
      <t>'相対pdカテゴリ2'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</si>
  <si>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relative_pd_name_2 </t>
    </r>
    <r>
      <rPr>
        <b/>
        <sz val="10"/>
        <color rgb="FF0080FF"/>
        <rFont val="Consolas"/>
        <family val="3"/>
      </rPr>
      <t>IS</t>
    </r>
    <r>
      <rPr>
        <b/>
        <sz val="10"/>
        <color theme="1"/>
        <rFont val="Consolas"/>
        <family val="3"/>
      </rPr>
      <t xml:space="preserve"> </t>
    </r>
    <r>
      <rPr>
        <b/>
        <sz val="10"/>
        <color rgb="FFFF2800"/>
        <rFont val="Consolas"/>
        <family val="3"/>
      </rPr>
      <t>'相対pd名称2'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</si>
  <si>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relative_discount_method_2 </t>
    </r>
    <r>
      <rPr>
        <b/>
        <sz val="10"/>
        <color rgb="FF0080FF"/>
        <rFont val="Consolas"/>
        <family val="3"/>
      </rPr>
      <t>IS</t>
    </r>
    <r>
      <rPr>
        <b/>
        <sz val="10"/>
        <color theme="1"/>
        <rFont val="Consolas"/>
        <family val="3"/>
      </rPr>
      <t xml:space="preserve"> </t>
    </r>
    <r>
      <rPr>
        <b/>
        <sz val="10"/>
        <color rgb="FFFF2800"/>
        <rFont val="Consolas"/>
        <family val="3"/>
      </rPr>
      <t>'相対割引方法2'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</si>
  <si>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relative_effective_start_date_2 </t>
    </r>
    <r>
      <rPr>
        <b/>
        <sz val="10"/>
        <color rgb="FF0080FF"/>
        <rFont val="Consolas"/>
        <family val="3"/>
      </rPr>
      <t>IS</t>
    </r>
    <r>
      <rPr>
        <b/>
        <sz val="10"/>
        <color theme="1"/>
        <rFont val="Consolas"/>
        <family val="3"/>
      </rPr>
      <t xml:space="preserve"> </t>
    </r>
    <r>
      <rPr>
        <b/>
        <sz val="10"/>
        <color rgb="FFFF2800"/>
        <rFont val="Consolas"/>
        <family val="3"/>
      </rPr>
      <t>'相対有効開始日2'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</si>
  <si>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relative_effective_end_date_2 </t>
    </r>
    <r>
      <rPr>
        <b/>
        <sz val="10"/>
        <color rgb="FF0080FF"/>
        <rFont val="Consolas"/>
        <family val="3"/>
      </rPr>
      <t>IS</t>
    </r>
    <r>
      <rPr>
        <b/>
        <sz val="10"/>
        <color theme="1"/>
        <rFont val="Consolas"/>
        <family val="3"/>
      </rPr>
      <t xml:space="preserve"> </t>
    </r>
    <r>
      <rPr>
        <b/>
        <sz val="10"/>
        <color rgb="FFFF2800"/>
        <rFont val="Consolas"/>
        <family val="3"/>
      </rPr>
      <t>'相対有効終了日2'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</si>
  <si>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relative_invoice_amount_2 </t>
    </r>
    <r>
      <rPr>
        <b/>
        <sz val="10"/>
        <color rgb="FF0080FF"/>
        <rFont val="Consolas"/>
        <family val="3"/>
      </rPr>
      <t>IS</t>
    </r>
    <r>
      <rPr>
        <b/>
        <sz val="10"/>
        <color theme="1"/>
        <rFont val="Consolas"/>
        <family val="3"/>
      </rPr>
      <t xml:space="preserve"> </t>
    </r>
    <r>
      <rPr>
        <b/>
        <sz val="10"/>
        <color rgb="FFFF2800"/>
        <rFont val="Consolas"/>
        <family val="3"/>
      </rPr>
      <t>'相対請求金額2'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</si>
  <si>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relative_discount_amount_2 </t>
    </r>
    <r>
      <rPr>
        <b/>
        <sz val="10"/>
        <color rgb="FF0080FF"/>
        <rFont val="Consolas"/>
        <family val="3"/>
      </rPr>
      <t>IS</t>
    </r>
    <r>
      <rPr>
        <b/>
        <sz val="10"/>
        <color theme="1"/>
        <rFont val="Consolas"/>
        <family val="3"/>
      </rPr>
      <t xml:space="preserve"> </t>
    </r>
    <r>
      <rPr>
        <b/>
        <sz val="10"/>
        <color rgb="FFFF2800"/>
        <rFont val="Consolas"/>
        <family val="3"/>
      </rPr>
      <t>'相対割引金額2'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</si>
  <si>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relative_discount_rate_2 </t>
    </r>
    <r>
      <rPr>
        <b/>
        <sz val="10"/>
        <color rgb="FF0080FF"/>
        <rFont val="Consolas"/>
        <family val="3"/>
      </rPr>
      <t>IS</t>
    </r>
    <r>
      <rPr>
        <b/>
        <sz val="10"/>
        <color theme="1"/>
        <rFont val="Consolas"/>
        <family val="3"/>
      </rPr>
      <t xml:space="preserve"> </t>
    </r>
    <r>
      <rPr>
        <b/>
        <sz val="10"/>
        <color rgb="FFFF2800"/>
        <rFont val="Consolas"/>
        <family val="3"/>
      </rPr>
      <t>'相対割引率2'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</si>
  <si>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relative_discount_start_month_2 </t>
    </r>
    <r>
      <rPr>
        <b/>
        <sz val="10"/>
        <color rgb="FF0080FF"/>
        <rFont val="Consolas"/>
        <family val="3"/>
      </rPr>
      <t>IS</t>
    </r>
    <r>
      <rPr>
        <b/>
        <sz val="10"/>
        <color theme="1"/>
        <rFont val="Consolas"/>
        <family val="3"/>
      </rPr>
      <t xml:space="preserve"> </t>
    </r>
    <r>
      <rPr>
        <b/>
        <sz val="10"/>
        <color rgb="FFFF2800"/>
        <rFont val="Consolas"/>
        <family val="3"/>
      </rPr>
      <t>'相対割引開始月2'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</si>
  <si>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relative_period_2 </t>
    </r>
    <r>
      <rPr>
        <b/>
        <sz val="10"/>
        <color rgb="FF0080FF"/>
        <rFont val="Consolas"/>
        <family val="3"/>
      </rPr>
      <t>IS</t>
    </r>
    <r>
      <rPr>
        <b/>
        <sz val="10"/>
        <color theme="1"/>
        <rFont val="Consolas"/>
        <family val="3"/>
      </rPr>
      <t xml:space="preserve"> </t>
    </r>
    <r>
      <rPr>
        <b/>
        <sz val="10"/>
        <color rgb="FFFF2800"/>
        <rFont val="Consolas"/>
        <family val="3"/>
      </rPr>
      <t>'相対期間2'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</si>
  <si>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relative_pd_category_3 </t>
    </r>
    <r>
      <rPr>
        <b/>
        <sz val="10"/>
        <color rgb="FF0080FF"/>
        <rFont val="Consolas"/>
        <family val="3"/>
      </rPr>
      <t>IS</t>
    </r>
    <r>
      <rPr>
        <b/>
        <sz val="10"/>
        <color theme="1"/>
        <rFont val="Consolas"/>
        <family val="3"/>
      </rPr>
      <t xml:space="preserve"> </t>
    </r>
    <r>
      <rPr>
        <b/>
        <sz val="10"/>
        <color rgb="FFFF2800"/>
        <rFont val="Consolas"/>
        <family val="3"/>
      </rPr>
      <t>'相対pdカテゴリ3'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</si>
  <si>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relative_pd_name_3 </t>
    </r>
    <r>
      <rPr>
        <b/>
        <sz val="10"/>
        <color rgb="FF0080FF"/>
        <rFont val="Consolas"/>
        <family val="3"/>
      </rPr>
      <t>IS</t>
    </r>
    <r>
      <rPr>
        <b/>
        <sz val="10"/>
        <color theme="1"/>
        <rFont val="Consolas"/>
        <family val="3"/>
      </rPr>
      <t xml:space="preserve"> </t>
    </r>
    <r>
      <rPr>
        <b/>
        <sz val="10"/>
        <color rgb="FFFF2800"/>
        <rFont val="Consolas"/>
        <family val="3"/>
      </rPr>
      <t>'相対pd名称3'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</si>
  <si>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relative_discount_method_3 </t>
    </r>
    <r>
      <rPr>
        <b/>
        <sz val="10"/>
        <color rgb="FF0080FF"/>
        <rFont val="Consolas"/>
        <family val="3"/>
      </rPr>
      <t>IS</t>
    </r>
    <r>
      <rPr>
        <b/>
        <sz val="10"/>
        <color theme="1"/>
        <rFont val="Consolas"/>
        <family val="3"/>
      </rPr>
      <t xml:space="preserve"> </t>
    </r>
    <r>
      <rPr>
        <b/>
        <sz val="10"/>
        <color rgb="FFFF2800"/>
        <rFont val="Consolas"/>
        <family val="3"/>
      </rPr>
      <t>'相対割引方法3'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</si>
  <si>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relative_effective_start_date_3 </t>
    </r>
    <r>
      <rPr>
        <b/>
        <sz val="10"/>
        <color rgb="FF0080FF"/>
        <rFont val="Consolas"/>
        <family val="3"/>
      </rPr>
      <t>IS</t>
    </r>
    <r>
      <rPr>
        <b/>
        <sz val="10"/>
        <color theme="1"/>
        <rFont val="Consolas"/>
        <family val="3"/>
      </rPr>
      <t xml:space="preserve"> </t>
    </r>
    <r>
      <rPr>
        <b/>
        <sz val="10"/>
        <color rgb="FFFF2800"/>
        <rFont val="Consolas"/>
        <family val="3"/>
      </rPr>
      <t>'相対有効開始日3'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</si>
  <si>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relative_effective_end_date_3 </t>
    </r>
    <r>
      <rPr>
        <b/>
        <sz val="10"/>
        <color rgb="FF0080FF"/>
        <rFont val="Consolas"/>
        <family val="3"/>
      </rPr>
      <t>IS</t>
    </r>
    <r>
      <rPr>
        <b/>
        <sz val="10"/>
        <color theme="1"/>
        <rFont val="Consolas"/>
        <family val="3"/>
      </rPr>
      <t xml:space="preserve"> </t>
    </r>
    <r>
      <rPr>
        <b/>
        <sz val="10"/>
        <color rgb="FFFF2800"/>
        <rFont val="Consolas"/>
        <family val="3"/>
      </rPr>
      <t>'相対有効終了日3'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</si>
  <si>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relative_invoice_amount_3 </t>
    </r>
    <r>
      <rPr>
        <b/>
        <sz val="10"/>
        <color rgb="FF0080FF"/>
        <rFont val="Consolas"/>
        <family val="3"/>
      </rPr>
      <t>IS</t>
    </r>
    <r>
      <rPr>
        <b/>
        <sz val="10"/>
        <color theme="1"/>
        <rFont val="Consolas"/>
        <family val="3"/>
      </rPr>
      <t xml:space="preserve"> </t>
    </r>
    <r>
      <rPr>
        <b/>
        <sz val="10"/>
        <color rgb="FFFF2800"/>
        <rFont val="Consolas"/>
        <family val="3"/>
      </rPr>
      <t>'相対請求金額3'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</si>
  <si>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relative_discount_amount_3 </t>
    </r>
    <r>
      <rPr>
        <b/>
        <sz val="10"/>
        <color rgb="FF0080FF"/>
        <rFont val="Consolas"/>
        <family val="3"/>
      </rPr>
      <t>IS</t>
    </r>
    <r>
      <rPr>
        <b/>
        <sz val="10"/>
        <color theme="1"/>
        <rFont val="Consolas"/>
        <family val="3"/>
      </rPr>
      <t xml:space="preserve"> </t>
    </r>
    <r>
      <rPr>
        <b/>
        <sz val="10"/>
        <color rgb="FFFF2800"/>
        <rFont val="Consolas"/>
        <family val="3"/>
      </rPr>
      <t>'相対割引金額3'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</si>
  <si>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relative_discount_rate_3 </t>
    </r>
    <r>
      <rPr>
        <b/>
        <sz val="10"/>
        <color rgb="FF0080FF"/>
        <rFont val="Consolas"/>
        <family val="3"/>
      </rPr>
      <t>IS</t>
    </r>
    <r>
      <rPr>
        <b/>
        <sz val="10"/>
        <color theme="1"/>
        <rFont val="Consolas"/>
        <family val="3"/>
      </rPr>
      <t xml:space="preserve"> </t>
    </r>
    <r>
      <rPr>
        <b/>
        <sz val="10"/>
        <color rgb="FFFF2800"/>
        <rFont val="Consolas"/>
        <family val="3"/>
      </rPr>
      <t>'相対割引率3'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</si>
  <si>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relative_discount_start_month_3 </t>
    </r>
    <r>
      <rPr>
        <b/>
        <sz val="10"/>
        <color rgb="FF0080FF"/>
        <rFont val="Consolas"/>
        <family val="3"/>
      </rPr>
      <t>IS</t>
    </r>
    <r>
      <rPr>
        <b/>
        <sz val="10"/>
        <color theme="1"/>
        <rFont val="Consolas"/>
        <family val="3"/>
      </rPr>
      <t xml:space="preserve"> </t>
    </r>
    <r>
      <rPr>
        <b/>
        <sz val="10"/>
        <color rgb="FFFF2800"/>
        <rFont val="Consolas"/>
        <family val="3"/>
      </rPr>
      <t>'相対割引開始月3'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</si>
  <si>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relative_period_3 </t>
    </r>
    <r>
      <rPr>
        <b/>
        <sz val="10"/>
        <color rgb="FF0080FF"/>
        <rFont val="Consolas"/>
        <family val="3"/>
      </rPr>
      <t>IS</t>
    </r>
    <r>
      <rPr>
        <b/>
        <sz val="10"/>
        <color theme="1"/>
        <rFont val="Consolas"/>
        <family val="3"/>
      </rPr>
      <t xml:space="preserve"> </t>
    </r>
    <r>
      <rPr>
        <b/>
        <sz val="10"/>
        <color rgb="FFFF2800"/>
        <rFont val="Consolas"/>
        <family val="3"/>
      </rPr>
      <t>'相対期間3'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</si>
  <si>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relative_pd_category_4 </t>
    </r>
    <r>
      <rPr>
        <b/>
        <sz val="10"/>
        <color rgb="FF0080FF"/>
        <rFont val="Consolas"/>
        <family val="3"/>
      </rPr>
      <t>IS</t>
    </r>
    <r>
      <rPr>
        <b/>
        <sz val="10"/>
        <color theme="1"/>
        <rFont val="Consolas"/>
        <family val="3"/>
      </rPr>
      <t xml:space="preserve"> </t>
    </r>
    <r>
      <rPr>
        <b/>
        <sz val="10"/>
        <color rgb="FFFF2800"/>
        <rFont val="Consolas"/>
        <family val="3"/>
      </rPr>
      <t>'相対pdカテゴリ4'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</si>
  <si>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relative_pd_name_4 </t>
    </r>
    <r>
      <rPr>
        <b/>
        <sz val="10"/>
        <color rgb="FF0080FF"/>
        <rFont val="Consolas"/>
        <family val="3"/>
      </rPr>
      <t>IS</t>
    </r>
    <r>
      <rPr>
        <b/>
        <sz val="10"/>
        <color theme="1"/>
        <rFont val="Consolas"/>
        <family val="3"/>
      </rPr>
      <t xml:space="preserve"> </t>
    </r>
    <r>
      <rPr>
        <b/>
        <sz val="10"/>
        <color rgb="FFFF2800"/>
        <rFont val="Consolas"/>
        <family val="3"/>
      </rPr>
      <t>'相対pd名称4'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</si>
  <si>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relative_discount_method_4 </t>
    </r>
    <r>
      <rPr>
        <b/>
        <sz val="10"/>
        <color rgb="FF0080FF"/>
        <rFont val="Consolas"/>
        <family val="3"/>
      </rPr>
      <t>IS</t>
    </r>
    <r>
      <rPr>
        <b/>
        <sz val="10"/>
        <color theme="1"/>
        <rFont val="Consolas"/>
        <family val="3"/>
      </rPr>
      <t xml:space="preserve"> </t>
    </r>
    <r>
      <rPr>
        <b/>
        <sz val="10"/>
        <color rgb="FFFF2800"/>
        <rFont val="Consolas"/>
        <family val="3"/>
      </rPr>
      <t>'相対割引方法4'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</si>
  <si>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relative_effective_start_date_4 </t>
    </r>
    <r>
      <rPr>
        <b/>
        <sz val="10"/>
        <color rgb="FF0080FF"/>
        <rFont val="Consolas"/>
        <family val="3"/>
      </rPr>
      <t>IS</t>
    </r>
    <r>
      <rPr>
        <b/>
        <sz val="10"/>
        <color theme="1"/>
        <rFont val="Consolas"/>
        <family val="3"/>
      </rPr>
      <t xml:space="preserve"> </t>
    </r>
    <r>
      <rPr>
        <b/>
        <sz val="10"/>
        <color rgb="FFFF2800"/>
        <rFont val="Consolas"/>
        <family val="3"/>
      </rPr>
      <t>'相対有効開始日4'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</si>
  <si>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relative_effective_end_date_4 </t>
    </r>
    <r>
      <rPr>
        <b/>
        <sz val="10"/>
        <color rgb="FF0080FF"/>
        <rFont val="Consolas"/>
        <family val="3"/>
      </rPr>
      <t>IS</t>
    </r>
    <r>
      <rPr>
        <b/>
        <sz val="10"/>
        <color theme="1"/>
        <rFont val="Consolas"/>
        <family val="3"/>
      </rPr>
      <t xml:space="preserve"> </t>
    </r>
    <r>
      <rPr>
        <b/>
        <sz val="10"/>
        <color rgb="FFFF2800"/>
        <rFont val="Consolas"/>
        <family val="3"/>
      </rPr>
      <t>'相対有効終了日4'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</si>
  <si>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relative_invoice_amount_4 </t>
    </r>
    <r>
      <rPr>
        <b/>
        <sz val="10"/>
        <color rgb="FF0080FF"/>
        <rFont val="Consolas"/>
        <family val="3"/>
      </rPr>
      <t>IS</t>
    </r>
    <r>
      <rPr>
        <b/>
        <sz val="10"/>
        <color theme="1"/>
        <rFont val="Consolas"/>
        <family val="3"/>
      </rPr>
      <t xml:space="preserve"> </t>
    </r>
    <r>
      <rPr>
        <b/>
        <sz val="10"/>
        <color rgb="FFFF2800"/>
        <rFont val="Consolas"/>
        <family val="3"/>
      </rPr>
      <t>'相対請求金額4'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</si>
  <si>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relative_discount_amount_4 </t>
    </r>
    <r>
      <rPr>
        <b/>
        <sz val="10"/>
        <color rgb="FF0080FF"/>
        <rFont val="Consolas"/>
        <family val="3"/>
      </rPr>
      <t>IS</t>
    </r>
    <r>
      <rPr>
        <b/>
        <sz val="10"/>
        <color theme="1"/>
        <rFont val="Consolas"/>
        <family val="3"/>
      </rPr>
      <t xml:space="preserve"> </t>
    </r>
    <r>
      <rPr>
        <b/>
        <sz val="10"/>
        <color rgb="FFFF2800"/>
        <rFont val="Consolas"/>
        <family val="3"/>
      </rPr>
      <t>'相対割引金額4'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</si>
  <si>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relative_discount_rate_4 </t>
    </r>
    <r>
      <rPr>
        <b/>
        <sz val="10"/>
        <color rgb="FF0080FF"/>
        <rFont val="Consolas"/>
        <family val="3"/>
      </rPr>
      <t>IS</t>
    </r>
    <r>
      <rPr>
        <b/>
        <sz val="10"/>
        <color theme="1"/>
        <rFont val="Consolas"/>
        <family val="3"/>
      </rPr>
      <t xml:space="preserve"> </t>
    </r>
    <r>
      <rPr>
        <b/>
        <sz val="10"/>
        <color rgb="FFFF2800"/>
        <rFont val="Consolas"/>
        <family val="3"/>
      </rPr>
      <t>'相対割引率4'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</si>
  <si>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relative_discount_start_month_4 </t>
    </r>
    <r>
      <rPr>
        <b/>
        <sz val="10"/>
        <color rgb="FF0080FF"/>
        <rFont val="Consolas"/>
        <family val="3"/>
      </rPr>
      <t>IS</t>
    </r>
    <r>
      <rPr>
        <b/>
        <sz val="10"/>
        <color theme="1"/>
        <rFont val="Consolas"/>
        <family val="3"/>
      </rPr>
      <t xml:space="preserve"> </t>
    </r>
    <r>
      <rPr>
        <b/>
        <sz val="10"/>
        <color rgb="FFFF2800"/>
        <rFont val="Consolas"/>
        <family val="3"/>
      </rPr>
      <t>'相対割引開始月4'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</si>
  <si>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relative_period_4 </t>
    </r>
    <r>
      <rPr>
        <b/>
        <sz val="10"/>
        <color rgb="FF0080FF"/>
        <rFont val="Consolas"/>
        <family val="3"/>
      </rPr>
      <t>IS</t>
    </r>
    <r>
      <rPr>
        <b/>
        <sz val="10"/>
        <color theme="1"/>
        <rFont val="Consolas"/>
        <family val="3"/>
      </rPr>
      <t xml:space="preserve"> </t>
    </r>
    <r>
      <rPr>
        <b/>
        <sz val="10"/>
        <color rgb="FFFF2800"/>
        <rFont val="Consolas"/>
        <family val="3"/>
      </rPr>
      <t>'相対期間4'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</si>
  <si>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relative_pd_category_5 </t>
    </r>
    <r>
      <rPr>
        <b/>
        <sz val="10"/>
        <color rgb="FF0080FF"/>
        <rFont val="Consolas"/>
        <family val="3"/>
      </rPr>
      <t>IS</t>
    </r>
    <r>
      <rPr>
        <b/>
        <sz val="10"/>
        <color theme="1"/>
        <rFont val="Consolas"/>
        <family val="3"/>
      </rPr>
      <t xml:space="preserve"> </t>
    </r>
    <r>
      <rPr>
        <b/>
        <sz val="10"/>
        <color rgb="FFFF2800"/>
        <rFont val="Consolas"/>
        <family val="3"/>
      </rPr>
      <t>'相対pdカテゴリ5'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</si>
  <si>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relative_pd_name_5 </t>
    </r>
    <r>
      <rPr>
        <b/>
        <sz val="10"/>
        <color rgb="FF0080FF"/>
        <rFont val="Consolas"/>
        <family val="3"/>
      </rPr>
      <t>IS</t>
    </r>
    <r>
      <rPr>
        <b/>
        <sz val="10"/>
        <color theme="1"/>
        <rFont val="Consolas"/>
        <family val="3"/>
      </rPr>
      <t xml:space="preserve"> </t>
    </r>
    <r>
      <rPr>
        <b/>
        <sz val="10"/>
        <color rgb="FFFF2800"/>
        <rFont val="Consolas"/>
        <family val="3"/>
      </rPr>
      <t>'相対pd名称5'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</si>
  <si>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relative_discount_method_5 </t>
    </r>
    <r>
      <rPr>
        <b/>
        <sz val="10"/>
        <color rgb="FF0080FF"/>
        <rFont val="Consolas"/>
        <family val="3"/>
      </rPr>
      <t>IS</t>
    </r>
    <r>
      <rPr>
        <b/>
        <sz val="10"/>
        <color theme="1"/>
        <rFont val="Consolas"/>
        <family val="3"/>
      </rPr>
      <t xml:space="preserve"> </t>
    </r>
    <r>
      <rPr>
        <b/>
        <sz val="10"/>
        <color rgb="FFFF2800"/>
        <rFont val="Consolas"/>
        <family val="3"/>
      </rPr>
      <t>'相対割引方法5'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</si>
  <si>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relative_effective_start_date_5 </t>
    </r>
    <r>
      <rPr>
        <b/>
        <sz val="10"/>
        <color rgb="FF0080FF"/>
        <rFont val="Consolas"/>
        <family val="3"/>
      </rPr>
      <t>IS</t>
    </r>
    <r>
      <rPr>
        <b/>
        <sz val="10"/>
        <color theme="1"/>
        <rFont val="Consolas"/>
        <family val="3"/>
      </rPr>
      <t xml:space="preserve"> </t>
    </r>
    <r>
      <rPr>
        <b/>
        <sz val="10"/>
        <color rgb="FFFF2800"/>
        <rFont val="Consolas"/>
        <family val="3"/>
      </rPr>
      <t>'相対有効開始日5'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</si>
  <si>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relative_effective_end_date_5 </t>
    </r>
    <r>
      <rPr>
        <b/>
        <sz val="10"/>
        <color rgb="FF0080FF"/>
        <rFont val="Consolas"/>
        <family val="3"/>
      </rPr>
      <t>IS</t>
    </r>
    <r>
      <rPr>
        <b/>
        <sz val="10"/>
        <color theme="1"/>
        <rFont val="Consolas"/>
        <family val="3"/>
      </rPr>
      <t xml:space="preserve"> </t>
    </r>
    <r>
      <rPr>
        <b/>
        <sz val="10"/>
        <color rgb="FFFF2800"/>
        <rFont val="Consolas"/>
        <family val="3"/>
      </rPr>
      <t>'相対有効終了日5'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</si>
  <si>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relative_invoice_amount_5 </t>
    </r>
    <r>
      <rPr>
        <b/>
        <sz val="10"/>
        <color rgb="FF0080FF"/>
        <rFont val="Consolas"/>
        <family val="3"/>
      </rPr>
      <t>IS</t>
    </r>
    <r>
      <rPr>
        <b/>
        <sz val="10"/>
        <color theme="1"/>
        <rFont val="Consolas"/>
        <family val="3"/>
      </rPr>
      <t xml:space="preserve"> </t>
    </r>
    <r>
      <rPr>
        <b/>
        <sz val="10"/>
        <color rgb="FFFF2800"/>
        <rFont val="Consolas"/>
        <family val="3"/>
      </rPr>
      <t>'相対請求金額5'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</si>
  <si>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relative_discount_amount_5 </t>
    </r>
    <r>
      <rPr>
        <b/>
        <sz val="10"/>
        <color rgb="FF0080FF"/>
        <rFont val="Consolas"/>
        <family val="3"/>
      </rPr>
      <t>IS</t>
    </r>
    <r>
      <rPr>
        <b/>
        <sz val="10"/>
        <color theme="1"/>
        <rFont val="Consolas"/>
        <family val="3"/>
      </rPr>
      <t xml:space="preserve"> </t>
    </r>
    <r>
      <rPr>
        <b/>
        <sz val="10"/>
        <color rgb="FFFF2800"/>
        <rFont val="Consolas"/>
        <family val="3"/>
      </rPr>
      <t>'相対割引金額5'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</si>
  <si>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relative_discount_rate_5 </t>
    </r>
    <r>
      <rPr>
        <b/>
        <sz val="10"/>
        <color rgb="FF0080FF"/>
        <rFont val="Consolas"/>
        <family val="3"/>
      </rPr>
      <t>IS</t>
    </r>
    <r>
      <rPr>
        <b/>
        <sz val="10"/>
        <color theme="1"/>
        <rFont val="Consolas"/>
        <family val="3"/>
      </rPr>
      <t xml:space="preserve"> </t>
    </r>
    <r>
      <rPr>
        <b/>
        <sz val="10"/>
        <color rgb="FFFF2800"/>
        <rFont val="Consolas"/>
        <family val="3"/>
      </rPr>
      <t>'相対割引率5'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</si>
  <si>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relative_discount_start_month_5 </t>
    </r>
    <r>
      <rPr>
        <b/>
        <sz val="10"/>
        <color rgb="FF0080FF"/>
        <rFont val="Consolas"/>
        <family val="3"/>
      </rPr>
      <t>IS</t>
    </r>
    <r>
      <rPr>
        <b/>
        <sz val="10"/>
        <color theme="1"/>
        <rFont val="Consolas"/>
        <family val="3"/>
      </rPr>
      <t xml:space="preserve"> </t>
    </r>
    <r>
      <rPr>
        <b/>
        <sz val="10"/>
        <color rgb="FFFF2800"/>
        <rFont val="Consolas"/>
        <family val="3"/>
      </rPr>
      <t>'相対割引開始月5'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</si>
  <si>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relative_period_5 </t>
    </r>
    <r>
      <rPr>
        <b/>
        <sz val="10"/>
        <color rgb="FF0080FF"/>
        <rFont val="Consolas"/>
        <family val="3"/>
      </rPr>
      <t>IS</t>
    </r>
    <r>
      <rPr>
        <b/>
        <sz val="10"/>
        <color theme="1"/>
        <rFont val="Consolas"/>
        <family val="3"/>
      </rPr>
      <t xml:space="preserve"> </t>
    </r>
    <r>
      <rPr>
        <b/>
        <sz val="10"/>
        <color rgb="FFFF2800"/>
        <rFont val="Consolas"/>
        <family val="3"/>
      </rPr>
      <t>'相対期間5'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</si>
  <si>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relative_pd_category_6 </t>
    </r>
    <r>
      <rPr>
        <b/>
        <sz val="10"/>
        <color rgb="FF0080FF"/>
        <rFont val="Consolas"/>
        <family val="3"/>
      </rPr>
      <t>IS</t>
    </r>
    <r>
      <rPr>
        <b/>
        <sz val="10"/>
        <color theme="1"/>
        <rFont val="Consolas"/>
        <family val="3"/>
      </rPr>
      <t xml:space="preserve"> </t>
    </r>
    <r>
      <rPr>
        <b/>
        <sz val="10"/>
        <color rgb="FFFF2800"/>
        <rFont val="Consolas"/>
        <family val="3"/>
      </rPr>
      <t>'相対pdカテゴリ6'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</si>
  <si>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relative_pd_name_6 </t>
    </r>
    <r>
      <rPr>
        <b/>
        <sz val="10"/>
        <color rgb="FF0080FF"/>
        <rFont val="Consolas"/>
        <family val="3"/>
      </rPr>
      <t>IS</t>
    </r>
    <r>
      <rPr>
        <b/>
        <sz val="10"/>
        <color theme="1"/>
        <rFont val="Consolas"/>
        <family val="3"/>
      </rPr>
      <t xml:space="preserve"> </t>
    </r>
    <r>
      <rPr>
        <b/>
        <sz val="10"/>
        <color rgb="FFFF2800"/>
        <rFont val="Consolas"/>
        <family val="3"/>
      </rPr>
      <t>'相対pd名称6'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</si>
  <si>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relative_discount_method_6 </t>
    </r>
    <r>
      <rPr>
        <b/>
        <sz val="10"/>
        <color rgb="FF0080FF"/>
        <rFont val="Consolas"/>
        <family val="3"/>
      </rPr>
      <t>IS</t>
    </r>
    <r>
      <rPr>
        <b/>
        <sz val="10"/>
        <color theme="1"/>
        <rFont val="Consolas"/>
        <family val="3"/>
      </rPr>
      <t xml:space="preserve"> </t>
    </r>
    <r>
      <rPr>
        <b/>
        <sz val="10"/>
        <color rgb="FFFF2800"/>
        <rFont val="Consolas"/>
        <family val="3"/>
      </rPr>
      <t>'相対割引方法6'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</si>
  <si>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relative_effective_start_date_6 </t>
    </r>
    <r>
      <rPr>
        <b/>
        <sz val="10"/>
        <color rgb="FF0080FF"/>
        <rFont val="Consolas"/>
        <family val="3"/>
      </rPr>
      <t>IS</t>
    </r>
    <r>
      <rPr>
        <b/>
        <sz val="10"/>
        <color theme="1"/>
        <rFont val="Consolas"/>
        <family val="3"/>
      </rPr>
      <t xml:space="preserve"> </t>
    </r>
    <r>
      <rPr>
        <b/>
        <sz val="10"/>
        <color rgb="FFFF2800"/>
        <rFont val="Consolas"/>
        <family val="3"/>
      </rPr>
      <t>'相対有効開始日6'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</si>
  <si>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relative_effective_end_date_6 </t>
    </r>
    <r>
      <rPr>
        <b/>
        <sz val="10"/>
        <color rgb="FF0080FF"/>
        <rFont val="Consolas"/>
        <family val="3"/>
      </rPr>
      <t>IS</t>
    </r>
    <r>
      <rPr>
        <b/>
        <sz val="10"/>
        <color theme="1"/>
        <rFont val="Consolas"/>
        <family val="3"/>
      </rPr>
      <t xml:space="preserve"> </t>
    </r>
    <r>
      <rPr>
        <b/>
        <sz val="10"/>
        <color rgb="FFFF2800"/>
        <rFont val="Consolas"/>
        <family val="3"/>
      </rPr>
      <t>'相対有効終了日6'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</si>
  <si>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relative_invoice_amount_6 </t>
    </r>
    <r>
      <rPr>
        <b/>
        <sz val="10"/>
        <color rgb="FF0080FF"/>
        <rFont val="Consolas"/>
        <family val="3"/>
      </rPr>
      <t>IS</t>
    </r>
    <r>
      <rPr>
        <b/>
        <sz val="10"/>
        <color theme="1"/>
        <rFont val="Consolas"/>
        <family val="3"/>
      </rPr>
      <t xml:space="preserve"> </t>
    </r>
    <r>
      <rPr>
        <b/>
        <sz val="10"/>
        <color rgb="FFFF2800"/>
        <rFont val="Consolas"/>
        <family val="3"/>
      </rPr>
      <t>'相対請求金額6'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</si>
  <si>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relative_discount_amount_6 </t>
    </r>
    <r>
      <rPr>
        <b/>
        <sz val="10"/>
        <color rgb="FF0080FF"/>
        <rFont val="Consolas"/>
        <family val="3"/>
      </rPr>
      <t>IS</t>
    </r>
    <r>
      <rPr>
        <b/>
        <sz val="10"/>
        <color theme="1"/>
        <rFont val="Consolas"/>
        <family val="3"/>
      </rPr>
      <t xml:space="preserve"> </t>
    </r>
    <r>
      <rPr>
        <b/>
        <sz val="10"/>
        <color rgb="FFFF2800"/>
        <rFont val="Consolas"/>
        <family val="3"/>
      </rPr>
      <t>'相対割引金額6'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</si>
  <si>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relative_discount_rate_6 </t>
    </r>
    <r>
      <rPr>
        <b/>
        <sz val="10"/>
        <color rgb="FF0080FF"/>
        <rFont val="Consolas"/>
        <family val="3"/>
      </rPr>
      <t>IS</t>
    </r>
    <r>
      <rPr>
        <b/>
        <sz val="10"/>
        <color theme="1"/>
        <rFont val="Consolas"/>
        <family val="3"/>
      </rPr>
      <t xml:space="preserve"> </t>
    </r>
    <r>
      <rPr>
        <b/>
        <sz val="10"/>
        <color rgb="FFFF2800"/>
        <rFont val="Consolas"/>
        <family val="3"/>
      </rPr>
      <t>'相対割引率6'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</si>
  <si>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relative_discount_start_month_6 </t>
    </r>
    <r>
      <rPr>
        <b/>
        <sz val="10"/>
        <color rgb="FF0080FF"/>
        <rFont val="Consolas"/>
        <family val="3"/>
      </rPr>
      <t>IS</t>
    </r>
    <r>
      <rPr>
        <b/>
        <sz val="10"/>
        <color theme="1"/>
        <rFont val="Consolas"/>
        <family val="3"/>
      </rPr>
      <t xml:space="preserve"> </t>
    </r>
    <r>
      <rPr>
        <b/>
        <sz val="10"/>
        <color rgb="FFFF2800"/>
        <rFont val="Consolas"/>
        <family val="3"/>
      </rPr>
      <t>'相対割引開始月6'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</si>
  <si>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relative_period_6 </t>
    </r>
    <r>
      <rPr>
        <b/>
        <sz val="10"/>
        <color rgb="FF0080FF"/>
        <rFont val="Consolas"/>
        <family val="3"/>
      </rPr>
      <t>IS</t>
    </r>
    <r>
      <rPr>
        <b/>
        <sz val="10"/>
        <color theme="1"/>
        <rFont val="Consolas"/>
        <family val="3"/>
      </rPr>
      <t xml:space="preserve"> </t>
    </r>
    <r>
      <rPr>
        <b/>
        <sz val="10"/>
        <color rgb="FFFF2800"/>
        <rFont val="Consolas"/>
        <family val="3"/>
      </rPr>
      <t>'相対期間6'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</si>
  <si>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relative_pd_category_7 </t>
    </r>
    <r>
      <rPr>
        <b/>
        <sz val="10"/>
        <color rgb="FF0080FF"/>
        <rFont val="Consolas"/>
        <family val="3"/>
      </rPr>
      <t>IS</t>
    </r>
    <r>
      <rPr>
        <b/>
        <sz val="10"/>
        <color theme="1"/>
        <rFont val="Consolas"/>
        <family val="3"/>
      </rPr>
      <t xml:space="preserve"> </t>
    </r>
    <r>
      <rPr>
        <b/>
        <sz val="10"/>
        <color rgb="FFFF2800"/>
        <rFont val="Consolas"/>
        <family val="3"/>
      </rPr>
      <t>'相対pdカテゴリ7'</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</si>
  <si>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relative_pd_name_7 </t>
    </r>
    <r>
      <rPr>
        <b/>
        <sz val="10"/>
        <color rgb="FF0080FF"/>
        <rFont val="Consolas"/>
        <family val="3"/>
      </rPr>
      <t>IS</t>
    </r>
    <r>
      <rPr>
        <b/>
        <sz val="10"/>
        <color theme="1"/>
        <rFont val="Consolas"/>
        <family val="3"/>
      </rPr>
      <t xml:space="preserve"> </t>
    </r>
    <r>
      <rPr>
        <b/>
        <sz val="10"/>
        <color rgb="FFFF2800"/>
        <rFont val="Consolas"/>
        <family val="3"/>
      </rPr>
      <t>'相対pd名称7'</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</si>
  <si>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relative_discount_method_7 </t>
    </r>
    <r>
      <rPr>
        <b/>
        <sz val="10"/>
        <color rgb="FF0080FF"/>
        <rFont val="Consolas"/>
        <family val="3"/>
      </rPr>
      <t>IS</t>
    </r>
    <r>
      <rPr>
        <b/>
        <sz val="10"/>
        <color theme="1"/>
        <rFont val="Consolas"/>
        <family val="3"/>
      </rPr>
      <t xml:space="preserve"> </t>
    </r>
    <r>
      <rPr>
        <b/>
        <sz val="10"/>
        <color rgb="FFFF2800"/>
        <rFont val="Consolas"/>
        <family val="3"/>
      </rPr>
      <t>'相対割引方法7'</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</si>
  <si>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relative_effective_start_date_7 </t>
    </r>
    <r>
      <rPr>
        <b/>
        <sz val="10"/>
        <color rgb="FF0080FF"/>
        <rFont val="Consolas"/>
        <family val="3"/>
      </rPr>
      <t>IS</t>
    </r>
    <r>
      <rPr>
        <b/>
        <sz val="10"/>
        <color theme="1"/>
        <rFont val="Consolas"/>
        <family val="3"/>
      </rPr>
      <t xml:space="preserve"> </t>
    </r>
    <r>
      <rPr>
        <b/>
        <sz val="10"/>
        <color rgb="FFFF2800"/>
        <rFont val="Consolas"/>
        <family val="3"/>
      </rPr>
      <t>'相対有効開始日7'</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</si>
  <si>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relative_effective_end_date_7 </t>
    </r>
    <r>
      <rPr>
        <b/>
        <sz val="10"/>
        <color rgb="FF0080FF"/>
        <rFont val="Consolas"/>
        <family val="3"/>
      </rPr>
      <t>IS</t>
    </r>
    <r>
      <rPr>
        <b/>
        <sz val="10"/>
        <color theme="1"/>
        <rFont val="Consolas"/>
        <family val="3"/>
      </rPr>
      <t xml:space="preserve"> </t>
    </r>
    <r>
      <rPr>
        <b/>
        <sz val="10"/>
        <color rgb="FFFF2800"/>
        <rFont val="Consolas"/>
        <family val="3"/>
      </rPr>
      <t>'相対有効終了日7'</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</si>
  <si>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relative_invoice_amount_7 </t>
    </r>
    <r>
      <rPr>
        <b/>
        <sz val="10"/>
        <color rgb="FF0080FF"/>
        <rFont val="Consolas"/>
        <family val="3"/>
      </rPr>
      <t>IS</t>
    </r>
    <r>
      <rPr>
        <b/>
        <sz val="10"/>
        <color theme="1"/>
        <rFont val="Consolas"/>
        <family val="3"/>
      </rPr>
      <t xml:space="preserve"> </t>
    </r>
    <r>
      <rPr>
        <b/>
        <sz val="10"/>
        <color rgb="FFFF2800"/>
        <rFont val="Consolas"/>
        <family val="3"/>
      </rPr>
      <t>'相対請求金額7'</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</si>
  <si>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relative_discount_amount_7 </t>
    </r>
    <r>
      <rPr>
        <b/>
        <sz val="10"/>
        <color rgb="FF0080FF"/>
        <rFont val="Consolas"/>
        <family val="3"/>
      </rPr>
      <t>IS</t>
    </r>
    <r>
      <rPr>
        <b/>
        <sz val="10"/>
        <color theme="1"/>
        <rFont val="Consolas"/>
        <family val="3"/>
      </rPr>
      <t xml:space="preserve"> </t>
    </r>
    <r>
      <rPr>
        <b/>
        <sz val="10"/>
        <color rgb="FFFF2800"/>
        <rFont val="Consolas"/>
        <family val="3"/>
      </rPr>
      <t>'相対割引金額7'</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</si>
  <si>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relative_discount_rate_7 </t>
    </r>
    <r>
      <rPr>
        <b/>
        <sz val="10"/>
        <color rgb="FF0080FF"/>
        <rFont val="Consolas"/>
        <family val="3"/>
      </rPr>
      <t>IS</t>
    </r>
    <r>
      <rPr>
        <b/>
        <sz val="10"/>
        <color theme="1"/>
        <rFont val="Consolas"/>
        <family val="3"/>
      </rPr>
      <t xml:space="preserve"> </t>
    </r>
    <r>
      <rPr>
        <b/>
        <sz val="10"/>
        <color rgb="FFFF2800"/>
        <rFont val="Consolas"/>
        <family val="3"/>
      </rPr>
      <t>'相対割引率7'</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</si>
  <si>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relative_discount_start_month_7 </t>
    </r>
    <r>
      <rPr>
        <b/>
        <sz val="10"/>
        <color rgb="FF0080FF"/>
        <rFont val="Consolas"/>
        <family val="3"/>
      </rPr>
      <t>IS</t>
    </r>
    <r>
      <rPr>
        <b/>
        <sz val="10"/>
        <color theme="1"/>
        <rFont val="Consolas"/>
        <family val="3"/>
      </rPr>
      <t xml:space="preserve"> </t>
    </r>
    <r>
      <rPr>
        <b/>
        <sz val="10"/>
        <color rgb="FFFF2800"/>
        <rFont val="Consolas"/>
        <family val="3"/>
      </rPr>
      <t>'相対割引開始月7'</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</si>
  <si>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relative_period_7 </t>
    </r>
    <r>
      <rPr>
        <b/>
        <sz val="10"/>
        <color rgb="FF0080FF"/>
        <rFont val="Consolas"/>
        <family val="3"/>
      </rPr>
      <t>IS</t>
    </r>
    <r>
      <rPr>
        <b/>
        <sz val="10"/>
        <color theme="1"/>
        <rFont val="Consolas"/>
        <family val="3"/>
      </rPr>
      <t xml:space="preserve"> </t>
    </r>
    <r>
      <rPr>
        <b/>
        <sz val="10"/>
        <color rgb="FFFF2800"/>
        <rFont val="Consolas"/>
        <family val="3"/>
      </rPr>
      <t>'相対期間7'</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</si>
  <si>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relative_pd_category_8 </t>
    </r>
    <r>
      <rPr>
        <b/>
        <sz val="10"/>
        <color rgb="FF0080FF"/>
        <rFont val="Consolas"/>
        <family val="3"/>
      </rPr>
      <t>IS</t>
    </r>
    <r>
      <rPr>
        <b/>
        <sz val="10"/>
        <color theme="1"/>
        <rFont val="Consolas"/>
        <family val="3"/>
      </rPr>
      <t xml:space="preserve"> </t>
    </r>
    <r>
      <rPr>
        <b/>
        <sz val="10"/>
        <color rgb="FFFF2800"/>
        <rFont val="Consolas"/>
        <family val="3"/>
      </rPr>
      <t>'相対pdカテゴリ8'</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</si>
  <si>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relative_pd_name_8 </t>
    </r>
    <r>
      <rPr>
        <b/>
        <sz val="10"/>
        <color rgb="FF0080FF"/>
        <rFont val="Consolas"/>
        <family val="3"/>
      </rPr>
      <t>IS</t>
    </r>
    <r>
      <rPr>
        <b/>
        <sz val="10"/>
        <color theme="1"/>
        <rFont val="Consolas"/>
        <family val="3"/>
      </rPr>
      <t xml:space="preserve"> </t>
    </r>
    <r>
      <rPr>
        <b/>
        <sz val="10"/>
        <color rgb="FFFF2800"/>
        <rFont val="Consolas"/>
        <family val="3"/>
      </rPr>
      <t>'相対pd名称8'</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</si>
  <si>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relative_discount_method_8 </t>
    </r>
    <r>
      <rPr>
        <b/>
        <sz val="10"/>
        <color rgb="FF0080FF"/>
        <rFont val="Consolas"/>
        <family val="3"/>
      </rPr>
      <t>IS</t>
    </r>
    <r>
      <rPr>
        <b/>
        <sz val="10"/>
        <color theme="1"/>
        <rFont val="Consolas"/>
        <family val="3"/>
      </rPr>
      <t xml:space="preserve"> </t>
    </r>
    <r>
      <rPr>
        <b/>
        <sz val="10"/>
        <color rgb="FFFF2800"/>
        <rFont val="Consolas"/>
        <family val="3"/>
      </rPr>
      <t>'相対割引方法8'</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</si>
  <si>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relative_effective_start_date_8 </t>
    </r>
    <r>
      <rPr>
        <b/>
        <sz val="10"/>
        <color rgb="FF0080FF"/>
        <rFont val="Consolas"/>
        <family val="3"/>
      </rPr>
      <t>IS</t>
    </r>
    <r>
      <rPr>
        <b/>
        <sz val="10"/>
        <color theme="1"/>
        <rFont val="Consolas"/>
        <family val="3"/>
      </rPr>
      <t xml:space="preserve"> </t>
    </r>
    <r>
      <rPr>
        <b/>
        <sz val="10"/>
        <color rgb="FFFF2800"/>
        <rFont val="Consolas"/>
        <family val="3"/>
      </rPr>
      <t>'相対有効開始日8'</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</si>
  <si>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relative_effective_end_date_8 </t>
    </r>
    <r>
      <rPr>
        <b/>
        <sz val="10"/>
        <color rgb="FF0080FF"/>
        <rFont val="Consolas"/>
        <family val="3"/>
      </rPr>
      <t>IS</t>
    </r>
    <r>
      <rPr>
        <b/>
        <sz val="10"/>
        <color theme="1"/>
        <rFont val="Consolas"/>
        <family val="3"/>
      </rPr>
      <t xml:space="preserve"> </t>
    </r>
    <r>
      <rPr>
        <b/>
        <sz val="10"/>
        <color rgb="FFFF2800"/>
        <rFont val="Consolas"/>
        <family val="3"/>
      </rPr>
      <t>'相対有効終了日8'</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</si>
  <si>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relative_invoice_amount_8 </t>
    </r>
    <r>
      <rPr>
        <b/>
        <sz val="10"/>
        <color rgb="FF0080FF"/>
        <rFont val="Consolas"/>
        <family val="3"/>
      </rPr>
      <t>IS</t>
    </r>
    <r>
      <rPr>
        <b/>
        <sz val="10"/>
        <color theme="1"/>
        <rFont val="Consolas"/>
        <family val="3"/>
      </rPr>
      <t xml:space="preserve"> </t>
    </r>
    <r>
      <rPr>
        <b/>
        <sz val="10"/>
        <color rgb="FFFF2800"/>
        <rFont val="Consolas"/>
        <family val="3"/>
      </rPr>
      <t>'相対請求金額8'</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</si>
  <si>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relative_discount_amount_8 </t>
    </r>
    <r>
      <rPr>
        <b/>
        <sz val="10"/>
        <color rgb="FF0080FF"/>
        <rFont val="Consolas"/>
        <family val="3"/>
      </rPr>
      <t>IS</t>
    </r>
    <r>
      <rPr>
        <b/>
        <sz val="10"/>
        <color theme="1"/>
        <rFont val="Consolas"/>
        <family val="3"/>
      </rPr>
      <t xml:space="preserve"> </t>
    </r>
    <r>
      <rPr>
        <b/>
        <sz val="10"/>
        <color rgb="FFFF2800"/>
        <rFont val="Consolas"/>
        <family val="3"/>
      </rPr>
      <t>'相対割引金額8'</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</si>
  <si>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relative_discount_rate_8 </t>
    </r>
    <r>
      <rPr>
        <b/>
        <sz val="10"/>
        <color rgb="FF0080FF"/>
        <rFont val="Consolas"/>
        <family val="3"/>
      </rPr>
      <t>IS</t>
    </r>
    <r>
      <rPr>
        <b/>
        <sz val="10"/>
        <color theme="1"/>
        <rFont val="Consolas"/>
        <family val="3"/>
      </rPr>
      <t xml:space="preserve"> </t>
    </r>
    <r>
      <rPr>
        <b/>
        <sz val="10"/>
        <color rgb="FFFF2800"/>
        <rFont val="Consolas"/>
        <family val="3"/>
      </rPr>
      <t>'相対割引率8'</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</si>
  <si>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relative_discount_start_month_8 </t>
    </r>
    <r>
      <rPr>
        <b/>
        <sz val="10"/>
        <color rgb="FF0080FF"/>
        <rFont val="Consolas"/>
        <family val="3"/>
      </rPr>
      <t>IS</t>
    </r>
    <r>
      <rPr>
        <b/>
        <sz val="10"/>
        <color theme="1"/>
        <rFont val="Consolas"/>
        <family val="3"/>
      </rPr>
      <t xml:space="preserve"> </t>
    </r>
    <r>
      <rPr>
        <b/>
        <sz val="10"/>
        <color rgb="FFFF2800"/>
        <rFont val="Consolas"/>
        <family val="3"/>
      </rPr>
      <t>'相対割引開始月8'</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</si>
  <si>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relative_period_8 </t>
    </r>
    <r>
      <rPr>
        <b/>
        <sz val="10"/>
        <color rgb="FF0080FF"/>
        <rFont val="Consolas"/>
        <family val="3"/>
      </rPr>
      <t>IS</t>
    </r>
    <r>
      <rPr>
        <b/>
        <sz val="10"/>
        <color theme="1"/>
        <rFont val="Consolas"/>
        <family val="3"/>
      </rPr>
      <t xml:space="preserve"> </t>
    </r>
    <r>
      <rPr>
        <b/>
        <sz val="10"/>
        <color rgb="FFFF2800"/>
        <rFont val="Consolas"/>
        <family val="3"/>
      </rPr>
      <t>'相対期間8'</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</si>
  <si>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relative_pd_category_9 </t>
    </r>
    <r>
      <rPr>
        <b/>
        <sz val="10"/>
        <color rgb="FF0080FF"/>
        <rFont val="Consolas"/>
        <family val="3"/>
      </rPr>
      <t>IS</t>
    </r>
    <r>
      <rPr>
        <b/>
        <sz val="10"/>
        <color theme="1"/>
        <rFont val="Consolas"/>
        <family val="3"/>
      </rPr>
      <t xml:space="preserve"> </t>
    </r>
    <r>
      <rPr>
        <b/>
        <sz val="10"/>
        <color rgb="FFFF2800"/>
        <rFont val="Consolas"/>
        <family val="3"/>
      </rPr>
      <t>'相対pdカテゴリ9'</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</si>
  <si>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relative_pd_name_9 </t>
    </r>
    <r>
      <rPr>
        <b/>
        <sz val="10"/>
        <color rgb="FF0080FF"/>
        <rFont val="Consolas"/>
        <family val="3"/>
      </rPr>
      <t>IS</t>
    </r>
    <r>
      <rPr>
        <b/>
        <sz val="10"/>
        <color theme="1"/>
        <rFont val="Consolas"/>
        <family val="3"/>
      </rPr>
      <t xml:space="preserve"> </t>
    </r>
    <r>
      <rPr>
        <b/>
        <sz val="10"/>
        <color rgb="FFFF2800"/>
        <rFont val="Consolas"/>
        <family val="3"/>
      </rPr>
      <t>'相対pd名称9'</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</si>
  <si>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relative_discount_method_9 </t>
    </r>
    <r>
      <rPr>
        <b/>
        <sz val="10"/>
        <color rgb="FF0080FF"/>
        <rFont val="Consolas"/>
        <family val="3"/>
      </rPr>
      <t>IS</t>
    </r>
    <r>
      <rPr>
        <b/>
        <sz val="10"/>
        <color theme="1"/>
        <rFont val="Consolas"/>
        <family val="3"/>
      </rPr>
      <t xml:space="preserve"> </t>
    </r>
    <r>
      <rPr>
        <b/>
        <sz val="10"/>
        <color rgb="FFFF2800"/>
        <rFont val="Consolas"/>
        <family val="3"/>
      </rPr>
      <t>'相対割引方法9'</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</si>
  <si>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relative_effective_start_date_9 </t>
    </r>
    <r>
      <rPr>
        <b/>
        <sz val="10"/>
        <color rgb="FF0080FF"/>
        <rFont val="Consolas"/>
        <family val="3"/>
      </rPr>
      <t>IS</t>
    </r>
    <r>
      <rPr>
        <b/>
        <sz val="10"/>
        <color theme="1"/>
        <rFont val="Consolas"/>
        <family val="3"/>
      </rPr>
      <t xml:space="preserve"> </t>
    </r>
    <r>
      <rPr>
        <b/>
        <sz val="10"/>
        <color rgb="FFFF2800"/>
        <rFont val="Consolas"/>
        <family val="3"/>
      </rPr>
      <t>'相対有効開始日9'</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</si>
  <si>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relative_effective_end_date_9 </t>
    </r>
    <r>
      <rPr>
        <b/>
        <sz val="10"/>
        <color rgb="FF0080FF"/>
        <rFont val="Consolas"/>
        <family val="3"/>
      </rPr>
      <t>IS</t>
    </r>
    <r>
      <rPr>
        <b/>
        <sz val="10"/>
        <color theme="1"/>
        <rFont val="Consolas"/>
        <family val="3"/>
      </rPr>
      <t xml:space="preserve"> </t>
    </r>
    <r>
      <rPr>
        <b/>
        <sz val="10"/>
        <color rgb="FFFF2800"/>
        <rFont val="Consolas"/>
        <family val="3"/>
      </rPr>
      <t>'相対有効終了日9'</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</si>
  <si>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relative_invoice_amount_9 </t>
    </r>
    <r>
      <rPr>
        <b/>
        <sz val="10"/>
        <color rgb="FF0080FF"/>
        <rFont val="Consolas"/>
        <family val="3"/>
      </rPr>
      <t>IS</t>
    </r>
    <r>
      <rPr>
        <b/>
        <sz val="10"/>
        <color theme="1"/>
        <rFont val="Consolas"/>
        <family val="3"/>
      </rPr>
      <t xml:space="preserve"> </t>
    </r>
    <r>
      <rPr>
        <b/>
        <sz val="10"/>
        <color rgb="FFFF2800"/>
        <rFont val="Consolas"/>
        <family val="3"/>
      </rPr>
      <t>'相対請求金額9'</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</si>
  <si>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relative_discount_amount_9 </t>
    </r>
    <r>
      <rPr>
        <b/>
        <sz val="10"/>
        <color rgb="FF0080FF"/>
        <rFont val="Consolas"/>
        <family val="3"/>
      </rPr>
      <t>IS</t>
    </r>
    <r>
      <rPr>
        <b/>
        <sz val="10"/>
        <color theme="1"/>
        <rFont val="Consolas"/>
        <family val="3"/>
      </rPr>
      <t xml:space="preserve"> </t>
    </r>
    <r>
      <rPr>
        <b/>
        <sz val="10"/>
        <color rgb="FFFF2800"/>
        <rFont val="Consolas"/>
        <family val="3"/>
      </rPr>
      <t>'相対割引金額9'</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</si>
  <si>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relative_discount_rate_9 </t>
    </r>
    <r>
      <rPr>
        <b/>
        <sz val="10"/>
        <color rgb="FF0080FF"/>
        <rFont val="Consolas"/>
        <family val="3"/>
      </rPr>
      <t>IS</t>
    </r>
    <r>
      <rPr>
        <b/>
        <sz val="10"/>
        <color theme="1"/>
        <rFont val="Consolas"/>
        <family val="3"/>
      </rPr>
      <t xml:space="preserve"> </t>
    </r>
    <r>
      <rPr>
        <b/>
        <sz val="10"/>
        <color rgb="FFFF2800"/>
        <rFont val="Consolas"/>
        <family val="3"/>
      </rPr>
      <t>'相対割引率9'</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</si>
  <si>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relative_discount_start_month_9 </t>
    </r>
    <r>
      <rPr>
        <b/>
        <sz val="10"/>
        <color rgb="FF0080FF"/>
        <rFont val="Consolas"/>
        <family val="3"/>
      </rPr>
      <t>IS</t>
    </r>
    <r>
      <rPr>
        <b/>
        <sz val="10"/>
        <color theme="1"/>
        <rFont val="Consolas"/>
        <family val="3"/>
      </rPr>
      <t xml:space="preserve"> </t>
    </r>
    <r>
      <rPr>
        <b/>
        <sz val="10"/>
        <color rgb="FFFF2800"/>
        <rFont val="Consolas"/>
        <family val="3"/>
      </rPr>
      <t>'相対割引開始月9'</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</si>
  <si>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relative_period_9 </t>
    </r>
    <r>
      <rPr>
        <b/>
        <sz val="10"/>
        <color rgb="FF0080FF"/>
        <rFont val="Consolas"/>
        <family val="3"/>
      </rPr>
      <t>IS</t>
    </r>
    <r>
      <rPr>
        <b/>
        <sz val="10"/>
        <color theme="1"/>
        <rFont val="Consolas"/>
        <family val="3"/>
      </rPr>
      <t xml:space="preserve"> </t>
    </r>
    <r>
      <rPr>
        <b/>
        <sz val="10"/>
        <color rgb="FFFF2800"/>
        <rFont val="Consolas"/>
        <family val="3"/>
      </rPr>
      <t>'相対期間9'</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</si>
  <si>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relative_pd_category_10 </t>
    </r>
    <r>
      <rPr>
        <b/>
        <sz val="10"/>
        <color rgb="FF0080FF"/>
        <rFont val="Consolas"/>
        <family val="3"/>
      </rPr>
      <t>IS</t>
    </r>
    <r>
      <rPr>
        <b/>
        <sz val="10"/>
        <color theme="1"/>
        <rFont val="Consolas"/>
        <family val="3"/>
      </rPr>
      <t xml:space="preserve"> </t>
    </r>
    <r>
      <rPr>
        <b/>
        <sz val="10"/>
        <color rgb="FFFF2800"/>
        <rFont val="Consolas"/>
        <family val="3"/>
      </rPr>
      <t>'相対pdカテゴリ10'</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</si>
  <si>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relative_pd_name_10 </t>
    </r>
    <r>
      <rPr>
        <b/>
        <sz val="10"/>
        <color rgb="FF0080FF"/>
        <rFont val="Consolas"/>
        <family val="3"/>
      </rPr>
      <t>IS</t>
    </r>
    <r>
      <rPr>
        <b/>
        <sz val="10"/>
        <color theme="1"/>
        <rFont val="Consolas"/>
        <family val="3"/>
      </rPr>
      <t xml:space="preserve"> </t>
    </r>
    <r>
      <rPr>
        <b/>
        <sz val="10"/>
        <color rgb="FFFF2800"/>
        <rFont val="Consolas"/>
        <family val="3"/>
      </rPr>
      <t>'相対pd名称10'</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</si>
  <si>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relative_discount_method_10 </t>
    </r>
    <r>
      <rPr>
        <b/>
        <sz val="10"/>
        <color rgb="FF0080FF"/>
        <rFont val="Consolas"/>
        <family val="3"/>
      </rPr>
      <t>IS</t>
    </r>
    <r>
      <rPr>
        <b/>
        <sz val="10"/>
        <color theme="1"/>
        <rFont val="Consolas"/>
        <family val="3"/>
      </rPr>
      <t xml:space="preserve"> </t>
    </r>
    <r>
      <rPr>
        <b/>
        <sz val="10"/>
        <color rgb="FFFF2800"/>
        <rFont val="Consolas"/>
        <family val="3"/>
      </rPr>
      <t>'相対割引方法10'</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</si>
  <si>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relative_effective_start_date_10 </t>
    </r>
    <r>
      <rPr>
        <b/>
        <sz val="10"/>
        <color rgb="FF0080FF"/>
        <rFont val="Consolas"/>
        <family val="3"/>
      </rPr>
      <t>IS</t>
    </r>
    <r>
      <rPr>
        <b/>
        <sz val="10"/>
        <color theme="1"/>
        <rFont val="Consolas"/>
        <family val="3"/>
      </rPr>
      <t xml:space="preserve"> </t>
    </r>
    <r>
      <rPr>
        <b/>
        <sz val="10"/>
        <color rgb="FFFF2800"/>
        <rFont val="Consolas"/>
        <family val="3"/>
      </rPr>
      <t>'相対有効開始日10'</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</si>
  <si>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relative_effective_end_date_10 </t>
    </r>
    <r>
      <rPr>
        <b/>
        <sz val="10"/>
        <color rgb="FF0080FF"/>
        <rFont val="Consolas"/>
        <family val="3"/>
      </rPr>
      <t>IS</t>
    </r>
    <r>
      <rPr>
        <b/>
        <sz val="10"/>
        <color theme="1"/>
        <rFont val="Consolas"/>
        <family val="3"/>
      </rPr>
      <t xml:space="preserve"> </t>
    </r>
    <r>
      <rPr>
        <b/>
        <sz val="10"/>
        <color rgb="FFFF2800"/>
        <rFont val="Consolas"/>
        <family val="3"/>
      </rPr>
      <t>'相対有効終了日10'</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</si>
  <si>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relative_invoice_amount_10 </t>
    </r>
    <r>
      <rPr>
        <b/>
        <sz val="10"/>
        <color rgb="FF0080FF"/>
        <rFont val="Consolas"/>
        <family val="3"/>
      </rPr>
      <t>IS</t>
    </r>
    <r>
      <rPr>
        <b/>
        <sz val="10"/>
        <color theme="1"/>
        <rFont val="Consolas"/>
        <family val="3"/>
      </rPr>
      <t xml:space="preserve"> </t>
    </r>
    <r>
      <rPr>
        <b/>
        <sz val="10"/>
        <color rgb="FFFF2800"/>
        <rFont val="Consolas"/>
        <family val="3"/>
      </rPr>
      <t>'相対請求金額10'</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</si>
  <si>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relative_discount_amount_10 </t>
    </r>
    <r>
      <rPr>
        <b/>
        <sz val="10"/>
        <color rgb="FF0080FF"/>
        <rFont val="Consolas"/>
        <family val="3"/>
      </rPr>
      <t>IS</t>
    </r>
    <r>
      <rPr>
        <b/>
        <sz val="10"/>
        <color theme="1"/>
        <rFont val="Consolas"/>
        <family val="3"/>
      </rPr>
      <t xml:space="preserve"> </t>
    </r>
    <r>
      <rPr>
        <b/>
        <sz val="10"/>
        <color rgb="FFFF2800"/>
        <rFont val="Consolas"/>
        <family val="3"/>
      </rPr>
      <t>'相対割引金額10'</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</si>
  <si>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relative_discount_rate_10 </t>
    </r>
    <r>
      <rPr>
        <b/>
        <sz val="10"/>
        <color rgb="FF0080FF"/>
        <rFont val="Consolas"/>
        <family val="3"/>
      </rPr>
      <t>IS</t>
    </r>
    <r>
      <rPr>
        <b/>
        <sz val="10"/>
        <color theme="1"/>
        <rFont val="Consolas"/>
        <family val="3"/>
      </rPr>
      <t xml:space="preserve"> </t>
    </r>
    <r>
      <rPr>
        <b/>
        <sz val="10"/>
        <color rgb="FFFF2800"/>
        <rFont val="Consolas"/>
        <family val="3"/>
      </rPr>
      <t>'相対割引率10'</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</si>
  <si>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relative_discount_start_month_10 </t>
    </r>
    <r>
      <rPr>
        <b/>
        <sz val="10"/>
        <color rgb="FF0080FF"/>
        <rFont val="Consolas"/>
        <family val="3"/>
      </rPr>
      <t>IS</t>
    </r>
    <r>
      <rPr>
        <b/>
        <sz val="10"/>
        <color theme="1"/>
        <rFont val="Consolas"/>
        <family val="3"/>
      </rPr>
      <t xml:space="preserve"> </t>
    </r>
    <r>
      <rPr>
        <b/>
        <sz val="10"/>
        <color rgb="FFFF2800"/>
        <rFont val="Consolas"/>
        <family val="3"/>
      </rPr>
      <t>'相対割引開始月10'</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</si>
  <si>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relative_period_10 </t>
    </r>
    <r>
      <rPr>
        <b/>
        <sz val="10"/>
        <color rgb="FF0080FF"/>
        <rFont val="Consolas"/>
        <family val="3"/>
      </rPr>
      <t>IS</t>
    </r>
    <r>
      <rPr>
        <b/>
        <sz val="10"/>
        <color theme="1"/>
        <rFont val="Consolas"/>
        <family val="3"/>
      </rPr>
      <t xml:space="preserve"> </t>
    </r>
    <r>
      <rPr>
        <b/>
        <sz val="10"/>
        <color rgb="FFFF2800"/>
        <rFont val="Consolas"/>
        <family val="3"/>
      </rPr>
      <t>'相対期間10'</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</si>
  <si>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relative_other_pd_category_1 </t>
    </r>
    <r>
      <rPr>
        <b/>
        <sz val="10"/>
        <color rgb="FF0080FF"/>
        <rFont val="Consolas"/>
        <family val="3"/>
      </rPr>
      <t>IS</t>
    </r>
    <r>
      <rPr>
        <b/>
        <sz val="10"/>
        <color theme="1"/>
        <rFont val="Consolas"/>
        <family val="3"/>
      </rPr>
      <t xml:space="preserve"> </t>
    </r>
    <r>
      <rPr>
        <b/>
        <sz val="10"/>
        <color rgb="FFFF2800"/>
        <rFont val="Consolas"/>
        <family val="3"/>
      </rPr>
      <t>'相対他pdカテゴリ1'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</si>
  <si>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relative_other_pd_name_1 </t>
    </r>
    <r>
      <rPr>
        <b/>
        <sz val="10"/>
        <color rgb="FF0080FF"/>
        <rFont val="Consolas"/>
        <family val="3"/>
      </rPr>
      <t>IS</t>
    </r>
    <r>
      <rPr>
        <b/>
        <sz val="10"/>
        <color theme="1"/>
        <rFont val="Consolas"/>
        <family val="3"/>
      </rPr>
      <t xml:space="preserve"> </t>
    </r>
    <r>
      <rPr>
        <b/>
        <sz val="10"/>
        <color rgb="FFFF2800"/>
        <rFont val="Consolas"/>
        <family val="3"/>
      </rPr>
      <t>'相対他pd名称1'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</si>
  <si>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relative_other_discount_method_1 </t>
    </r>
    <r>
      <rPr>
        <b/>
        <sz val="10"/>
        <color rgb="FF0080FF"/>
        <rFont val="Consolas"/>
        <family val="3"/>
      </rPr>
      <t>IS</t>
    </r>
    <r>
      <rPr>
        <b/>
        <sz val="10"/>
        <color theme="1"/>
        <rFont val="Consolas"/>
        <family val="3"/>
      </rPr>
      <t xml:space="preserve"> </t>
    </r>
    <r>
      <rPr>
        <b/>
        <sz val="10"/>
        <color rgb="FFFF2800"/>
        <rFont val="Consolas"/>
        <family val="3"/>
      </rPr>
      <t>'相対他割引方法1'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</si>
  <si>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relative_other_effective_start_date_1 </t>
    </r>
    <r>
      <rPr>
        <b/>
        <sz val="10"/>
        <color rgb="FF0080FF"/>
        <rFont val="Consolas"/>
        <family val="3"/>
      </rPr>
      <t>IS</t>
    </r>
    <r>
      <rPr>
        <b/>
        <sz val="10"/>
        <color theme="1"/>
        <rFont val="Consolas"/>
        <family val="3"/>
      </rPr>
      <t xml:space="preserve"> </t>
    </r>
    <r>
      <rPr>
        <b/>
        <sz val="10"/>
        <color rgb="FFFF2800"/>
        <rFont val="Consolas"/>
        <family val="3"/>
      </rPr>
      <t>'相対他有効開始日1'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</si>
  <si>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relative_other_effective_end_date_1 </t>
    </r>
    <r>
      <rPr>
        <b/>
        <sz val="10"/>
        <color rgb="FF0080FF"/>
        <rFont val="Consolas"/>
        <family val="3"/>
      </rPr>
      <t>IS</t>
    </r>
    <r>
      <rPr>
        <b/>
        <sz val="10"/>
        <color theme="1"/>
        <rFont val="Consolas"/>
        <family val="3"/>
      </rPr>
      <t xml:space="preserve"> </t>
    </r>
    <r>
      <rPr>
        <b/>
        <sz val="10"/>
        <color rgb="FFFF2800"/>
        <rFont val="Consolas"/>
        <family val="3"/>
      </rPr>
      <t>'相対他有効終了日1'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</si>
  <si>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relative_other_invoice_amount_1 </t>
    </r>
    <r>
      <rPr>
        <b/>
        <sz val="10"/>
        <color rgb="FF0080FF"/>
        <rFont val="Consolas"/>
        <family val="3"/>
      </rPr>
      <t>IS</t>
    </r>
    <r>
      <rPr>
        <b/>
        <sz val="10"/>
        <color theme="1"/>
        <rFont val="Consolas"/>
        <family val="3"/>
      </rPr>
      <t xml:space="preserve"> </t>
    </r>
    <r>
      <rPr>
        <b/>
        <sz val="10"/>
        <color rgb="FFFF2800"/>
        <rFont val="Consolas"/>
        <family val="3"/>
      </rPr>
      <t>'相対他請求金額1'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</si>
  <si>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relative_other_discount_amount_1 </t>
    </r>
    <r>
      <rPr>
        <b/>
        <sz val="10"/>
        <color rgb="FF0080FF"/>
        <rFont val="Consolas"/>
        <family val="3"/>
      </rPr>
      <t>IS</t>
    </r>
    <r>
      <rPr>
        <b/>
        <sz val="10"/>
        <color theme="1"/>
        <rFont val="Consolas"/>
        <family val="3"/>
      </rPr>
      <t xml:space="preserve"> </t>
    </r>
    <r>
      <rPr>
        <b/>
        <sz val="10"/>
        <color rgb="FFFF2800"/>
        <rFont val="Consolas"/>
        <family val="3"/>
      </rPr>
      <t>'相対他割引金額1'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</si>
  <si>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relative_other_discount_rate_1 </t>
    </r>
    <r>
      <rPr>
        <b/>
        <sz val="10"/>
        <color rgb="FF0080FF"/>
        <rFont val="Consolas"/>
        <family val="3"/>
      </rPr>
      <t>IS</t>
    </r>
    <r>
      <rPr>
        <b/>
        <sz val="10"/>
        <color theme="1"/>
        <rFont val="Consolas"/>
        <family val="3"/>
      </rPr>
      <t xml:space="preserve"> </t>
    </r>
    <r>
      <rPr>
        <b/>
        <sz val="10"/>
        <color rgb="FFFF2800"/>
        <rFont val="Consolas"/>
        <family val="3"/>
      </rPr>
      <t>'相対他割引率1'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</si>
  <si>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relative_other_discount_start_month_1 </t>
    </r>
    <r>
      <rPr>
        <b/>
        <sz val="10"/>
        <color rgb="FF0080FF"/>
        <rFont val="Consolas"/>
        <family val="3"/>
      </rPr>
      <t>IS</t>
    </r>
    <r>
      <rPr>
        <b/>
        <sz val="10"/>
        <color theme="1"/>
        <rFont val="Consolas"/>
        <family val="3"/>
      </rPr>
      <t xml:space="preserve"> </t>
    </r>
    <r>
      <rPr>
        <b/>
        <sz val="10"/>
        <color rgb="FFFF2800"/>
        <rFont val="Consolas"/>
        <family val="3"/>
      </rPr>
      <t>'相対他割引開始月1'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</si>
  <si>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relative_other_period_1 </t>
    </r>
    <r>
      <rPr>
        <b/>
        <sz val="10"/>
        <color rgb="FF0080FF"/>
        <rFont val="Consolas"/>
        <family val="3"/>
      </rPr>
      <t>IS</t>
    </r>
    <r>
      <rPr>
        <b/>
        <sz val="10"/>
        <color theme="1"/>
        <rFont val="Consolas"/>
        <family val="3"/>
      </rPr>
      <t xml:space="preserve"> </t>
    </r>
    <r>
      <rPr>
        <b/>
        <sz val="10"/>
        <color rgb="FFFF2800"/>
        <rFont val="Consolas"/>
        <family val="3"/>
      </rPr>
      <t>'相対他期間1'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</si>
  <si>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relative_other_pd_category_2 </t>
    </r>
    <r>
      <rPr>
        <b/>
        <sz val="10"/>
        <color rgb="FF0080FF"/>
        <rFont val="Consolas"/>
        <family val="3"/>
      </rPr>
      <t>IS</t>
    </r>
    <r>
      <rPr>
        <b/>
        <sz val="10"/>
        <color theme="1"/>
        <rFont val="Consolas"/>
        <family val="3"/>
      </rPr>
      <t xml:space="preserve"> </t>
    </r>
    <r>
      <rPr>
        <b/>
        <sz val="10"/>
        <color rgb="FFFF2800"/>
        <rFont val="Consolas"/>
        <family val="3"/>
      </rPr>
      <t>'相対他pdカテゴリ2'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</si>
  <si>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relative_other_pd_name_2 </t>
    </r>
    <r>
      <rPr>
        <b/>
        <sz val="10"/>
        <color rgb="FF0080FF"/>
        <rFont val="Consolas"/>
        <family val="3"/>
      </rPr>
      <t>IS</t>
    </r>
    <r>
      <rPr>
        <b/>
        <sz val="10"/>
        <color theme="1"/>
        <rFont val="Consolas"/>
        <family val="3"/>
      </rPr>
      <t xml:space="preserve"> </t>
    </r>
    <r>
      <rPr>
        <b/>
        <sz val="10"/>
        <color rgb="FFFF2800"/>
        <rFont val="Consolas"/>
        <family val="3"/>
      </rPr>
      <t>'相対他pd名称2'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</si>
  <si>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relative_other_discount_method_2 </t>
    </r>
    <r>
      <rPr>
        <b/>
        <sz val="10"/>
        <color rgb="FF0080FF"/>
        <rFont val="Consolas"/>
        <family val="3"/>
      </rPr>
      <t>IS</t>
    </r>
    <r>
      <rPr>
        <b/>
        <sz val="10"/>
        <color theme="1"/>
        <rFont val="Consolas"/>
        <family val="3"/>
      </rPr>
      <t xml:space="preserve"> </t>
    </r>
    <r>
      <rPr>
        <b/>
        <sz val="10"/>
        <color rgb="FFFF2800"/>
        <rFont val="Consolas"/>
        <family val="3"/>
      </rPr>
      <t>'相対他割引方法2'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</si>
  <si>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relative_other_effective_open_start_date_2 </t>
    </r>
    <r>
      <rPr>
        <b/>
        <sz val="10"/>
        <color rgb="FF0080FF"/>
        <rFont val="Consolas"/>
        <family val="3"/>
      </rPr>
      <t>IS</t>
    </r>
    <r>
      <rPr>
        <b/>
        <sz val="10"/>
        <color theme="1"/>
        <rFont val="Consolas"/>
        <family val="3"/>
      </rPr>
      <t xml:space="preserve"> </t>
    </r>
    <r>
      <rPr>
        <b/>
        <sz val="10"/>
        <color rgb="FFFF2800"/>
        <rFont val="Consolas"/>
        <family val="3"/>
      </rPr>
      <t>'相対他有効開始日2'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</si>
  <si>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relative_other_effective_end_date_2 </t>
    </r>
    <r>
      <rPr>
        <b/>
        <sz val="10"/>
        <color rgb="FF0080FF"/>
        <rFont val="Consolas"/>
        <family val="3"/>
      </rPr>
      <t>IS</t>
    </r>
    <r>
      <rPr>
        <b/>
        <sz val="10"/>
        <color theme="1"/>
        <rFont val="Consolas"/>
        <family val="3"/>
      </rPr>
      <t xml:space="preserve"> </t>
    </r>
    <r>
      <rPr>
        <b/>
        <sz val="10"/>
        <color rgb="FFFF2800"/>
        <rFont val="Consolas"/>
        <family val="3"/>
      </rPr>
      <t>'相対他有効終了日2'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</si>
  <si>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relative_other_invoice_amount_2 </t>
    </r>
    <r>
      <rPr>
        <b/>
        <sz val="10"/>
        <color rgb="FF0080FF"/>
        <rFont val="Consolas"/>
        <family val="3"/>
      </rPr>
      <t>IS</t>
    </r>
    <r>
      <rPr>
        <b/>
        <sz val="10"/>
        <color theme="1"/>
        <rFont val="Consolas"/>
        <family val="3"/>
      </rPr>
      <t xml:space="preserve"> </t>
    </r>
    <r>
      <rPr>
        <b/>
        <sz val="10"/>
        <color rgb="FFFF2800"/>
        <rFont val="Consolas"/>
        <family val="3"/>
      </rPr>
      <t>'相対他請求金額2'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</si>
  <si>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relative_other_discount_amount_2 </t>
    </r>
    <r>
      <rPr>
        <b/>
        <sz val="10"/>
        <color rgb="FF0080FF"/>
        <rFont val="Consolas"/>
        <family val="3"/>
      </rPr>
      <t>IS</t>
    </r>
    <r>
      <rPr>
        <b/>
        <sz val="10"/>
        <color theme="1"/>
        <rFont val="Consolas"/>
        <family val="3"/>
      </rPr>
      <t xml:space="preserve"> </t>
    </r>
    <r>
      <rPr>
        <b/>
        <sz val="10"/>
        <color rgb="FFFF2800"/>
        <rFont val="Consolas"/>
        <family val="3"/>
      </rPr>
      <t>'相対他割引金額2'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</si>
  <si>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relative_other_discount_rate_2 </t>
    </r>
    <r>
      <rPr>
        <b/>
        <sz val="10"/>
        <color rgb="FF0080FF"/>
        <rFont val="Consolas"/>
        <family val="3"/>
      </rPr>
      <t>IS</t>
    </r>
    <r>
      <rPr>
        <b/>
        <sz val="10"/>
        <color theme="1"/>
        <rFont val="Consolas"/>
        <family val="3"/>
      </rPr>
      <t xml:space="preserve"> </t>
    </r>
    <r>
      <rPr>
        <b/>
        <sz val="10"/>
        <color rgb="FFFF2800"/>
        <rFont val="Consolas"/>
        <family val="3"/>
      </rPr>
      <t>'相対他割引率2'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</si>
  <si>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relative_other_discount_start_month_2 </t>
    </r>
    <r>
      <rPr>
        <b/>
        <sz val="10"/>
        <color rgb="FF0080FF"/>
        <rFont val="Consolas"/>
        <family val="3"/>
      </rPr>
      <t>IS</t>
    </r>
    <r>
      <rPr>
        <b/>
        <sz val="10"/>
        <color theme="1"/>
        <rFont val="Consolas"/>
        <family val="3"/>
      </rPr>
      <t xml:space="preserve"> </t>
    </r>
    <r>
      <rPr>
        <b/>
        <sz val="10"/>
        <color rgb="FFFF2800"/>
        <rFont val="Consolas"/>
        <family val="3"/>
      </rPr>
      <t>'相対他割引開始月2'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</si>
  <si>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relative_other_period_2 </t>
    </r>
    <r>
      <rPr>
        <b/>
        <sz val="10"/>
        <color rgb="FF0080FF"/>
        <rFont val="Consolas"/>
        <family val="3"/>
      </rPr>
      <t>IS</t>
    </r>
    <r>
      <rPr>
        <b/>
        <sz val="10"/>
        <color theme="1"/>
        <rFont val="Consolas"/>
        <family val="3"/>
      </rPr>
      <t xml:space="preserve"> </t>
    </r>
    <r>
      <rPr>
        <b/>
        <sz val="10"/>
        <color rgb="FFFF2800"/>
        <rFont val="Consolas"/>
        <family val="3"/>
      </rPr>
      <t>'相対他期間2'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</si>
  <si>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relative_other_pd_category_3 </t>
    </r>
    <r>
      <rPr>
        <b/>
        <sz val="10"/>
        <color rgb="FF0080FF"/>
        <rFont val="Consolas"/>
        <family val="3"/>
      </rPr>
      <t>IS</t>
    </r>
    <r>
      <rPr>
        <b/>
        <sz val="10"/>
        <color theme="1"/>
        <rFont val="Consolas"/>
        <family val="3"/>
      </rPr>
      <t xml:space="preserve"> </t>
    </r>
    <r>
      <rPr>
        <b/>
        <sz val="10"/>
        <color rgb="FFFF2800"/>
        <rFont val="Consolas"/>
        <family val="3"/>
      </rPr>
      <t>'相対他pdカテゴリ3'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</si>
  <si>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relative_other_pd_name_3 </t>
    </r>
    <r>
      <rPr>
        <b/>
        <sz val="10"/>
        <color rgb="FF0080FF"/>
        <rFont val="Consolas"/>
        <family val="3"/>
      </rPr>
      <t>IS</t>
    </r>
    <r>
      <rPr>
        <b/>
        <sz val="10"/>
        <color theme="1"/>
        <rFont val="Consolas"/>
        <family val="3"/>
      </rPr>
      <t xml:space="preserve"> </t>
    </r>
    <r>
      <rPr>
        <b/>
        <sz val="10"/>
        <color rgb="FFFF2800"/>
        <rFont val="Consolas"/>
        <family val="3"/>
      </rPr>
      <t>'相対他pd名称3'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</si>
  <si>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relative_other_discount_method_3 </t>
    </r>
    <r>
      <rPr>
        <b/>
        <sz val="10"/>
        <color rgb="FF0080FF"/>
        <rFont val="Consolas"/>
        <family val="3"/>
      </rPr>
      <t>IS</t>
    </r>
    <r>
      <rPr>
        <b/>
        <sz val="10"/>
        <color theme="1"/>
        <rFont val="Consolas"/>
        <family val="3"/>
      </rPr>
      <t xml:space="preserve"> </t>
    </r>
    <r>
      <rPr>
        <b/>
        <sz val="10"/>
        <color rgb="FFFF2800"/>
        <rFont val="Consolas"/>
        <family val="3"/>
      </rPr>
      <t>'相対他割引方法3'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</si>
  <si>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relative_other_effective_start_date_3 </t>
    </r>
    <r>
      <rPr>
        <b/>
        <sz val="10"/>
        <color rgb="FF0080FF"/>
        <rFont val="Consolas"/>
        <family val="3"/>
      </rPr>
      <t>IS</t>
    </r>
    <r>
      <rPr>
        <b/>
        <sz val="10"/>
        <color theme="1"/>
        <rFont val="Consolas"/>
        <family val="3"/>
      </rPr>
      <t xml:space="preserve"> </t>
    </r>
    <r>
      <rPr>
        <b/>
        <sz val="10"/>
        <color rgb="FFFF2800"/>
        <rFont val="Consolas"/>
        <family val="3"/>
      </rPr>
      <t>'相対他有効開始日3'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</si>
  <si>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relative_other_effective_end_date_3 </t>
    </r>
    <r>
      <rPr>
        <b/>
        <sz val="10"/>
        <color rgb="FF0080FF"/>
        <rFont val="Consolas"/>
        <family val="3"/>
      </rPr>
      <t>IS</t>
    </r>
    <r>
      <rPr>
        <b/>
        <sz val="10"/>
        <color theme="1"/>
        <rFont val="Consolas"/>
        <family val="3"/>
      </rPr>
      <t xml:space="preserve"> </t>
    </r>
    <r>
      <rPr>
        <b/>
        <sz val="10"/>
        <color rgb="FFFF2800"/>
        <rFont val="Consolas"/>
        <family val="3"/>
      </rPr>
      <t>'相対他有効終了日3'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</si>
  <si>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relative_other_invoice_amount_3 </t>
    </r>
    <r>
      <rPr>
        <b/>
        <sz val="10"/>
        <color rgb="FF0080FF"/>
        <rFont val="Consolas"/>
        <family val="3"/>
      </rPr>
      <t>IS</t>
    </r>
    <r>
      <rPr>
        <b/>
        <sz val="10"/>
        <color theme="1"/>
        <rFont val="Consolas"/>
        <family val="3"/>
      </rPr>
      <t xml:space="preserve"> </t>
    </r>
    <r>
      <rPr>
        <b/>
        <sz val="10"/>
        <color rgb="FFFF2800"/>
        <rFont val="Consolas"/>
        <family val="3"/>
      </rPr>
      <t>'相対他請求金額3'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</si>
  <si>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relative_other_discount_amount_3 </t>
    </r>
    <r>
      <rPr>
        <b/>
        <sz val="10"/>
        <color rgb="FF0080FF"/>
        <rFont val="Consolas"/>
        <family val="3"/>
      </rPr>
      <t>IS</t>
    </r>
    <r>
      <rPr>
        <b/>
        <sz val="10"/>
        <color theme="1"/>
        <rFont val="Consolas"/>
        <family val="3"/>
      </rPr>
      <t xml:space="preserve"> </t>
    </r>
    <r>
      <rPr>
        <b/>
        <sz val="10"/>
        <color rgb="FFFF2800"/>
        <rFont val="Consolas"/>
        <family val="3"/>
      </rPr>
      <t>'相対他割引金額3'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</si>
  <si>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relative_other_discount_rate_3 </t>
    </r>
    <r>
      <rPr>
        <b/>
        <sz val="10"/>
        <color rgb="FF0080FF"/>
        <rFont val="Consolas"/>
        <family val="3"/>
      </rPr>
      <t>IS</t>
    </r>
    <r>
      <rPr>
        <b/>
        <sz val="10"/>
        <color theme="1"/>
        <rFont val="Consolas"/>
        <family val="3"/>
      </rPr>
      <t xml:space="preserve"> </t>
    </r>
    <r>
      <rPr>
        <b/>
        <sz val="10"/>
        <color rgb="FFFF2800"/>
        <rFont val="Consolas"/>
        <family val="3"/>
      </rPr>
      <t>'相対他割引率3'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</si>
  <si>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relative_other_discount_start_month_3 </t>
    </r>
    <r>
      <rPr>
        <b/>
        <sz val="10"/>
        <color rgb="FF0080FF"/>
        <rFont val="Consolas"/>
        <family val="3"/>
      </rPr>
      <t>IS</t>
    </r>
    <r>
      <rPr>
        <b/>
        <sz val="10"/>
        <color theme="1"/>
        <rFont val="Consolas"/>
        <family val="3"/>
      </rPr>
      <t xml:space="preserve"> </t>
    </r>
    <r>
      <rPr>
        <b/>
        <sz val="10"/>
        <color rgb="FFFF2800"/>
        <rFont val="Consolas"/>
        <family val="3"/>
      </rPr>
      <t>'相対他割引開始月3'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</si>
  <si>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relative_other_period_3 </t>
    </r>
    <r>
      <rPr>
        <b/>
        <sz val="10"/>
        <color rgb="FF0080FF"/>
        <rFont val="Consolas"/>
        <family val="3"/>
      </rPr>
      <t>IS</t>
    </r>
    <r>
      <rPr>
        <b/>
        <sz val="10"/>
        <color theme="1"/>
        <rFont val="Consolas"/>
        <family val="3"/>
      </rPr>
      <t xml:space="preserve"> </t>
    </r>
    <r>
      <rPr>
        <b/>
        <sz val="10"/>
        <color rgb="FFFF2800"/>
        <rFont val="Consolas"/>
        <family val="3"/>
      </rPr>
      <t>'相対他期間3'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</si>
  <si>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relative_other_pd_category_4 </t>
    </r>
    <r>
      <rPr>
        <b/>
        <sz val="10"/>
        <color rgb="FF0080FF"/>
        <rFont val="Consolas"/>
        <family val="3"/>
      </rPr>
      <t>IS</t>
    </r>
    <r>
      <rPr>
        <b/>
        <sz val="10"/>
        <color theme="1"/>
        <rFont val="Consolas"/>
        <family val="3"/>
      </rPr>
      <t xml:space="preserve"> </t>
    </r>
    <r>
      <rPr>
        <b/>
        <sz val="10"/>
        <color rgb="FFFF2800"/>
        <rFont val="Consolas"/>
        <family val="3"/>
      </rPr>
      <t>'相対他pdカテゴリ4'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</si>
  <si>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relative_other_pd_name_4 </t>
    </r>
    <r>
      <rPr>
        <b/>
        <sz val="10"/>
        <color rgb="FF0080FF"/>
        <rFont val="Consolas"/>
        <family val="3"/>
      </rPr>
      <t>IS</t>
    </r>
    <r>
      <rPr>
        <b/>
        <sz val="10"/>
        <color theme="1"/>
        <rFont val="Consolas"/>
        <family val="3"/>
      </rPr>
      <t xml:space="preserve"> </t>
    </r>
    <r>
      <rPr>
        <b/>
        <sz val="10"/>
        <color rgb="FFFF2800"/>
        <rFont val="Consolas"/>
        <family val="3"/>
      </rPr>
      <t>'相対他pd名称4'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</si>
  <si>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relative_other_discount_method_4 </t>
    </r>
    <r>
      <rPr>
        <b/>
        <sz val="10"/>
        <color rgb="FF0080FF"/>
        <rFont val="Consolas"/>
        <family val="3"/>
      </rPr>
      <t>IS</t>
    </r>
    <r>
      <rPr>
        <b/>
        <sz val="10"/>
        <color theme="1"/>
        <rFont val="Consolas"/>
        <family val="3"/>
      </rPr>
      <t xml:space="preserve"> </t>
    </r>
    <r>
      <rPr>
        <b/>
        <sz val="10"/>
        <color rgb="FFFF2800"/>
        <rFont val="Consolas"/>
        <family val="3"/>
      </rPr>
      <t>'相対他割引方法4'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</si>
  <si>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relative_other_effective_start_date_4 </t>
    </r>
    <r>
      <rPr>
        <b/>
        <sz val="10"/>
        <color rgb="FF0080FF"/>
        <rFont val="Consolas"/>
        <family val="3"/>
      </rPr>
      <t>IS</t>
    </r>
    <r>
      <rPr>
        <b/>
        <sz val="10"/>
        <color theme="1"/>
        <rFont val="Consolas"/>
        <family val="3"/>
      </rPr>
      <t xml:space="preserve"> </t>
    </r>
    <r>
      <rPr>
        <b/>
        <sz val="10"/>
        <color rgb="FFFF2800"/>
        <rFont val="Consolas"/>
        <family val="3"/>
      </rPr>
      <t>'相対他有効開始日4'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</si>
  <si>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relative_other_effective_end_date_4 </t>
    </r>
    <r>
      <rPr>
        <b/>
        <sz val="10"/>
        <color rgb="FF0080FF"/>
        <rFont val="Consolas"/>
        <family val="3"/>
      </rPr>
      <t>IS</t>
    </r>
    <r>
      <rPr>
        <b/>
        <sz val="10"/>
        <color theme="1"/>
        <rFont val="Consolas"/>
        <family val="3"/>
      </rPr>
      <t xml:space="preserve"> </t>
    </r>
    <r>
      <rPr>
        <b/>
        <sz val="10"/>
        <color rgb="FFFF2800"/>
        <rFont val="Consolas"/>
        <family val="3"/>
      </rPr>
      <t>'相対他有効終了日4'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</si>
  <si>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relative_other_invoice_amount_4 </t>
    </r>
    <r>
      <rPr>
        <b/>
        <sz val="10"/>
        <color rgb="FF0080FF"/>
        <rFont val="Consolas"/>
        <family val="3"/>
      </rPr>
      <t>IS</t>
    </r>
    <r>
      <rPr>
        <b/>
        <sz val="10"/>
        <color theme="1"/>
        <rFont val="Consolas"/>
        <family val="3"/>
      </rPr>
      <t xml:space="preserve"> </t>
    </r>
    <r>
      <rPr>
        <b/>
        <sz val="10"/>
        <color rgb="FFFF2800"/>
        <rFont val="Consolas"/>
        <family val="3"/>
      </rPr>
      <t>'相対他請求金額4'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</si>
  <si>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relative_other_discount_amount_4 </t>
    </r>
    <r>
      <rPr>
        <b/>
        <sz val="10"/>
        <color rgb="FF0080FF"/>
        <rFont val="Consolas"/>
        <family val="3"/>
      </rPr>
      <t>IS</t>
    </r>
    <r>
      <rPr>
        <b/>
        <sz val="10"/>
        <color theme="1"/>
        <rFont val="Consolas"/>
        <family val="3"/>
      </rPr>
      <t xml:space="preserve"> </t>
    </r>
    <r>
      <rPr>
        <b/>
        <sz val="10"/>
        <color rgb="FFFF2800"/>
        <rFont val="Consolas"/>
        <family val="3"/>
      </rPr>
      <t>'相対他割引金額4'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</si>
  <si>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relative_other_discount_rate_4 </t>
    </r>
    <r>
      <rPr>
        <b/>
        <sz val="10"/>
        <color rgb="FF0080FF"/>
        <rFont val="Consolas"/>
        <family val="3"/>
      </rPr>
      <t>IS</t>
    </r>
    <r>
      <rPr>
        <b/>
        <sz val="10"/>
        <color theme="1"/>
        <rFont val="Consolas"/>
        <family val="3"/>
      </rPr>
      <t xml:space="preserve"> </t>
    </r>
    <r>
      <rPr>
        <b/>
        <sz val="10"/>
        <color rgb="FFFF2800"/>
        <rFont val="Consolas"/>
        <family val="3"/>
      </rPr>
      <t>'相対他割引率4'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</si>
  <si>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relative_other_discount_start_month_4 </t>
    </r>
    <r>
      <rPr>
        <b/>
        <sz val="10"/>
        <color rgb="FF0080FF"/>
        <rFont val="Consolas"/>
        <family val="3"/>
      </rPr>
      <t>IS</t>
    </r>
    <r>
      <rPr>
        <b/>
        <sz val="10"/>
        <color theme="1"/>
        <rFont val="Consolas"/>
        <family val="3"/>
      </rPr>
      <t xml:space="preserve"> </t>
    </r>
    <r>
      <rPr>
        <b/>
        <sz val="10"/>
        <color rgb="FFFF2800"/>
        <rFont val="Consolas"/>
        <family val="3"/>
      </rPr>
      <t>'相対他割引開始月4'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</si>
  <si>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relative_other_period_4 </t>
    </r>
    <r>
      <rPr>
        <b/>
        <sz val="10"/>
        <color rgb="FF0080FF"/>
        <rFont val="Consolas"/>
        <family val="3"/>
      </rPr>
      <t>IS</t>
    </r>
    <r>
      <rPr>
        <b/>
        <sz val="10"/>
        <color theme="1"/>
        <rFont val="Consolas"/>
        <family val="3"/>
      </rPr>
      <t xml:space="preserve"> </t>
    </r>
    <r>
      <rPr>
        <b/>
        <sz val="10"/>
        <color rgb="FFFF2800"/>
        <rFont val="Consolas"/>
        <family val="3"/>
      </rPr>
      <t>'相対他期間4'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</si>
  <si>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relative_other_pd_category_5 </t>
    </r>
    <r>
      <rPr>
        <b/>
        <sz val="10"/>
        <color rgb="FF0080FF"/>
        <rFont val="Consolas"/>
        <family val="3"/>
      </rPr>
      <t>IS</t>
    </r>
    <r>
      <rPr>
        <b/>
        <sz val="10"/>
        <color theme="1"/>
        <rFont val="Consolas"/>
        <family val="3"/>
      </rPr>
      <t xml:space="preserve"> </t>
    </r>
    <r>
      <rPr>
        <b/>
        <sz val="10"/>
        <color rgb="FFFF2800"/>
        <rFont val="Consolas"/>
        <family val="3"/>
      </rPr>
      <t>'相対他pdカテゴリ5'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</si>
  <si>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relative_other_pd_name_5 </t>
    </r>
    <r>
      <rPr>
        <b/>
        <sz val="10"/>
        <color rgb="FF0080FF"/>
        <rFont val="Consolas"/>
        <family val="3"/>
      </rPr>
      <t>IS</t>
    </r>
    <r>
      <rPr>
        <b/>
        <sz val="10"/>
        <color theme="1"/>
        <rFont val="Consolas"/>
        <family val="3"/>
      </rPr>
      <t xml:space="preserve"> </t>
    </r>
    <r>
      <rPr>
        <b/>
        <sz val="10"/>
        <color rgb="FFFF2800"/>
        <rFont val="Consolas"/>
        <family val="3"/>
      </rPr>
      <t>'相対他pd名称5'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</si>
  <si>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relative_other_discount_method_5 </t>
    </r>
    <r>
      <rPr>
        <b/>
        <sz val="10"/>
        <color rgb="FF0080FF"/>
        <rFont val="Consolas"/>
        <family val="3"/>
      </rPr>
      <t>IS</t>
    </r>
    <r>
      <rPr>
        <b/>
        <sz val="10"/>
        <color theme="1"/>
        <rFont val="Consolas"/>
        <family val="3"/>
      </rPr>
      <t xml:space="preserve"> </t>
    </r>
    <r>
      <rPr>
        <b/>
        <sz val="10"/>
        <color rgb="FFFF2800"/>
        <rFont val="Consolas"/>
        <family val="3"/>
      </rPr>
      <t>'相対他割引方法5'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</si>
  <si>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relative_other_effective_start_date_5 </t>
    </r>
    <r>
      <rPr>
        <b/>
        <sz val="10"/>
        <color rgb="FF0080FF"/>
        <rFont val="Consolas"/>
        <family val="3"/>
      </rPr>
      <t>IS</t>
    </r>
    <r>
      <rPr>
        <b/>
        <sz val="10"/>
        <color theme="1"/>
        <rFont val="Consolas"/>
        <family val="3"/>
      </rPr>
      <t xml:space="preserve"> </t>
    </r>
    <r>
      <rPr>
        <b/>
        <sz val="10"/>
        <color rgb="FFFF2800"/>
        <rFont val="Consolas"/>
        <family val="3"/>
      </rPr>
      <t>'相対他有効開始日5'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</si>
  <si>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relative_other_effective_end_date_5 </t>
    </r>
    <r>
      <rPr>
        <b/>
        <sz val="10"/>
        <color rgb="FF0080FF"/>
        <rFont val="Consolas"/>
        <family val="3"/>
      </rPr>
      <t>IS</t>
    </r>
    <r>
      <rPr>
        <b/>
        <sz val="10"/>
        <color theme="1"/>
        <rFont val="Consolas"/>
        <family val="3"/>
      </rPr>
      <t xml:space="preserve"> </t>
    </r>
    <r>
      <rPr>
        <b/>
        <sz val="10"/>
        <color rgb="FFFF2800"/>
        <rFont val="Consolas"/>
        <family val="3"/>
      </rPr>
      <t>'相対他有効終了日5'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</si>
  <si>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relative_other_billing_amount_5 </t>
    </r>
    <r>
      <rPr>
        <b/>
        <sz val="10"/>
        <color rgb="FF0080FF"/>
        <rFont val="Consolas"/>
        <family val="3"/>
      </rPr>
      <t>IS</t>
    </r>
    <r>
      <rPr>
        <b/>
        <sz val="10"/>
        <color theme="1"/>
        <rFont val="Consolas"/>
        <family val="3"/>
      </rPr>
      <t xml:space="preserve"> </t>
    </r>
    <r>
      <rPr>
        <b/>
        <sz val="10"/>
        <color rgb="FFFF2800"/>
        <rFont val="Consolas"/>
        <family val="3"/>
      </rPr>
      <t>'相対他請求金額5'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</si>
  <si>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relative_other_discount_amount_5 </t>
    </r>
    <r>
      <rPr>
        <b/>
        <sz val="10"/>
        <color rgb="FF0080FF"/>
        <rFont val="Consolas"/>
        <family val="3"/>
      </rPr>
      <t>IS</t>
    </r>
    <r>
      <rPr>
        <b/>
        <sz val="10"/>
        <color theme="1"/>
        <rFont val="Consolas"/>
        <family val="3"/>
      </rPr>
      <t xml:space="preserve"> </t>
    </r>
    <r>
      <rPr>
        <b/>
        <sz val="10"/>
        <color rgb="FFFF2800"/>
        <rFont val="Consolas"/>
        <family val="3"/>
      </rPr>
      <t>'相対他割引金額5'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</si>
  <si>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relative_other_discount_rate_5 </t>
    </r>
    <r>
      <rPr>
        <b/>
        <sz val="10"/>
        <color rgb="FF0080FF"/>
        <rFont val="Consolas"/>
        <family val="3"/>
      </rPr>
      <t>IS</t>
    </r>
    <r>
      <rPr>
        <b/>
        <sz val="10"/>
        <color theme="1"/>
        <rFont val="Consolas"/>
        <family val="3"/>
      </rPr>
      <t xml:space="preserve"> </t>
    </r>
    <r>
      <rPr>
        <b/>
        <sz val="10"/>
        <color rgb="FFFF2800"/>
        <rFont val="Consolas"/>
        <family val="3"/>
      </rPr>
      <t>'相対他割引率5'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</si>
  <si>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relative_other_discount_start_month_5 </t>
    </r>
    <r>
      <rPr>
        <b/>
        <sz val="10"/>
        <color rgb="FF0080FF"/>
        <rFont val="Consolas"/>
        <family val="3"/>
      </rPr>
      <t>IS</t>
    </r>
    <r>
      <rPr>
        <b/>
        <sz val="10"/>
        <color theme="1"/>
        <rFont val="Consolas"/>
        <family val="3"/>
      </rPr>
      <t xml:space="preserve"> </t>
    </r>
    <r>
      <rPr>
        <b/>
        <sz val="10"/>
        <color rgb="FFFF2800"/>
        <rFont val="Consolas"/>
        <family val="3"/>
      </rPr>
      <t>'相対他割引開始月5'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</si>
  <si>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relative_other_period_5 </t>
    </r>
    <r>
      <rPr>
        <b/>
        <sz val="10"/>
        <color rgb="FF0080FF"/>
        <rFont val="Consolas"/>
        <family val="3"/>
      </rPr>
      <t>IS</t>
    </r>
    <r>
      <rPr>
        <b/>
        <sz val="10"/>
        <color theme="1"/>
        <rFont val="Consolas"/>
        <family val="3"/>
      </rPr>
      <t xml:space="preserve"> </t>
    </r>
    <r>
      <rPr>
        <b/>
        <sz val="10"/>
        <color rgb="FFFF2800"/>
        <rFont val="Consolas"/>
        <family val="3"/>
      </rPr>
      <t>'相対他期間5'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</si>
  <si>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rnt_registration_administrative_fee_waiver </t>
    </r>
    <r>
      <rPr>
        <b/>
        <sz val="10"/>
        <color rgb="FF0080FF"/>
        <rFont val="Consolas"/>
        <family val="3"/>
      </rPr>
      <t>IS</t>
    </r>
    <r>
      <rPr>
        <b/>
        <sz val="10"/>
        <color theme="1"/>
        <rFont val="Consolas"/>
        <family val="3"/>
      </rPr>
      <t xml:space="preserve"> </t>
    </r>
    <r>
      <rPr>
        <b/>
        <sz val="10"/>
        <color rgb="FFFF2800"/>
        <rFont val="Consolas"/>
        <family val="3"/>
      </rPr>
      <t>'rnt登録事務手数料免除'</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</si>
  <si>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rnt_registration_administrative_fee_amount </t>
    </r>
    <r>
      <rPr>
        <b/>
        <sz val="10"/>
        <color rgb="FF0080FF"/>
        <rFont val="Consolas"/>
        <family val="3"/>
      </rPr>
      <t>IS</t>
    </r>
    <r>
      <rPr>
        <b/>
        <sz val="10"/>
        <color theme="1"/>
        <rFont val="Consolas"/>
        <family val="3"/>
      </rPr>
      <t xml:space="preserve"> </t>
    </r>
    <r>
      <rPr>
        <b/>
        <sz val="10"/>
        <color rgb="FFFF2800"/>
        <rFont val="Consolas"/>
        <family val="3"/>
      </rPr>
      <t>'rnt登録事務手数料金額'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</si>
  <si>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rnt_cancellation_penalty_discount_method </t>
    </r>
    <r>
      <rPr>
        <b/>
        <sz val="10"/>
        <color rgb="FF0080FF"/>
        <rFont val="Consolas"/>
        <family val="3"/>
      </rPr>
      <t>IS</t>
    </r>
    <r>
      <rPr>
        <b/>
        <sz val="10"/>
        <color theme="1"/>
        <rFont val="Consolas"/>
        <family val="3"/>
      </rPr>
      <t xml:space="preserve"> </t>
    </r>
    <r>
      <rPr>
        <b/>
        <sz val="10"/>
        <color rgb="FFFF2800"/>
        <rFont val="Consolas"/>
        <family val="3"/>
      </rPr>
      <t>'rnt解約違約金割引方法'</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</si>
  <si>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rnt_cancellation_penalty_amount </t>
    </r>
    <r>
      <rPr>
        <b/>
        <sz val="10"/>
        <color rgb="FF0080FF"/>
        <rFont val="Consolas"/>
        <family val="3"/>
      </rPr>
      <t>IS</t>
    </r>
    <r>
      <rPr>
        <b/>
        <sz val="10"/>
        <color theme="1"/>
        <rFont val="Consolas"/>
        <family val="3"/>
      </rPr>
      <t xml:space="preserve"> </t>
    </r>
    <r>
      <rPr>
        <b/>
        <sz val="10"/>
        <color rgb="FFFF2800"/>
        <rFont val="Consolas"/>
        <family val="3"/>
      </rPr>
      <t>'rnt解約違約金金額'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</si>
  <si>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rrelative_op_1 </t>
    </r>
    <r>
      <rPr>
        <b/>
        <sz val="10"/>
        <color rgb="FF0080FF"/>
        <rFont val="Consolas"/>
        <family val="3"/>
      </rPr>
      <t>IS</t>
    </r>
    <r>
      <rPr>
        <b/>
        <sz val="10"/>
        <color theme="1"/>
        <rFont val="Consolas"/>
        <family val="3"/>
      </rPr>
      <t xml:space="preserve"> </t>
    </r>
    <r>
      <rPr>
        <b/>
        <sz val="10"/>
        <color rgb="FFFF2800"/>
        <rFont val="Consolas"/>
        <family val="3"/>
      </rPr>
      <t>'r相対op1'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</si>
  <si>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rrelative_plan_1 </t>
    </r>
    <r>
      <rPr>
        <b/>
        <sz val="10"/>
        <color rgb="FF0080FF"/>
        <rFont val="Consolas"/>
        <family val="3"/>
      </rPr>
      <t>IS</t>
    </r>
    <r>
      <rPr>
        <b/>
        <sz val="10"/>
        <color theme="1"/>
        <rFont val="Consolas"/>
        <family val="3"/>
      </rPr>
      <t xml:space="preserve"> </t>
    </r>
    <r>
      <rPr>
        <b/>
        <sz val="10"/>
        <color rgb="FFFF2800"/>
        <rFont val="Consolas"/>
        <family val="3"/>
      </rPr>
      <t>'r相対プラン1'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</si>
  <si>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rrelative_discount_method_1 </t>
    </r>
    <r>
      <rPr>
        <b/>
        <sz val="10"/>
        <color rgb="FF0080FF"/>
        <rFont val="Consolas"/>
        <family val="3"/>
      </rPr>
      <t>IS</t>
    </r>
    <r>
      <rPr>
        <b/>
        <sz val="10"/>
        <color theme="1"/>
        <rFont val="Consolas"/>
        <family val="3"/>
      </rPr>
      <t xml:space="preserve"> </t>
    </r>
    <r>
      <rPr>
        <b/>
        <sz val="10"/>
        <color rgb="FFFF2800"/>
        <rFont val="Consolas"/>
        <family val="3"/>
      </rPr>
      <t>'r相対割引方法1'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</si>
  <si>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rrelative_effective_start_date_1 </t>
    </r>
    <r>
      <rPr>
        <b/>
        <sz val="10"/>
        <color rgb="FF0080FF"/>
        <rFont val="Consolas"/>
        <family val="3"/>
      </rPr>
      <t>IS</t>
    </r>
    <r>
      <rPr>
        <b/>
        <sz val="10"/>
        <color theme="1"/>
        <rFont val="Consolas"/>
        <family val="3"/>
      </rPr>
      <t xml:space="preserve"> </t>
    </r>
    <r>
      <rPr>
        <b/>
        <sz val="10"/>
        <color rgb="FFFF2800"/>
        <rFont val="Consolas"/>
        <family val="3"/>
      </rPr>
      <t>'r相対有効開始日1'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</si>
  <si>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rrelative_effective_end_date_1 </t>
    </r>
    <r>
      <rPr>
        <b/>
        <sz val="10"/>
        <color rgb="FF0080FF"/>
        <rFont val="Consolas"/>
        <family val="3"/>
      </rPr>
      <t>IS</t>
    </r>
    <r>
      <rPr>
        <b/>
        <sz val="10"/>
        <color theme="1"/>
        <rFont val="Consolas"/>
        <family val="3"/>
      </rPr>
      <t xml:space="preserve"> </t>
    </r>
    <r>
      <rPr>
        <b/>
        <sz val="10"/>
        <color rgb="FFFF2800"/>
        <rFont val="Consolas"/>
        <family val="3"/>
      </rPr>
      <t>'r相対有効終了日1'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</si>
  <si>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rrelative_amount_1 </t>
    </r>
    <r>
      <rPr>
        <b/>
        <sz val="10"/>
        <color rgb="FF0080FF"/>
        <rFont val="Consolas"/>
        <family val="3"/>
      </rPr>
      <t>IS</t>
    </r>
    <r>
      <rPr>
        <b/>
        <sz val="10"/>
        <color theme="1"/>
        <rFont val="Consolas"/>
        <family val="3"/>
      </rPr>
      <t xml:space="preserve"> </t>
    </r>
    <r>
      <rPr>
        <b/>
        <sz val="10"/>
        <color rgb="FFFF2800"/>
        <rFont val="Consolas"/>
        <family val="3"/>
      </rPr>
      <t>'r相対金額1'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</si>
  <si>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rrelative_period_1 </t>
    </r>
    <r>
      <rPr>
        <b/>
        <sz val="10"/>
        <color rgb="FF0080FF"/>
        <rFont val="Consolas"/>
        <family val="3"/>
      </rPr>
      <t>IS</t>
    </r>
    <r>
      <rPr>
        <b/>
        <sz val="10"/>
        <color theme="1"/>
        <rFont val="Consolas"/>
        <family val="3"/>
      </rPr>
      <t xml:space="preserve"> </t>
    </r>
    <r>
      <rPr>
        <b/>
        <sz val="10"/>
        <color rgb="FFFF2800"/>
        <rFont val="Consolas"/>
        <family val="3"/>
      </rPr>
      <t>'r相対期間1'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</si>
  <si>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rrelative_op_2 </t>
    </r>
    <r>
      <rPr>
        <b/>
        <sz val="10"/>
        <color rgb="FF0080FF"/>
        <rFont val="Consolas"/>
        <family val="3"/>
      </rPr>
      <t>IS</t>
    </r>
    <r>
      <rPr>
        <b/>
        <sz val="10"/>
        <color theme="1"/>
        <rFont val="Consolas"/>
        <family val="3"/>
      </rPr>
      <t xml:space="preserve"> </t>
    </r>
    <r>
      <rPr>
        <b/>
        <sz val="10"/>
        <color rgb="FFFF2800"/>
        <rFont val="Consolas"/>
        <family val="3"/>
      </rPr>
      <t>'r相対op2'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</si>
  <si>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rrelative_plan_2 </t>
    </r>
    <r>
      <rPr>
        <b/>
        <sz val="10"/>
        <color rgb="FF0080FF"/>
        <rFont val="Consolas"/>
        <family val="3"/>
      </rPr>
      <t>IS</t>
    </r>
    <r>
      <rPr>
        <b/>
        <sz val="10"/>
        <color theme="1"/>
        <rFont val="Consolas"/>
        <family val="3"/>
      </rPr>
      <t xml:space="preserve"> </t>
    </r>
    <r>
      <rPr>
        <b/>
        <sz val="10"/>
        <color rgb="FFFF2800"/>
        <rFont val="Consolas"/>
        <family val="3"/>
      </rPr>
      <t>'r相対プラン2'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</si>
  <si>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rrelative_discount_method_2 </t>
    </r>
    <r>
      <rPr>
        <b/>
        <sz val="10"/>
        <color rgb="FF0080FF"/>
        <rFont val="Consolas"/>
        <family val="3"/>
      </rPr>
      <t>IS</t>
    </r>
    <r>
      <rPr>
        <b/>
        <sz val="10"/>
        <color theme="1"/>
        <rFont val="Consolas"/>
        <family val="3"/>
      </rPr>
      <t xml:space="preserve"> </t>
    </r>
    <r>
      <rPr>
        <b/>
        <sz val="10"/>
        <color rgb="FFFF2800"/>
        <rFont val="Consolas"/>
        <family val="3"/>
      </rPr>
      <t>'r相対割引方法2'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</si>
  <si>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rrelative_effective_start_date_2 </t>
    </r>
    <r>
      <rPr>
        <b/>
        <sz val="10"/>
        <color rgb="FF0080FF"/>
        <rFont val="Consolas"/>
        <family val="3"/>
      </rPr>
      <t>IS</t>
    </r>
    <r>
      <rPr>
        <b/>
        <sz val="10"/>
        <color theme="1"/>
        <rFont val="Consolas"/>
        <family val="3"/>
      </rPr>
      <t xml:space="preserve"> </t>
    </r>
    <r>
      <rPr>
        <b/>
        <sz val="10"/>
        <color rgb="FFFF2800"/>
        <rFont val="Consolas"/>
        <family val="3"/>
      </rPr>
      <t>'r相対有効開始日2'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</si>
  <si>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rrelative_effective_end_date_2 </t>
    </r>
    <r>
      <rPr>
        <b/>
        <sz val="10"/>
        <color rgb="FF0080FF"/>
        <rFont val="Consolas"/>
        <family val="3"/>
      </rPr>
      <t>IS</t>
    </r>
    <r>
      <rPr>
        <b/>
        <sz val="10"/>
        <color theme="1"/>
        <rFont val="Consolas"/>
        <family val="3"/>
      </rPr>
      <t xml:space="preserve"> </t>
    </r>
    <r>
      <rPr>
        <b/>
        <sz val="10"/>
        <color rgb="FFFF2800"/>
        <rFont val="Consolas"/>
        <family val="3"/>
      </rPr>
      <t>'r相対有効終了日2'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</si>
  <si>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rrelative_amount_2 </t>
    </r>
    <r>
      <rPr>
        <b/>
        <sz val="10"/>
        <color rgb="FF0080FF"/>
        <rFont val="Consolas"/>
        <family val="3"/>
      </rPr>
      <t>IS</t>
    </r>
    <r>
      <rPr>
        <b/>
        <sz val="10"/>
        <color theme="1"/>
        <rFont val="Consolas"/>
        <family val="3"/>
      </rPr>
      <t xml:space="preserve"> </t>
    </r>
    <r>
      <rPr>
        <b/>
        <sz val="10"/>
        <color rgb="FFFF2800"/>
        <rFont val="Consolas"/>
        <family val="3"/>
      </rPr>
      <t>'r相対金額2'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</si>
  <si>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rrelative_period_2 </t>
    </r>
    <r>
      <rPr>
        <b/>
        <sz val="10"/>
        <color rgb="FF0080FF"/>
        <rFont val="Consolas"/>
        <family val="3"/>
      </rPr>
      <t>IS</t>
    </r>
    <r>
      <rPr>
        <b/>
        <sz val="10"/>
        <color theme="1"/>
        <rFont val="Consolas"/>
        <family val="3"/>
      </rPr>
      <t xml:space="preserve"> </t>
    </r>
    <r>
      <rPr>
        <b/>
        <sz val="10"/>
        <color rgb="FFFF2800"/>
        <rFont val="Consolas"/>
        <family val="3"/>
      </rPr>
      <t>'r相対期間2'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</si>
  <si>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rrelative_op_3 </t>
    </r>
    <r>
      <rPr>
        <b/>
        <sz val="10"/>
        <color rgb="FF0080FF"/>
        <rFont val="Consolas"/>
        <family val="3"/>
      </rPr>
      <t>IS</t>
    </r>
    <r>
      <rPr>
        <b/>
        <sz val="10"/>
        <color theme="1"/>
        <rFont val="Consolas"/>
        <family val="3"/>
      </rPr>
      <t xml:space="preserve"> </t>
    </r>
    <r>
      <rPr>
        <b/>
        <sz val="10"/>
        <color rgb="FFFF2800"/>
        <rFont val="Consolas"/>
        <family val="3"/>
      </rPr>
      <t>'r相対op3'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</si>
  <si>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rrelative_plan_3 </t>
    </r>
    <r>
      <rPr>
        <b/>
        <sz val="10"/>
        <color rgb="FF0080FF"/>
        <rFont val="Consolas"/>
        <family val="3"/>
      </rPr>
      <t>IS</t>
    </r>
    <r>
      <rPr>
        <b/>
        <sz val="10"/>
        <color theme="1"/>
        <rFont val="Consolas"/>
        <family val="3"/>
      </rPr>
      <t xml:space="preserve"> </t>
    </r>
    <r>
      <rPr>
        <b/>
        <sz val="10"/>
        <color rgb="FFFF2800"/>
        <rFont val="Consolas"/>
        <family val="3"/>
      </rPr>
      <t>'r相対プラン3'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</si>
  <si>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rrelative_discount_method_3 </t>
    </r>
    <r>
      <rPr>
        <b/>
        <sz val="10"/>
        <color rgb="FF0080FF"/>
        <rFont val="Consolas"/>
        <family val="3"/>
      </rPr>
      <t>IS</t>
    </r>
    <r>
      <rPr>
        <b/>
        <sz val="10"/>
        <color theme="1"/>
        <rFont val="Consolas"/>
        <family val="3"/>
      </rPr>
      <t xml:space="preserve"> </t>
    </r>
    <r>
      <rPr>
        <b/>
        <sz val="10"/>
        <color rgb="FFFF2800"/>
        <rFont val="Consolas"/>
        <family val="3"/>
      </rPr>
      <t>'r相対割引方法3'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</si>
  <si>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rrelative_effective_start_date_3 </t>
    </r>
    <r>
      <rPr>
        <b/>
        <sz val="10"/>
        <color rgb="FF0080FF"/>
        <rFont val="Consolas"/>
        <family val="3"/>
      </rPr>
      <t>IS</t>
    </r>
    <r>
      <rPr>
        <b/>
        <sz val="10"/>
        <color theme="1"/>
        <rFont val="Consolas"/>
        <family val="3"/>
      </rPr>
      <t xml:space="preserve"> </t>
    </r>
    <r>
      <rPr>
        <b/>
        <sz val="10"/>
        <color rgb="FFFF2800"/>
        <rFont val="Consolas"/>
        <family val="3"/>
      </rPr>
      <t>'r相対有効開始日3'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</si>
  <si>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rrelative_effective_end_date_3 </t>
    </r>
    <r>
      <rPr>
        <b/>
        <sz val="10"/>
        <color rgb="FF0080FF"/>
        <rFont val="Consolas"/>
        <family val="3"/>
      </rPr>
      <t>IS</t>
    </r>
    <r>
      <rPr>
        <b/>
        <sz val="10"/>
        <color theme="1"/>
        <rFont val="Consolas"/>
        <family val="3"/>
      </rPr>
      <t xml:space="preserve"> </t>
    </r>
    <r>
      <rPr>
        <b/>
        <sz val="10"/>
        <color rgb="FFFF2800"/>
        <rFont val="Consolas"/>
        <family val="3"/>
      </rPr>
      <t>'r相対有効終了日3'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</si>
  <si>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rrelative_amount_3 </t>
    </r>
    <r>
      <rPr>
        <b/>
        <sz val="10"/>
        <color rgb="FF0080FF"/>
        <rFont val="Consolas"/>
        <family val="3"/>
      </rPr>
      <t>IS</t>
    </r>
    <r>
      <rPr>
        <b/>
        <sz val="10"/>
        <color theme="1"/>
        <rFont val="Consolas"/>
        <family val="3"/>
      </rPr>
      <t xml:space="preserve"> </t>
    </r>
    <r>
      <rPr>
        <b/>
        <sz val="10"/>
        <color rgb="FFFF2800"/>
        <rFont val="Consolas"/>
        <family val="3"/>
      </rPr>
      <t>'r相対金額3'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</si>
  <si>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rrelative_period_3 </t>
    </r>
    <r>
      <rPr>
        <b/>
        <sz val="10"/>
        <color rgb="FF0080FF"/>
        <rFont val="Consolas"/>
        <family val="3"/>
      </rPr>
      <t>IS</t>
    </r>
    <r>
      <rPr>
        <b/>
        <sz val="10"/>
        <color theme="1"/>
        <rFont val="Consolas"/>
        <family val="3"/>
      </rPr>
      <t xml:space="preserve"> </t>
    </r>
    <r>
      <rPr>
        <b/>
        <sz val="10"/>
        <color rgb="FFFF2800"/>
        <rFont val="Consolas"/>
        <family val="3"/>
      </rPr>
      <t>'r相対期間3'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</si>
  <si>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rrelative_op_4 </t>
    </r>
    <r>
      <rPr>
        <b/>
        <sz val="10"/>
        <color rgb="FF0080FF"/>
        <rFont val="Consolas"/>
        <family val="3"/>
      </rPr>
      <t>IS</t>
    </r>
    <r>
      <rPr>
        <b/>
        <sz val="10"/>
        <color theme="1"/>
        <rFont val="Consolas"/>
        <family val="3"/>
      </rPr>
      <t xml:space="preserve"> </t>
    </r>
    <r>
      <rPr>
        <b/>
        <sz val="10"/>
        <color rgb="FFFF2800"/>
        <rFont val="Consolas"/>
        <family val="3"/>
      </rPr>
      <t>'r相対op4'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</si>
  <si>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rrelative_plan_4 </t>
    </r>
    <r>
      <rPr>
        <b/>
        <sz val="10"/>
        <color rgb="FF0080FF"/>
        <rFont val="Consolas"/>
        <family val="3"/>
      </rPr>
      <t>IS</t>
    </r>
    <r>
      <rPr>
        <b/>
        <sz val="10"/>
        <color theme="1"/>
        <rFont val="Consolas"/>
        <family val="3"/>
      </rPr>
      <t xml:space="preserve"> </t>
    </r>
    <r>
      <rPr>
        <b/>
        <sz val="10"/>
        <color rgb="FFFF2800"/>
        <rFont val="Consolas"/>
        <family val="3"/>
      </rPr>
      <t>'r相対プラン4'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</si>
  <si>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rrelative_discount_discount_method_4 </t>
    </r>
    <r>
      <rPr>
        <b/>
        <sz val="10"/>
        <color rgb="FF0080FF"/>
        <rFont val="Consolas"/>
        <family val="3"/>
      </rPr>
      <t>IS</t>
    </r>
    <r>
      <rPr>
        <b/>
        <sz val="10"/>
        <color theme="1"/>
        <rFont val="Consolas"/>
        <family val="3"/>
      </rPr>
      <t xml:space="preserve"> </t>
    </r>
    <r>
      <rPr>
        <b/>
        <sz val="10"/>
        <color rgb="FFFF2800"/>
        <rFont val="Consolas"/>
        <family val="3"/>
      </rPr>
      <t>'r相対割引方法4'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</si>
  <si>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rrelative_effective_start_date_4 </t>
    </r>
    <r>
      <rPr>
        <b/>
        <sz val="10"/>
        <color rgb="FF0080FF"/>
        <rFont val="Consolas"/>
        <family val="3"/>
      </rPr>
      <t>IS</t>
    </r>
    <r>
      <rPr>
        <b/>
        <sz val="10"/>
        <color theme="1"/>
        <rFont val="Consolas"/>
        <family val="3"/>
      </rPr>
      <t xml:space="preserve"> </t>
    </r>
    <r>
      <rPr>
        <b/>
        <sz val="10"/>
        <color rgb="FFFF2800"/>
        <rFont val="Consolas"/>
        <family val="3"/>
      </rPr>
      <t>'r相対有効開始日4'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</si>
  <si>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rrelative_effective_end_date_4 </t>
    </r>
    <r>
      <rPr>
        <b/>
        <sz val="10"/>
        <color rgb="FF0080FF"/>
        <rFont val="Consolas"/>
        <family val="3"/>
      </rPr>
      <t>IS</t>
    </r>
    <r>
      <rPr>
        <b/>
        <sz val="10"/>
        <color theme="1"/>
        <rFont val="Consolas"/>
        <family val="3"/>
      </rPr>
      <t xml:space="preserve"> </t>
    </r>
    <r>
      <rPr>
        <b/>
        <sz val="10"/>
        <color rgb="FFFF2800"/>
        <rFont val="Consolas"/>
        <family val="3"/>
      </rPr>
      <t>'r相対有効終了日4'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</si>
  <si>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rrelative_amount_4 </t>
    </r>
    <r>
      <rPr>
        <b/>
        <sz val="10"/>
        <color rgb="FF0080FF"/>
        <rFont val="Consolas"/>
        <family val="3"/>
      </rPr>
      <t>IS</t>
    </r>
    <r>
      <rPr>
        <b/>
        <sz val="10"/>
        <color theme="1"/>
        <rFont val="Consolas"/>
        <family val="3"/>
      </rPr>
      <t xml:space="preserve"> </t>
    </r>
    <r>
      <rPr>
        <b/>
        <sz val="10"/>
        <color rgb="FFFF2800"/>
        <rFont val="Consolas"/>
        <family val="3"/>
      </rPr>
      <t>'r相対金額4'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</si>
  <si>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rrelative_period_4 </t>
    </r>
    <r>
      <rPr>
        <b/>
        <sz val="10"/>
        <color rgb="FF0080FF"/>
        <rFont val="Consolas"/>
        <family val="3"/>
      </rPr>
      <t>IS</t>
    </r>
    <r>
      <rPr>
        <b/>
        <sz val="10"/>
        <color theme="1"/>
        <rFont val="Consolas"/>
        <family val="3"/>
      </rPr>
      <t xml:space="preserve"> </t>
    </r>
    <r>
      <rPr>
        <b/>
        <sz val="10"/>
        <color rgb="FFFF2800"/>
        <rFont val="Consolas"/>
        <family val="3"/>
      </rPr>
      <t>'r相対期間4'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</si>
  <si>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rrelative_op_5 </t>
    </r>
    <r>
      <rPr>
        <b/>
        <sz val="10"/>
        <color rgb="FF0080FF"/>
        <rFont val="Consolas"/>
        <family val="3"/>
      </rPr>
      <t>IS</t>
    </r>
    <r>
      <rPr>
        <b/>
        <sz val="10"/>
        <color theme="1"/>
        <rFont val="Consolas"/>
        <family val="3"/>
      </rPr>
      <t xml:space="preserve"> </t>
    </r>
    <r>
      <rPr>
        <b/>
        <sz val="10"/>
        <color rgb="FFFF2800"/>
        <rFont val="Consolas"/>
        <family val="3"/>
      </rPr>
      <t>'r相対op5'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</si>
  <si>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rrelative_plan_5 </t>
    </r>
    <r>
      <rPr>
        <b/>
        <sz val="10"/>
        <color rgb="FF0080FF"/>
        <rFont val="Consolas"/>
        <family val="3"/>
      </rPr>
      <t>IS</t>
    </r>
    <r>
      <rPr>
        <b/>
        <sz val="10"/>
        <color theme="1"/>
        <rFont val="Consolas"/>
        <family val="3"/>
      </rPr>
      <t xml:space="preserve"> </t>
    </r>
    <r>
      <rPr>
        <b/>
        <sz val="10"/>
        <color rgb="FFFF2800"/>
        <rFont val="Consolas"/>
        <family val="3"/>
      </rPr>
      <t>'r相対プラン5'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</si>
  <si>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rrelative_discount_method_5 </t>
    </r>
    <r>
      <rPr>
        <b/>
        <sz val="10"/>
        <color rgb="FF0080FF"/>
        <rFont val="Consolas"/>
        <family val="3"/>
      </rPr>
      <t>IS</t>
    </r>
    <r>
      <rPr>
        <b/>
        <sz val="10"/>
        <color theme="1"/>
        <rFont val="Consolas"/>
        <family val="3"/>
      </rPr>
      <t xml:space="preserve"> </t>
    </r>
    <r>
      <rPr>
        <b/>
        <sz val="10"/>
        <color rgb="FFFF2800"/>
        <rFont val="Consolas"/>
        <family val="3"/>
      </rPr>
      <t>'r相対割引方法5'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</si>
  <si>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rrelative_effective_start_date_5 </t>
    </r>
    <r>
      <rPr>
        <b/>
        <sz val="10"/>
        <color rgb="FF0080FF"/>
        <rFont val="Consolas"/>
        <family val="3"/>
      </rPr>
      <t>IS</t>
    </r>
    <r>
      <rPr>
        <b/>
        <sz val="10"/>
        <color theme="1"/>
        <rFont val="Consolas"/>
        <family val="3"/>
      </rPr>
      <t xml:space="preserve"> </t>
    </r>
    <r>
      <rPr>
        <b/>
        <sz val="10"/>
        <color rgb="FFFF2800"/>
        <rFont val="Consolas"/>
        <family val="3"/>
      </rPr>
      <t>'r相対有効開始日5'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</si>
  <si>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rrelative_effective_end_date_5 </t>
    </r>
    <r>
      <rPr>
        <b/>
        <sz val="10"/>
        <color rgb="FF0080FF"/>
        <rFont val="Consolas"/>
        <family val="3"/>
      </rPr>
      <t>IS</t>
    </r>
    <r>
      <rPr>
        <b/>
        <sz val="10"/>
        <color theme="1"/>
        <rFont val="Consolas"/>
        <family val="3"/>
      </rPr>
      <t xml:space="preserve"> </t>
    </r>
    <r>
      <rPr>
        <b/>
        <sz val="10"/>
        <color rgb="FFFF2800"/>
        <rFont val="Consolas"/>
        <family val="3"/>
      </rPr>
      <t>'r相対有効終了日5'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</si>
  <si>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rrelative_amount_5 </t>
    </r>
    <r>
      <rPr>
        <b/>
        <sz val="10"/>
        <color rgb="FF0080FF"/>
        <rFont val="Consolas"/>
        <family val="3"/>
      </rPr>
      <t>IS</t>
    </r>
    <r>
      <rPr>
        <b/>
        <sz val="10"/>
        <color theme="1"/>
        <rFont val="Consolas"/>
        <family val="3"/>
      </rPr>
      <t xml:space="preserve"> </t>
    </r>
    <r>
      <rPr>
        <b/>
        <sz val="10"/>
        <color rgb="FFFF2800"/>
        <rFont val="Consolas"/>
        <family val="3"/>
      </rPr>
      <t>'r相対金額5'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</si>
  <si>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rrelative_period_5 </t>
    </r>
    <r>
      <rPr>
        <b/>
        <sz val="10"/>
        <color rgb="FF0080FF"/>
        <rFont val="Consolas"/>
        <family val="3"/>
      </rPr>
      <t>IS</t>
    </r>
    <r>
      <rPr>
        <b/>
        <sz val="10"/>
        <color theme="1"/>
        <rFont val="Consolas"/>
        <family val="3"/>
      </rPr>
      <t xml:space="preserve"> </t>
    </r>
    <r>
      <rPr>
        <b/>
        <sz val="10"/>
        <color rgb="FFFF2800"/>
        <rFont val="Consolas"/>
        <family val="3"/>
      </rPr>
      <t>'r相対期間5'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</si>
  <si>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rrelative_other_pd_name_1 </t>
    </r>
    <r>
      <rPr>
        <b/>
        <sz val="10"/>
        <color rgb="FF0080FF"/>
        <rFont val="Consolas"/>
        <family val="3"/>
      </rPr>
      <t>IS</t>
    </r>
    <r>
      <rPr>
        <b/>
        <sz val="10"/>
        <color theme="1"/>
        <rFont val="Consolas"/>
        <family val="3"/>
      </rPr>
      <t xml:space="preserve"> </t>
    </r>
    <r>
      <rPr>
        <b/>
        <sz val="10"/>
        <color rgb="FFFF2800"/>
        <rFont val="Consolas"/>
        <family val="3"/>
      </rPr>
      <t>'r相対他pd名称1'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</si>
  <si>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rrelative_other_discount_method_1 </t>
    </r>
    <r>
      <rPr>
        <b/>
        <sz val="10"/>
        <color rgb="FF0080FF"/>
        <rFont val="Consolas"/>
        <family val="3"/>
      </rPr>
      <t>IS</t>
    </r>
    <r>
      <rPr>
        <b/>
        <sz val="10"/>
        <color theme="1"/>
        <rFont val="Consolas"/>
        <family val="3"/>
      </rPr>
      <t xml:space="preserve"> </t>
    </r>
    <r>
      <rPr>
        <b/>
        <sz val="10"/>
        <color rgb="FFFF2800"/>
        <rFont val="Consolas"/>
        <family val="3"/>
      </rPr>
      <t>'r相対他割引方法1'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</si>
  <si>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rrelative_other_effective_start_date_1 </t>
    </r>
    <r>
      <rPr>
        <b/>
        <sz val="10"/>
        <color rgb="FF0080FF"/>
        <rFont val="Consolas"/>
        <family val="3"/>
      </rPr>
      <t>IS</t>
    </r>
    <r>
      <rPr>
        <b/>
        <sz val="10"/>
        <color theme="1"/>
        <rFont val="Consolas"/>
        <family val="3"/>
      </rPr>
      <t xml:space="preserve"> </t>
    </r>
    <r>
      <rPr>
        <b/>
        <sz val="10"/>
        <color rgb="FFFF2800"/>
        <rFont val="Consolas"/>
        <family val="3"/>
      </rPr>
      <t>'r相対他有効開始日1'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</si>
  <si>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rrelative_other_effective_end_date_1 </t>
    </r>
    <r>
      <rPr>
        <b/>
        <sz val="10"/>
        <color rgb="FF0080FF"/>
        <rFont val="Consolas"/>
        <family val="3"/>
      </rPr>
      <t>IS</t>
    </r>
    <r>
      <rPr>
        <b/>
        <sz val="10"/>
        <color theme="1"/>
        <rFont val="Consolas"/>
        <family val="3"/>
      </rPr>
      <t xml:space="preserve"> </t>
    </r>
    <r>
      <rPr>
        <b/>
        <sz val="10"/>
        <color rgb="FFFF2800"/>
        <rFont val="Consolas"/>
        <family val="3"/>
      </rPr>
      <t>'r相対他有効終了日1'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</si>
  <si>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rrelative_other_amount_1 </t>
    </r>
    <r>
      <rPr>
        <b/>
        <sz val="10"/>
        <color rgb="FF0080FF"/>
        <rFont val="Consolas"/>
        <family val="3"/>
      </rPr>
      <t>IS</t>
    </r>
    <r>
      <rPr>
        <b/>
        <sz val="10"/>
        <color theme="1"/>
        <rFont val="Consolas"/>
        <family val="3"/>
      </rPr>
      <t xml:space="preserve"> </t>
    </r>
    <r>
      <rPr>
        <b/>
        <sz val="10"/>
        <color rgb="FFFF2800"/>
        <rFont val="Consolas"/>
        <family val="3"/>
      </rPr>
      <t>'r相対他金額1'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</si>
  <si>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rrelative_other_period_1 </t>
    </r>
    <r>
      <rPr>
        <b/>
        <sz val="10"/>
        <color rgb="FF0080FF"/>
        <rFont val="Consolas"/>
        <family val="3"/>
      </rPr>
      <t>IS</t>
    </r>
    <r>
      <rPr>
        <b/>
        <sz val="10"/>
        <color theme="1"/>
        <rFont val="Consolas"/>
        <family val="3"/>
      </rPr>
      <t xml:space="preserve"> </t>
    </r>
    <r>
      <rPr>
        <b/>
        <sz val="10"/>
        <color rgb="FFFF2800"/>
        <rFont val="Consolas"/>
        <family val="3"/>
      </rPr>
      <t>'r相対他期間1'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</si>
  <si>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rrelative_other_pd_name_2 </t>
    </r>
    <r>
      <rPr>
        <b/>
        <sz val="10"/>
        <color rgb="FF0080FF"/>
        <rFont val="Consolas"/>
        <family val="3"/>
      </rPr>
      <t>IS</t>
    </r>
    <r>
      <rPr>
        <b/>
        <sz val="10"/>
        <color theme="1"/>
        <rFont val="Consolas"/>
        <family val="3"/>
      </rPr>
      <t xml:space="preserve"> </t>
    </r>
    <r>
      <rPr>
        <b/>
        <sz val="10"/>
        <color rgb="FFFF2800"/>
        <rFont val="Consolas"/>
        <family val="3"/>
      </rPr>
      <t>'r相対他pd名称2'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</si>
  <si>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rrelative_other_discount_method_2 </t>
    </r>
    <r>
      <rPr>
        <b/>
        <sz val="10"/>
        <color rgb="FF0080FF"/>
        <rFont val="Consolas"/>
        <family val="3"/>
      </rPr>
      <t>IS</t>
    </r>
    <r>
      <rPr>
        <b/>
        <sz val="10"/>
        <color theme="1"/>
        <rFont val="Consolas"/>
        <family val="3"/>
      </rPr>
      <t xml:space="preserve"> </t>
    </r>
    <r>
      <rPr>
        <b/>
        <sz val="10"/>
        <color rgb="FFFF2800"/>
        <rFont val="Consolas"/>
        <family val="3"/>
      </rPr>
      <t>'r相対他割引方法2'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</si>
  <si>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rrelative_other_effective_start_date_2 </t>
    </r>
    <r>
      <rPr>
        <b/>
        <sz val="10"/>
        <color rgb="FF0080FF"/>
        <rFont val="Consolas"/>
        <family val="3"/>
      </rPr>
      <t>IS</t>
    </r>
    <r>
      <rPr>
        <b/>
        <sz val="10"/>
        <color theme="1"/>
        <rFont val="Consolas"/>
        <family val="3"/>
      </rPr>
      <t xml:space="preserve"> </t>
    </r>
    <r>
      <rPr>
        <b/>
        <sz val="10"/>
        <color rgb="FFFF2800"/>
        <rFont val="Consolas"/>
        <family val="3"/>
      </rPr>
      <t>'r相対他有効開始日2'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</si>
  <si>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rrelative_other_effective_end_date_2 </t>
    </r>
    <r>
      <rPr>
        <b/>
        <sz val="10"/>
        <color rgb="FF0080FF"/>
        <rFont val="Consolas"/>
        <family val="3"/>
      </rPr>
      <t>IS</t>
    </r>
    <r>
      <rPr>
        <b/>
        <sz val="10"/>
        <color theme="1"/>
        <rFont val="Consolas"/>
        <family val="3"/>
      </rPr>
      <t xml:space="preserve"> </t>
    </r>
    <r>
      <rPr>
        <b/>
        <sz val="10"/>
        <color rgb="FFFF2800"/>
        <rFont val="Consolas"/>
        <family val="3"/>
      </rPr>
      <t>'r相対他有効終了日2'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</si>
  <si>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rrelative_other_amount_2 </t>
    </r>
    <r>
      <rPr>
        <b/>
        <sz val="10"/>
        <color rgb="FF0080FF"/>
        <rFont val="Consolas"/>
        <family val="3"/>
      </rPr>
      <t>IS</t>
    </r>
    <r>
      <rPr>
        <b/>
        <sz val="10"/>
        <color theme="1"/>
        <rFont val="Consolas"/>
        <family val="3"/>
      </rPr>
      <t xml:space="preserve"> </t>
    </r>
    <r>
      <rPr>
        <b/>
        <sz val="10"/>
        <color rgb="FFFF2800"/>
        <rFont val="Consolas"/>
        <family val="3"/>
      </rPr>
      <t>'r相対他金額2'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</si>
  <si>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rrelative_other_period_2 </t>
    </r>
    <r>
      <rPr>
        <b/>
        <sz val="10"/>
        <color rgb="FF0080FF"/>
        <rFont val="Consolas"/>
        <family val="3"/>
      </rPr>
      <t>IS</t>
    </r>
    <r>
      <rPr>
        <b/>
        <sz val="10"/>
        <color theme="1"/>
        <rFont val="Consolas"/>
        <family val="3"/>
      </rPr>
      <t xml:space="preserve"> </t>
    </r>
    <r>
      <rPr>
        <b/>
        <sz val="10"/>
        <color rgb="FFFF2800"/>
        <rFont val="Consolas"/>
        <family val="3"/>
      </rPr>
      <t>'r相対他期間2'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</si>
  <si>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rrelative_other_pd_name_3 </t>
    </r>
    <r>
      <rPr>
        <b/>
        <sz val="10"/>
        <color rgb="FF0080FF"/>
        <rFont val="Consolas"/>
        <family val="3"/>
      </rPr>
      <t>IS</t>
    </r>
    <r>
      <rPr>
        <b/>
        <sz val="10"/>
        <color theme="1"/>
        <rFont val="Consolas"/>
        <family val="3"/>
      </rPr>
      <t xml:space="preserve"> </t>
    </r>
    <r>
      <rPr>
        <b/>
        <sz val="10"/>
        <color rgb="FFFF2800"/>
        <rFont val="Consolas"/>
        <family val="3"/>
      </rPr>
      <t>'r相対他pd名称3'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</si>
  <si>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rrelative_other_discount_method_3 </t>
    </r>
    <r>
      <rPr>
        <b/>
        <sz val="10"/>
        <color rgb="FF0080FF"/>
        <rFont val="Consolas"/>
        <family val="3"/>
      </rPr>
      <t>IS</t>
    </r>
    <r>
      <rPr>
        <b/>
        <sz val="10"/>
        <color theme="1"/>
        <rFont val="Consolas"/>
        <family val="3"/>
      </rPr>
      <t xml:space="preserve"> </t>
    </r>
    <r>
      <rPr>
        <b/>
        <sz val="10"/>
        <color rgb="FFFF2800"/>
        <rFont val="Consolas"/>
        <family val="3"/>
      </rPr>
      <t>'r相対他割引方法3'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</si>
  <si>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rrelative_other_effective_start_date_3 </t>
    </r>
    <r>
      <rPr>
        <b/>
        <sz val="10"/>
        <color rgb="FF0080FF"/>
        <rFont val="Consolas"/>
        <family val="3"/>
      </rPr>
      <t>IS</t>
    </r>
    <r>
      <rPr>
        <b/>
        <sz val="10"/>
        <color theme="1"/>
        <rFont val="Consolas"/>
        <family val="3"/>
      </rPr>
      <t xml:space="preserve"> </t>
    </r>
    <r>
      <rPr>
        <b/>
        <sz val="10"/>
        <color rgb="FFFF2800"/>
        <rFont val="Consolas"/>
        <family val="3"/>
      </rPr>
      <t>'r相対他有効開始日3'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</si>
  <si>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rrelative_other_effective_end_date_3 </t>
    </r>
    <r>
      <rPr>
        <b/>
        <sz val="10"/>
        <color rgb="FF0080FF"/>
        <rFont val="Consolas"/>
        <family val="3"/>
      </rPr>
      <t>IS</t>
    </r>
    <r>
      <rPr>
        <b/>
        <sz val="10"/>
        <color theme="1"/>
        <rFont val="Consolas"/>
        <family val="3"/>
      </rPr>
      <t xml:space="preserve"> </t>
    </r>
    <r>
      <rPr>
        <b/>
        <sz val="10"/>
        <color rgb="FFFF2800"/>
        <rFont val="Consolas"/>
        <family val="3"/>
      </rPr>
      <t>'r相対他有効終了日3'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</si>
  <si>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rrelative_other_amount_3 </t>
    </r>
    <r>
      <rPr>
        <b/>
        <sz val="10"/>
        <color rgb="FF0080FF"/>
        <rFont val="Consolas"/>
        <family val="3"/>
      </rPr>
      <t>IS</t>
    </r>
    <r>
      <rPr>
        <b/>
        <sz val="10"/>
        <color theme="1"/>
        <rFont val="Consolas"/>
        <family val="3"/>
      </rPr>
      <t xml:space="preserve"> </t>
    </r>
    <r>
      <rPr>
        <b/>
        <sz val="10"/>
        <color rgb="FFFF2800"/>
        <rFont val="Consolas"/>
        <family val="3"/>
      </rPr>
      <t>'r相対他金額3'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</si>
  <si>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rrelative_other_period_3 </t>
    </r>
    <r>
      <rPr>
        <b/>
        <sz val="10"/>
        <color rgb="FF0080FF"/>
        <rFont val="Consolas"/>
        <family val="3"/>
      </rPr>
      <t>IS</t>
    </r>
    <r>
      <rPr>
        <b/>
        <sz val="10"/>
        <color theme="1"/>
        <rFont val="Consolas"/>
        <family val="3"/>
      </rPr>
      <t xml:space="preserve"> </t>
    </r>
    <r>
      <rPr>
        <b/>
        <sz val="10"/>
        <color rgb="FFFF2800"/>
        <rFont val="Consolas"/>
        <family val="3"/>
      </rPr>
      <t>'r相対他期間3'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</si>
  <si>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rrelative_other_pd_name_4 </t>
    </r>
    <r>
      <rPr>
        <b/>
        <sz val="10"/>
        <color rgb="FF0080FF"/>
        <rFont val="Consolas"/>
        <family val="3"/>
      </rPr>
      <t>IS</t>
    </r>
    <r>
      <rPr>
        <b/>
        <sz val="10"/>
        <color theme="1"/>
        <rFont val="Consolas"/>
        <family val="3"/>
      </rPr>
      <t xml:space="preserve"> </t>
    </r>
    <r>
      <rPr>
        <b/>
        <sz val="10"/>
        <color rgb="FFFF2800"/>
        <rFont val="Consolas"/>
        <family val="3"/>
      </rPr>
      <t>'r相対他pd名称4'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</si>
  <si>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rrelative_other_discount_method_method_4 </t>
    </r>
    <r>
      <rPr>
        <b/>
        <sz val="10"/>
        <color rgb="FF0080FF"/>
        <rFont val="Consolas"/>
        <family val="3"/>
      </rPr>
      <t>IS</t>
    </r>
    <r>
      <rPr>
        <b/>
        <sz val="10"/>
        <color theme="1"/>
        <rFont val="Consolas"/>
        <family val="3"/>
      </rPr>
      <t xml:space="preserve"> </t>
    </r>
    <r>
      <rPr>
        <b/>
        <sz val="10"/>
        <color rgb="FFFF2800"/>
        <rFont val="Consolas"/>
        <family val="3"/>
      </rPr>
      <t>'r相対他割引方法4'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</si>
  <si>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r_relative_other_valid_start_date_4 </t>
    </r>
    <r>
      <rPr>
        <b/>
        <sz val="10"/>
        <color rgb="FF0080FF"/>
        <rFont val="Consolas"/>
        <family val="3"/>
      </rPr>
      <t>IS</t>
    </r>
    <r>
      <rPr>
        <b/>
        <sz val="10"/>
        <color theme="1"/>
        <rFont val="Consolas"/>
        <family val="3"/>
      </rPr>
      <t xml:space="preserve"> </t>
    </r>
    <r>
      <rPr>
        <b/>
        <sz val="10"/>
        <color rgb="FFFF2800"/>
        <rFont val="Consolas"/>
        <family val="3"/>
      </rPr>
      <t>'r相対他有効開始日4'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</si>
  <si>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r_relative_other_valid_end_date_4 </t>
    </r>
    <r>
      <rPr>
        <b/>
        <sz val="10"/>
        <color rgb="FF0080FF"/>
        <rFont val="Consolas"/>
        <family val="3"/>
      </rPr>
      <t>IS</t>
    </r>
    <r>
      <rPr>
        <b/>
        <sz val="10"/>
        <color theme="1"/>
        <rFont val="Consolas"/>
        <family val="3"/>
      </rPr>
      <t xml:space="preserve"> </t>
    </r>
    <r>
      <rPr>
        <b/>
        <sz val="10"/>
        <color rgb="FFFF2800"/>
        <rFont val="Consolas"/>
        <family val="3"/>
      </rPr>
      <t>'r相対他有効終了日4'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</si>
  <si>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r_relative_other_amount_4 </t>
    </r>
    <r>
      <rPr>
        <b/>
        <sz val="10"/>
        <color rgb="FF0080FF"/>
        <rFont val="Consolas"/>
        <family val="3"/>
      </rPr>
      <t>IS</t>
    </r>
    <r>
      <rPr>
        <b/>
        <sz val="10"/>
        <color theme="1"/>
        <rFont val="Consolas"/>
        <family val="3"/>
      </rPr>
      <t xml:space="preserve"> </t>
    </r>
    <r>
      <rPr>
        <b/>
        <sz val="10"/>
        <color rgb="FFFF2800"/>
        <rFont val="Consolas"/>
        <family val="3"/>
      </rPr>
      <t>'r相対他金額4'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</si>
  <si>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r_relative_other_period_4 </t>
    </r>
    <r>
      <rPr>
        <b/>
        <sz val="10"/>
        <color rgb="FF0080FF"/>
        <rFont val="Consolas"/>
        <family val="3"/>
      </rPr>
      <t>IS</t>
    </r>
    <r>
      <rPr>
        <b/>
        <sz val="10"/>
        <color theme="1"/>
        <rFont val="Consolas"/>
        <family val="3"/>
      </rPr>
      <t xml:space="preserve"> </t>
    </r>
    <r>
      <rPr>
        <b/>
        <sz val="10"/>
        <color rgb="FFFF2800"/>
        <rFont val="Consolas"/>
        <family val="3"/>
      </rPr>
      <t>'r相対他期間4'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</si>
  <si>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r_relative_other_pd_name_5 </t>
    </r>
    <r>
      <rPr>
        <b/>
        <sz val="10"/>
        <color rgb="FF0080FF"/>
        <rFont val="Consolas"/>
        <family val="3"/>
      </rPr>
      <t>IS</t>
    </r>
    <r>
      <rPr>
        <b/>
        <sz val="10"/>
        <color theme="1"/>
        <rFont val="Consolas"/>
        <family val="3"/>
      </rPr>
      <t xml:space="preserve"> </t>
    </r>
    <r>
      <rPr>
        <b/>
        <sz val="10"/>
        <color rgb="FFFF2800"/>
        <rFont val="Consolas"/>
        <family val="3"/>
      </rPr>
      <t>'r相対他pd名称5'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</si>
  <si>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r_relative_other_discount_method_5 </t>
    </r>
    <r>
      <rPr>
        <b/>
        <sz val="10"/>
        <color rgb="FF0080FF"/>
        <rFont val="Consolas"/>
        <family val="3"/>
      </rPr>
      <t>IS</t>
    </r>
    <r>
      <rPr>
        <b/>
        <sz val="10"/>
        <color theme="1"/>
        <rFont val="Consolas"/>
        <family val="3"/>
      </rPr>
      <t xml:space="preserve"> </t>
    </r>
    <r>
      <rPr>
        <b/>
        <sz val="10"/>
        <color rgb="FFFF2800"/>
        <rFont val="Consolas"/>
        <family val="3"/>
      </rPr>
      <t>'r相対他割引方法5'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</si>
  <si>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r_relative_other_valid_start_date_5 </t>
    </r>
    <r>
      <rPr>
        <b/>
        <sz val="10"/>
        <color rgb="FF0080FF"/>
        <rFont val="Consolas"/>
        <family val="3"/>
      </rPr>
      <t>IS</t>
    </r>
    <r>
      <rPr>
        <b/>
        <sz val="10"/>
        <color theme="1"/>
        <rFont val="Consolas"/>
        <family val="3"/>
      </rPr>
      <t xml:space="preserve"> </t>
    </r>
    <r>
      <rPr>
        <b/>
        <sz val="10"/>
        <color rgb="FFFF2800"/>
        <rFont val="Consolas"/>
        <family val="3"/>
      </rPr>
      <t>'r相対他有効開始日5'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</si>
  <si>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r_relative_other_valid_end_date_5 </t>
    </r>
    <r>
      <rPr>
        <b/>
        <sz val="10"/>
        <color rgb="FF0080FF"/>
        <rFont val="Consolas"/>
        <family val="3"/>
      </rPr>
      <t>IS</t>
    </r>
    <r>
      <rPr>
        <b/>
        <sz val="10"/>
        <color theme="1"/>
        <rFont val="Consolas"/>
        <family val="3"/>
      </rPr>
      <t xml:space="preserve"> </t>
    </r>
    <r>
      <rPr>
        <b/>
        <sz val="10"/>
        <color rgb="FFFF2800"/>
        <rFont val="Consolas"/>
        <family val="3"/>
      </rPr>
      <t>'r相対他有効終了日5'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</si>
  <si>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r_relative_other_amount_5 </t>
    </r>
    <r>
      <rPr>
        <b/>
        <sz val="10"/>
        <color rgb="FF0080FF"/>
        <rFont val="Consolas"/>
        <family val="3"/>
      </rPr>
      <t>IS</t>
    </r>
    <r>
      <rPr>
        <b/>
        <sz val="10"/>
        <color theme="1"/>
        <rFont val="Consolas"/>
        <family val="3"/>
      </rPr>
      <t xml:space="preserve"> </t>
    </r>
    <r>
      <rPr>
        <b/>
        <sz val="10"/>
        <color rgb="FFFF2800"/>
        <rFont val="Consolas"/>
        <family val="3"/>
      </rPr>
      <t>'r相対他金額5'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</si>
  <si>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r_relative_other_period_5 </t>
    </r>
    <r>
      <rPr>
        <b/>
        <sz val="10"/>
        <color rgb="FF0080FF"/>
        <rFont val="Consolas"/>
        <family val="3"/>
      </rPr>
      <t>IS</t>
    </r>
    <r>
      <rPr>
        <b/>
        <sz val="10"/>
        <color theme="1"/>
        <rFont val="Consolas"/>
        <family val="3"/>
      </rPr>
      <t xml:space="preserve"> </t>
    </r>
    <r>
      <rPr>
        <b/>
        <sz val="10"/>
        <color rgb="FFFF2800"/>
        <rFont val="Consolas"/>
        <family val="3"/>
      </rPr>
      <t>'r相対他期間5'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</si>
  <si>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plan_change_permission_range_1 </t>
    </r>
    <r>
      <rPr>
        <b/>
        <sz val="10"/>
        <color rgb="FF0080FF"/>
        <rFont val="Consolas"/>
        <family val="3"/>
      </rPr>
      <t>IS</t>
    </r>
    <r>
      <rPr>
        <b/>
        <sz val="10"/>
        <color theme="1"/>
        <rFont val="Consolas"/>
        <family val="3"/>
      </rPr>
      <t xml:space="preserve"> </t>
    </r>
    <r>
      <rPr>
        <b/>
        <sz val="10"/>
        <color rgb="FFFF2800"/>
        <rFont val="Consolas"/>
        <family val="3"/>
      </rPr>
      <t>'プラン変更許可範囲1'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</si>
  <si>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plan_change_permission_range_2 </t>
    </r>
    <r>
      <rPr>
        <b/>
        <sz val="10"/>
        <color rgb="FF0080FF"/>
        <rFont val="Consolas"/>
        <family val="3"/>
      </rPr>
      <t>IS</t>
    </r>
    <r>
      <rPr>
        <b/>
        <sz val="10"/>
        <color theme="1"/>
        <rFont val="Consolas"/>
        <family val="3"/>
      </rPr>
      <t xml:space="preserve"> </t>
    </r>
    <r>
      <rPr>
        <b/>
        <sz val="10"/>
        <color rgb="FFFF2800"/>
        <rFont val="Consolas"/>
        <family val="3"/>
      </rPr>
      <t>'プラン変更許可範囲2'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</si>
  <si>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plan_change_permission_range_3 </t>
    </r>
    <r>
      <rPr>
        <b/>
        <sz val="10"/>
        <color rgb="FF0080FF"/>
        <rFont val="Consolas"/>
        <family val="3"/>
      </rPr>
      <t>IS</t>
    </r>
    <r>
      <rPr>
        <b/>
        <sz val="10"/>
        <color theme="1"/>
        <rFont val="Consolas"/>
        <family val="3"/>
      </rPr>
      <t xml:space="preserve"> </t>
    </r>
    <r>
      <rPr>
        <b/>
        <sz val="10"/>
        <color rgb="FFFF2800"/>
        <rFont val="Consolas"/>
        <family val="3"/>
      </rPr>
      <t>'プラン変更許可範囲3'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</si>
  <si>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plan_change_permission_range_4 </t>
    </r>
    <r>
      <rPr>
        <b/>
        <sz val="10"/>
        <color rgb="FF0080FF"/>
        <rFont val="Consolas"/>
        <family val="3"/>
      </rPr>
      <t>IS</t>
    </r>
    <r>
      <rPr>
        <b/>
        <sz val="10"/>
        <color theme="1"/>
        <rFont val="Consolas"/>
        <family val="3"/>
      </rPr>
      <t xml:space="preserve"> </t>
    </r>
    <r>
      <rPr>
        <b/>
        <sz val="10"/>
        <color rgb="FFFF2800"/>
        <rFont val="Consolas"/>
        <family val="3"/>
      </rPr>
      <t>'プラン変更許可範囲4'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</si>
  <si>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plan_change_permission_range_5 </t>
    </r>
    <r>
      <rPr>
        <b/>
        <sz val="10"/>
        <color rgb="FF0080FF"/>
        <rFont val="Consolas"/>
        <family val="3"/>
      </rPr>
      <t>IS</t>
    </r>
    <r>
      <rPr>
        <b/>
        <sz val="10"/>
        <color theme="1"/>
        <rFont val="Consolas"/>
        <family val="3"/>
      </rPr>
      <t xml:space="preserve"> </t>
    </r>
    <r>
      <rPr>
        <b/>
        <sz val="10"/>
        <color rgb="FFFF2800"/>
        <rFont val="Consolas"/>
        <family val="3"/>
      </rPr>
      <t>'プラン変更許可範囲5'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</si>
  <si>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plan_change_permission_range_6 </t>
    </r>
    <r>
      <rPr>
        <b/>
        <sz val="10"/>
        <color rgb="FF0080FF"/>
        <rFont val="Consolas"/>
        <family val="3"/>
      </rPr>
      <t>IS</t>
    </r>
    <r>
      <rPr>
        <b/>
        <sz val="10"/>
        <color theme="1"/>
        <rFont val="Consolas"/>
        <family val="3"/>
      </rPr>
      <t xml:space="preserve"> </t>
    </r>
    <r>
      <rPr>
        <b/>
        <sz val="10"/>
        <color rgb="FFFF2800"/>
        <rFont val="Consolas"/>
        <family val="3"/>
      </rPr>
      <t>'プラン変更許可範囲6'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</si>
  <si>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plan_change_permission_range_7 </t>
    </r>
    <r>
      <rPr>
        <b/>
        <sz val="10"/>
        <color rgb="FF0080FF"/>
        <rFont val="Consolas"/>
        <family val="3"/>
      </rPr>
      <t>IS</t>
    </r>
    <r>
      <rPr>
        <b/>
        <sz val="10"/>
        <color theme="1"/>
        <rFont val="Consolas"/>
        <family val="3"/>
      </rPr>
      <t xml:space="preserve"> </t>
    </r>
    <r>
      <rPr>
        <b/>
        <sz val="10"/>
        <color rgb="FFFF2800"/>
        <rFont val="Consolas"/>
        <family val="3"/>
      </rPr>
      <t>'プラン変更許可範囲7'</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</si>
  <si>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plan_change_permission_range_8 </t>
    </r>
    <r>
      <rPr>
        <b/>
        <sz val="10"/>
        <color rgb="FF0080FF"/>
        <rFont val="Consolas"/>
        <family val="3"/>
      </rPr>
      <t>IS</t>
    </r>
    <r>
      <rPr>
        <b/>
        <sz val="10"/>
        <color theme="1"/>
        <rFont val="Consolas"/>
        <family val="3"/>
      </rPr>
      <t xml:space="preserve"> </t>
    </r>
    <r>
      <rPr>
        <b/>
        <sz val="10"/>
        <color rgb="FFFF2800"/>
        <rFont val="Consolas"/>
        <family val="3"/>
      </rPr>
      <t>'プラン変更許可範囲8'</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</si>
  <si>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plan_change_permission_range_9 </t>
    </r>
    <r>
      <rPr>
        <b/>
        <sz val="10"/>
        <color rgb="FF0080FF"/>
        <rFont val="Consolas"/>
        <family val="3"/>
      </rPr>
      <t>IS</t>
    </r>
    <r>
      <rPr>
        <b/>
        <sz val="10"/>
        <color theme="1"/>
        <rFont val="Consolas"/>
        <family val="3"/>
      </rPr>
      <t xml:space="preserve"> </t>
    </r>
    <r>
      <rPr>
        <b/>
        <sz val="10"/>
        <color rgb="FFFF2800"/>
        <rFont val="Consolas"/>
        <family val="3"/>
      </rPr>
      <t>'プラン変更許可範囲9'</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</si>
  <si>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cancellation_fee_exemption_rate </t>
    </r>
    <r>
      <rPr>
        <b/>
        <sz val="10"/>
        <color rgb="FF0080FF"/>
        <rFont val="Consolas"/>
        <family val="3"/>
      </rPr>
      <t>IS</t>
    </r>
    <r>
      <rPr>
        <b/>
        <sz val="10"/>
        <color theme="1"/>
        <rFont val="Consolas"/>
        <family val="3"/>
      </rPr>
      <t xml:space="preserve"> </t>
    </r>
    <r>
      <rPr>
        <b/>
        <sz val="10"/>
        <color rgb="FFFF2800"/>
        <rFont val="Consolas"/>
        <family val="3"/>
      </rPr>
      <t>'解除料免除率'</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</si>
  <si>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start_date_change </t>
    </r>
    <r>
      <rPr>
        <b/>
        <sz val="10"/>
        <color rgb="FF0080FF"/>
        <rFont val="Consolas"/>
        <family val="3"/>
      </rPr>
      <t>IS</t>
    </r>
    <r>
      <rPr>
        <b/>
        <sz val="10"/>
        <color theme="1"/>
        <rFont val="Consolas"/>
        <family val="3"/>
      </rPr>
      <t xml:space="preserve"> </t>
    </r>
    <r>
      <rPr>
        <b/>
        <sz val="10"/>
        <color rgb="FFFF2800"/>
        <rFont val="Consolas"/>
        <family val="3"/>
      </rPr>
      <t>'起算日変更'</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</si>
  <si>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summary_creator_id </t>
    </r>
    <r>
      <rPr>
        <b/>
        <sz val="10"/>
        <color rgb="FF0080FF"/>
        <rFont val="Consolas"/>
        <family val="3"/>
      </rPr>
      <t>IS</t>
    </r>
    <r>
      <rPr>
        <b/>
        <sz val="10"/>
        <color theme="1"/>
        <rFont val="Consolas"/>
        <family val="3"/>
      </rPr>
      <t xml:space="preserve"> </t>
    </r>
    <r>
      <rPr>
        <b/>
        <sz val="10"/>
        <color rgb="FFFF2800"/>
        <rFont val="Consolas"/>
        <family val="3"/>
      </rPr>
      <t>'サマリ作成担当者id'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</si>
  <si>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summary_creation_date_and_time </t>
    </r>
    <r>
      <rPr>
        <b/>
        <sz val="10"/>
        <color rgb="FF0080FF"/>
        <rFont val="Consolas"/>
        <family val="3"/>
      </rPr>
      <t>IS</t>
    </r>
    <r>
      <rPr>
        <b/>
        <sz val="10"/>
        <color theme="1"/>
        <rFont val="Consolas"/>
        <family val="3"/>
      </rPr>
      <t xml:space="preserve"> </t>
    </r>
    <r>
      <rPr>
        <b/>
        <sz val="10"/>
        <color rgb="FFFF2800"/>
        <rFont val="Consolas"/>
        <family val="3"/>
      </rPr>
      <t>'サマリ作成日時'</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</si>
  <si>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summary_updater_id </t>
    </r>
    <r>
      <rPr>
        <b/>
        <sz val="10"/>
        <color rgb="FF0080FF"/>
        <rFont val="Consolas"/>
        <family val="3"/>
      </rPr>
      <t>IS</t>
    </r>
    <r>
      <rPr>
        <b/>
        <sz val="10"/>
        <color theme="1"/>
        <rFont val="Consolas"/>
        <family val="3"/>
      </rPr>
      <t xml:space="preserve"> </t>
    </r>
    <r>
      <rPr>
        <b/>
        <sz val="10"/>
        <color rgb="FFFF2800"/>
        <rFont val="Consolas"/>
        <family val="3"/>
      </rPr>
      <t>'サマリ更新担当者id'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</si>
  <si>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summary_update_date_and_time </t>
    </r>
    <r>
      <rPr>
        <b/>
        <sz val="10"/>
        <color rgb="FF0080FF"/>
        <rFont val="Consolas"/>
        <family val="3"/>
      </rPr>
      <t>IS</t>
    </r>
    <r>
      <rPr>
        <b/>
        <sz val="10"/>
        <color theme="1"/>
        <rFont val="Consolas"/>
        <family val="3"/>
      </rPr>
      <t xml:space="preserve"> </t>
    </r>
    <r>
      <rPr>
        <b/>
        <sz val="10"/>
        <color rgb="FFFF2800"/>
        <rFont val="Consolas"/>
        <family val="3"/>
      </rPr>
      <t>'サマリ更新日時'</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</si>
  <si>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minimum_number_of_lines </t>
    </r>
    <r>
      <rPr>
        <b/>
        <sz val="10"/>
        <color rgb="FF0080FF"/>
        <rFont val="Consolas"/>
        <family val="3"/>
      </rPr>
      <t>IS</t>
    </r>
    <r>
      <rPr>
        <b/>
        <sz val="10"/>
        <color theme="1"/>
        <rFont val="Consolas"/>
        <family val="3"/>
      </rPr>
      <t xml:space="preserve"> </t>
    </r>
    <r>
      <rPr>
        <b/>
        <sz val="10"/>
        <color rgb="FFFF2800"/>
        <rFont val="Consolas"/>
        <family val="3"/>
      </rPr>
      <t>'回線数下限'</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</si>
  <si>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generation_type </t>
    </r>
    <r>
      <rPr>
        <b/>
        <sz val="10"/>
        <color rgb="FF0080FF"/>
        <rFont val="Consolas"/>
        <family val="3"/>
      </rPr>
      <t>IS</t>
    </r>
    <r>
      <rPr>
        <b/>
        <sz val="10"/>
        <color theme="1"/>
        <rFont val="Consolas"/>
        <family val="3"/>
      </rPr>
      <t xml:space="preserve"> </t>
    </r>
    <r>
      <rPr>
        <b/>
        <sz val="10"/>
        <color rgb="FFFF2800"/>
        <rFont val="Consolas"/>
        <family val="3"/>
      </rPr>
      <t>'提供世代種別'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</si>
  <si>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rental_device_change_details_name </t>
    </r>
    <r>
      <rPr>
        <b/>
        <sz val="10"/>
        <color rgb="FF0080FF"/>
        <rFont val="Consolas"/>
        <family val="3"/>
      </rPr>
      <t>IS</t>
    </r>
    <r>
      <rPr>
        <b/>
        <sz val="10"/>
        <color theme="1"/>
        <rFont val="Consolas"/>
        <family val="3"/>
      </rPr>
      <t xml:space="preserve"> </t>
    </r>
    <r>
      <rPr>
        <b/>
        <sz val="10"/>
        <color rgb="FFFF2800"/>
        <rFont val="Consolas"/>
        <family val="3"/>
      </rPr>
      <t>'レンタル機変詳細名称'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</si>
  <si>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current_device_usage_period_name </t>
    </r>
    <r>
      <rPr>
        <b/>
        <sz val="10"/>
        <color rgb="FF0080FF"/>
        <rFont val="Consolas"/>
        <family val="3"/>
      </rPr>
      <t>IS</t>
    </r>
    <r>
      <rPr>
        <b/>
        <sz val="10"/>
        <color theme="1"/>
        <rFont val="Consolas"/>
        <family val="3"/>
      </rPr>
      <t xml:space="preserve"> </t>
    </r>
    <r>
      <rPr>
        <b/>
        <sz val="10"/>
        <color rgb="FFFF2800"/>
        <rFont val="Consolas"/>
        <family val="3"/>
      </rPr>
      <t>'現端末利用期間名称'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</si>
  <si>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current_device_collection_status_name </t>
    </r>
    <r>
      <rPr>
        <b/>
        <sz val="10"/>
        <color rgb="FF0080FF"/>
        <rFont val="Consolas"/>
        <family val="3"/>
      </rPr>
      <t>IS</t>
    </r>
    <r>
      <rPr>
        <b/>
        <sz val="10"/>
        <color theme="1"/>
        <rFont val="Consolas"/>
        <family val="3"/>
      </rPr>
      <t xml:space="preserve"> </t>
    </r>
    <r>
      <rPr>
        <b/>
        <sz val="10"/>
        <color rgb="FFFF2800"/>
        <rFont val="Consolas"/>
        <family val="3"/>
      </rPr>
      <t>'現端末回収状況名称'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</si>
  <si>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current_device_uncollected_balance </t>
    </r>
    <r>
      <rPr>
        <b/>
        <sz val="10"/>
        <color rgb="FF0080FF"/>
        <rFont val="Consolas"/>
        <family val="3"/>
      </rPr>
      <t>IS</t>
    </r>
    <r>
      <rPr>
        <b/>
        <sz val="10"/>
        <color theme="1"/>
        <rFont val="Consolas"/>
        <family val="3"/>
      </rPr>
      <t xml:space="preserve"> </t>
    </r>
    <r>
      <rPr>
        <b/>
        <sz val="10"/>
        <color rgb="FFFF2800"/>
        <rFont val="Consolas"/>
        <family val="3"/>
      </rPr>
      <t>'現端末未回収残高'</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</si>
  <si>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current_device_brand_name </t>
    </r>
    <r>
      <rPr>
        <b/>
        <sz val="10"/>
        <color rgb="FF0080FF"/>
        <rFont val="Consolas"/>
        <family val="3"/>
      </rPr>
      <t>IS</t>
    </r>
    <r>
      <rPr>
        <b/>
        <sz val="10"/>
        <color theme="1"/>
        <rFont val="Consolas"/>
        <family val="3"/>
      </rPr>
      <t xml:space="preserve"> </t>
    </r>
    <r>
      <rPr>
        <b/>
        <sz val="10"/>
        <color rgb="FFFF2800"/>
        <rFont val="Consolas"/>
        <family val="3"/>
      </rPr>
      <t>'現端末ブランド名'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</si>
  <si>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current_device_product_code </t>
    </r>
    <r>
      <rPr>
        <b/>
        <sz val="10"/>
        <color rgb="FF0080FF"/>
        <rFont val="Consolas"/>
        <family val="3"/>
      </rPr>
      <t>IS</t>
    </r>
    <r>
      <rPr>
        <b/>
        <sz val="10"/>
        <color theme="1"/>
        <rFont val="Consolas"/>
        <family val="3"/>
      </rPr>
      <t xml:space="preserve"> </t>
    </r>
    <r>
      <rPr>
        <b/>
        <sz val="10"/>
        <color rgb="FFFF2800"/>
        <rFont val="Consolas"/>
        <family val="3"/>
      </rPr>
      <t>'現端末商品コード'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</si>
  <si>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current_device_product_name </t>
    </r>
    <r>
      <rPr>
        <b/>
        <sz val="10"/>
        <color rgb="FF0080FF"/>
        <rFont val="Consolas"/>
        <family val="3"/>
      </rPr>
      <t>IS</t>
    </r>
    <r>
      <rPr>
        <b/>
        <sz val="10"/>
        <color theme="1"/>
        <rFont val="Consolas"/>
        <family val="3"/>
      </rPr>
      <t xml:space="preserve"> </t>
    </r>
    <r>
      <rPr>
        <b/>
        <sz val="10"/>
        <color rgb="FFFF2800"/>
        <rFont val="Consolas"/>
        <family val="3"/>
      </rPr>
      <t>'現端末商品名称'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</si>
  <si>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current_device_purchase_month </t>
    </r>
    <r>
      <rPr>
        <b/>
        <sz val="10"/>
        <color rgb="FF0080FF"/>
        <rFont val="Consolas"/>
        <family val="3"/>
      </rPr>
      <t>IS</t>
    </r>
    <r>
      <rPr>
        <b/>
        <sz val="10"/>
        <color theme="1"/>
        <rFont val="Consolas"/>
        <family val="3"/>
      </rPr>
      <t xml:space="preserve"> </t>
    </r>
    <r>
      <rPr>
        <b/>
        <sz val="10"/>
        <color rgb="FFFF2800"/>
        <rFont val="Consolas"/>
        <family val="3"/>
      </rPr>
      <t>'現端末購入月'</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</si>
  <si>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multiple_line_discount_name </t>
    </r>
    <r>
      <rPr>
        <b/>
        <sz val="10"/>
        <color rgb="FF0080FF"/>
        <rFont val="Consolas"/>
        <family val="3"/>
      </rPr>
      <t>IS</t>
    </r>
    <r>
      <rPr>
        <b/>
        <sz val="10"/>
        <color theme="1"/>
        <rFont val="Consolas"/>
        <family val="3"/>
      </rPr>
      <t xml:space="preserve"> </t>
    </r>
    <r>
      <rPr>
        <b/>
        <sz val="10"/>
        <color rgb="FFFF2800"/>
        <rFont val="Consolas"/>
        <family val="3"/>
      </rPr>
      <t>'複数回線割引名称'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</si>
  <si>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actual_domestic_voice_calls </t>
    </r>
    <r>
      <rPr>
        <b/>
        <sz val="10"/>
        <color rgb="FF0080FF"/>
        <rFont val="Consolas"/>
        <family val="3"/>
      </rPr>
      <t>IS</t>
    </r>
    <r>
      <rPr>
        <b/>
        <sz val="10"/>
        <color theme="1"/>
        <rFont val="Consolas"/>
        <family val="3"/>
      </rPr>
      <t xml:space="preserve"> </t>
    </r>
    <r>
      <rPr>
        <b/>
        <sz val="10"/>
        <color rgb="FFFF2800"/>
        <rFont val="Consolas"/>
        <family val="3"/>
      </rPr>
      <t>'実通話国内音声'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</si>
  <si>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actual_domestic_data_calls </t>
    </r>
    <r>
      <rPr>
        <b/>
        <sz val="10"/>
        <color rgb="FF0080FF"/>
        <rFont val="Consolas"/>
        <family val="3"/>
      </rPr>
      <t>IS</t>
    </r>
    <r>
      <rPr>
        <b/>
        <sz val="10"/>
        <color theme="1"/>
        <rFont val="Consolas"/>
        <family val="3"/>
      </rPr>
      <t xml:space="preserve"> </t>
    </r>
    <r>
      <rPr>
        <b/>
        <sz val="10"/>
        <color rgb="FFFF2800"/>
        <rFont val="Consolas"/>
        <family val="3"/>
      </rPr>
      <t>'実通話国内データ'</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</si>
  <si>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large_volume_discount_name </t>
    </r>
    <r>
      <rPr>
        <b/>
        <sz val="10"/>
        <color rgb="FF0080FF"/>
        <rFont val="Consolas"/>
        <family val="3"/>
      </rPr>
      <t>IS</t>
    </r>
    <r>
      <rPr>
        <b/>
        <sz val="10"/>
        <color theme="1"/>
        <rFont val="Consolas"/>
        <family val="3"/>
      </rPr>
      <t xml:space="preserve"> </t>
    </r>
    <r>
      <rPr>
        <b/>
        <sz val="10"/>
        <color rgb="FFFF2800"/>
        <rFont val="Consolas"/>
        <family val="3"/>
      </rPr>
      <t>'大口割引名称'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</si>
  <si>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actual_international_calls </t>
    </r>
    <r>
      <rPr>
        <b/>
        <sz val="10"/>
        <color rgb="FF0080FF"/>
        <rFont val="Consolas"/>
        <family val="3"/>
      </rPr>
      <t>IS</t>
    </r>
    <r>
      <rPr>
        <b/>
        <sz val="10"/>
        <color theme="1"/>
        <rFont val="Consolas"/>
        <family val="3"/>
      </rPr>
      <t xml:space="preserve"> </t>
    </r>
    <r>
      <rPr>
        <b/>
        <sz val="10"/>
        <color rgb="FFFF2800"/>
        <rFont val="Consolas"/>
        <family val="3"/>
      </rPr>
      <t>'実通話国際電話'</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</si>
  <si>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international_rm_data </t>
    </r>
    <r>
      <rPr>
        <b/>
        <sz val="10"/>
        <color rgb="FF0080FF"/>
        <rFont val="Consolas"/>
        <family val="3"/>
      </rPr>
      <t>IS</t>
    </r>
    <r>
      <rPr>
        <b/>
        <sz val="10"/>
        <color theme="1"/>
        <rFont val="Consolas"/>
        <family val="3"/>
      </rPr>
      <t xml:space="preserve"> </t>
    </r>
    <r>
      <rPr>
        <b/>
        <sz val="10"/>
        <color rgb="FFFF2800"/>
        <rFont val="Consolas"/>
        <family val="3"/>
      </rPr>
      <t>'国際rmデータ'</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</si>
  <si>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international_rm_voice </t>
    </r>
    <r>
      <rPr>
        <b/>
        <sz val="10"/>
        <color rgb="FF0080FF"/>
        <rFont val="Consolas"/>
        <family val="3"/>
      </rPr>
      <t>IS</t>
    </r>
    <r>
      <rPr>
        <b/>
        <sz val="10"/>
        <color theme="1"/>
        <rFont val="Consolas"/>
        <family val="3"/>
      </rPr>
      <t xml:space="preserve"> </t>
    </r>
    <r>
      <rPr>
        <b/>
        <sz val="10"/>
        <color rgb="FFFF2800"/>
        <rFont val="Consolas"/>
        <family val="3"/>
      </rPr>
      <t>'国際rm音声'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</si>
  <si>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share_relative_package_name </t>
    </r>
    <r>
      <rPr>
        <b/>
        <sz val="10"/>
        <color rgb="FF0080FF"/>
        <rFont val="Consolas"/>
        <family val="3"/>
      </rPr>
      <t>IS</t>
    </r>
    <r>
      <rPr>
        <b/>
        <sz val="10"/>
        <color theme="1"/>
        <rFont val="Consolas"/>
        <family val="3"/>
      </rPr>
      <t xml:space="preserve"> </t>
    </r>
    <r>
      <rPr>
        <b/>
        <sz val="10"/>
        <color rgb="FFFF2800"/>
        <rFont val="Consolas"/>
        <family val="3"/>
      </rPr>
      <t>'シェア相対パケ名称'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</si>
  <si>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penalty_reduction_increase </t>
    </r>
    <r>
      <rPr>
        <b/>
        <sz val="10"/>
        <color rgb="FF0080FF"/>
        <rFont val="Consolas"/>
        <family val="3"/>
      </rPr>
      <t>IS</t>
    </r>
    <r>
      <rPr>
        <b/>
        <sz val="10"/>
        <color theme="1"/>
        <rFont val="Consolas"/>
        <family val="3"/>
      </rPr>
      <t xml:space="preserve"> </t>
    </r>
    <r>
      <rPr>
        <b/>
        <sz val="10"/>
        <color rgb="FFFF2800"/>
        <rFont val="Consolas"/>
        <family val="3"/>
      </rPr>
      <t>'違約金減額増額'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</si>
  <si>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agency_collaboration_status_name </t>
    </r>
    <r>
      <rPr>
        <b/>
        <sz val="10"/>
        <color rgb="FF0080FF"/>
        <rFont val="Consolas"/>
        <family val="3"/>
      </rPr>
      <t>IS</t>
    </r>
    <r>
      <rPr>
        <b/>
        <sz val="10"/>
        <color theme="1"/>
        <rFont val="Consolas"/>
        <family val="3"/>
      </rPr>
      <t xml:space="preserve"> </t>
    </r>
    <r>
      <rPr>
        <b/>
        <sz val="10"/>
        <color rgb="FFFF2800"/>
        <rFont val="Consolas"/>
        <family val="3"/>
      </rPr>
      <t>'代理店協業有無名称'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</si>
  <si>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secondary_agency_code </t>
    </r>
    <r>
      <rPr>
        <b/>
        <sz val="10"/>
        <color rgb="FF0080FF"/>
        <rFont val="Consolas"/>
        <family val="3"/>
      </rPr>
      <t>IS</t>
    </r>
    <r>
      <rPr>
        <b/>
        <sz val="10"/>
        <color theme="1"/>
        <rFont val="Consolas"/>
        <family val="3"/>
      </rPr>
      <t xml:space="preserve"> </t>
    </r>
    <r>
      <rPr>
        <b/>
        <sz val="10"/>
        <color rgb="FFFF2800"/>
        <rFont val="Consolas"/>
        <family val="3"/>
      </rPr>
      <t>'二次代理店コード'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</si>
  <si>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secondary_agency_name </t>
    </r>
    <r>
      <rPr>
        <b/>
        <sz val="10"/>
        <color rgb="FF0080FF"/>
        <rFont val="Consolas"/>
        <family val="3"/>
      </rPr>
      <t>IS</t>
    </r>
    <r>
      <rPr>
        <b/>
        <sz val="10"/>
        <color theme="1"/>
        <rFont val="Consolas"/>
        <family val="3"/>
      </rPr>
      <t xml:space="preserve"> </t>
    </r>
    <r>
      <rPr>
        <b/>
        <sz val="10"/>
        <color rgb="FFFF2800"/>
        <rFont val="Consolas"/>
        <family val="3"/>
      </rPr>
      <t>'二次代理店名'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</si>
  <si>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billing_agent_name </t>
    </r>
    <r>
      <rPr>
        <b/>
        <sz val="10"/>
        <color rgb="FF0080FF"/>
        <rFont val="Consolas"/>
        <family val="3"/>
      </rPr>
      <t>IS</t>
    </r>
    <r>
      <rPr>
        <b/>
        <sz val="10"/>
        <color theme="1"/>
        <rFont val="Consolas"/>
        <family val="3"/>
      </rPr>
      <t xml:space="preserve"> </t>
    </r>
    <r>
      <rPr>
        <b/>
        <sz val="10"/>
        <color rgb="FFFF2800"/>
        <rFont val="Consolas"/>
        <family val="3"/>
      </rPr>
      <t>'請求代行業者名称'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</si>
  <si>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short_term_fee </t>
    </r>
    <r>
      <rPr>
        <b/>
        <sz val="10"/>
        <color rgb="FF0080FF"/>
        <rFont val="Consolas"/>
        <family val="3"/>
      </rPr>
      <t>IS</t>
    </r>
    <r>
      <rPr>
        <b/>
        <sz val="10"/>
        <color theme="1"/>
        <rFont val="Consolas"/>
        <family val="3"/>
      </rPr>
      <t xml:space="preserve"> </t>
    </r>
    <r>
      <rPr>
        <b/>
        <sz val="10"/>
        <color rgb="FFFF2800"/>
        <rFont val="Consolas"/>
        <family val="3"/>
      </rPr>
      <t>'ショット手数料'</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</si>
  <si>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continuing_fee_rate </t>
    </r>
    <r>
      <rPr>
        <b/>
        <sz val="10"/>
        <color rgb="FF0080FF"/>
        <rFont val="Consolas"/>
        <family val="3"/>
      </rPr>
      <t>IS</t>
    </r>
    <r>
      <rPr>
        <b/>
        <sz val="10"/>
        <color theme="1"/>
        <rFont val="Consolas"/>
        <family val="3"/>
      </rPr>
      <t xml:space="preserve"> </t>
    </r>
    <r>
      <rPr>
        <b/>
        <sz val="10"/>
        <color rgb="FFFF2800"/>
        <rFont val="Consolas"/>
        <family val="3"/>
      </rPr>
      <t>'継続手数料率'</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</si>
  <si>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customization_and_other_billing_amounts </t>
    </r>
    <r>
      <rPr>
        <b/>
        <sz val="10"/>
        <color rgb="FF0080FF"/>
        <rFont val="Consolas"/>
        <family val="3"/>
      </rPr>
      <t>IS</t>
    </r>
    <r>
      <rPr>
        <b/>
        <sz val="10"/>
        <color theme="1"/>
        <rFont val="Consolas"/>
        <family val="3"/>
      </rPr>
      <t xml:space="preserve"> </t>
    </r>
    <r>
      <rPr>
        <b/>
        <sz val="10"/>
        <color rgb="FFFF2800"/>
        <rFont val="Consolas"/>
        <family val="3"/>
      </rPr>
      <t>'カスタマイズ等請求額'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</si>
  <si>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customization_and_other_costs </t>
    </r>
    <r>
      <rPr>
        <b/>
        <sz val="10"/>
        <color rgb="FF0080FF"/>
        <rFont val="Consolas"/>
        <family val="3"/>
      </rPr>
      <t>IS</t>
    </r>
    <r>
      <rPr>
        <b/>
        <sz val="10"/>
        <color theme="1"/>
        <rFont val="Consolas"/>
        <family val="3"/>
      </rPr>
      <t xml:space="preserve"> </t>
    </r>
    <r>
      <rPr>
        <b/>
        <sz val="10"/>
        <color rgb="FFFF2800"/>
        <rFont val="Consolas"/>
        <family val="3"/>
      </rPr>
      <t>'カスタマイズ等コスト'</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</si>
  <si>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capex </t>
    </r>
    <r>
      <rPr>
        <b/>
        <sz val="10"/>
        <color rgb="FF0080FF"/>
        <rFont val="Consolas"/>
        <family val="3"/>
      </rPr>
      <t>IS</t>
    </r>
    <r>
      <rPr>
        <b/>
        <sz val="10"/>
        <color theme="1"/>
        <rFont val="Consolas"/>
        <family val="3"/>
      </rPr>
      <t xml:space="preserve"> </t>
    </r>
    <r>
      <rPr>
        <b/>
        <sz val="10"/>
        <color rgb="FFFF2800"/>
        <rFont val="Consolas"/>
        <family val="3"/>
      </rPr>
      <t>'capex'</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</si>
  <si>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other_adjustments </t>
    </r>
    <r>
      <rPr>
        <b/>
        <sz val="10"/>
        <color rgb="FF0080FF"/>
        <rFont val="Consolas"/>
        <family val="3"/>
      </rPr>
      <t>IS</t>
    </r>
    <r>
      <rPr>
        <b/>
        <sz val="10"/>
        <color theme="1"/>
        <rFont val="Consolas"/>
        <family val="3"/>
      </rPr>
      <t xml:space="preserve"> </t>
    </r>
    <r>
      <rPr>
        <b/>
        <sz val="10"/>
        <color rgb="FFFF2800"/>
        <rFont val="Consolas"/>
        <family val="3"/>
      </rPr>
      <t>'その他調整額'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</si>
  <si>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biz_concierge_list_price </t>
    </r>
    <r>
      <rPr>
        <b/>
        <sz val="10"/>
        <color rgb="FF0080FF"/>
        <rFont val="Consolas"/>
        <family val="3"/>
      </rPr>
      <t>IS</t>
    </r>
    <r>
      <rPr>
        <b/>
        <sz val="10"/>
        <color theme="1"/>
        <rFont val="Consolas"/>
        <family val="3"/>
      </rPr>
      <t xml:space="preserve"> </t>
    </r>
    <r>
      <rPr>
        <b/>
        <sz val="10"/>
        <color rgb="FFFF2800"/>
        <rFont val="Consolas"/>
        <family val="3"/>
      </rPr>
      <t>'bizコンシェル定価'</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</si>
  <si>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biz_concierge_discount_amount </t>
    </r>
    <r>
      <rPr>
        <b/>
        <sz val="10"/>
        <color rgb="FF0080FF"/>
        <rFont val="Consolas"/>
        <family val="3"/>
      </rPr>
      <t>IS</t>
    </r>
    <r>
      <rPr>
        <b/>
        <sz val="10"/>
        <color theme="1"/>
        <rFont val="Consolas"/>
        <family val="3"/>
      </rPr>
      <t xml:space="preserve"> </t>
    </r>
    <r>
      <rPr>
        <b/>
        <sz val="10"/>
        <color rgb="FFFF2800"/>
        <rFont val="Consolas"/>
        <family val="3"/>
      </rPr>
      <t>'bizコンシェル値引額'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</si>
  <si>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biz_concierge_cost </t>
    </r>
    <r>
      <rPr>
        <b/>
        <sz val="10"/>
        <color rgb="FF0080FF"/>
        <rFont val="Consolas"/>
        <family val="3"/>
      </rPr>
      <t>IS</t>
    </r>
    <r>
      <rPr>
        <b/>
        <sz val="10"/>
        <color theme="1"/>
        <rFont val="Consolas"/>
        <family val="3"/>
      </rPr>
      <t xml:space="preserve"> </t>
    </r>
    <r>
      <rPr>
        <b/>
        <sz val="10"/>
        <color rgb="FFFF2800"/>
        <rFont val="Consolas"/>
        <family val="3"/>
      </rPr>
      <t>'bizコンシェルコスト'</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</si>
  <si>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maintenance_device_brand_name </t>
    </r>
    <r>
      <rPr>
        <b/>
        <sz val="10"/>
        <color rgb="FF0080FF"/>
        <rFont val="Consolas"/>
        <family val="3"/>
      </rPr>
      <t>IS</t>
    </r>
    <r>
      <rPr>
        <b/>
        <sz val="10"/>
        <color theme="1"/>
        <rFont val="Consolas"/>
        <family val="3"/>
      </rPr>
      <t xml:space="preserve"> </t>
    </r>
    <r>
      <rPr>
        <b/>
        <sz val="10"/>
        <color rgb="FFFF2800"/>
        <rFont val="Consolas"/>
        <family val="3"/>
      </rPr>
      <t>'保守端末ブランド名'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</si>
  <si>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maintenance_device_product_code </t>
    </r>
    <r>
      <rPr>
        <b/>
        <sz val="10"/>
        <color rgb="FF0080FF"/>
        <rFont val="Consolas"/>
        <family val="3"/>
      </rPr>
      <t>IS</t>
    </r>
    <r>
      <rPr>
        <b/>
        <sz val="10"/>
        <color theme="1"/>
        <rFont val="Consolas"/>
        <family val="3"/>
      </rPr>
      <t xml:space="preserve"> </t>
    </r>
    <r>
      <rPr>
        <b/>
        <sz val="10"/>
        <color rgb="FFFF2800"/>
        <rFont val="Consolas"/>
        <family val="3"/>
      </rPr>
      <t>'保守端末商品コード'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</si>
  <si>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maintenance_device_product_name </t>
    </r>
    <r>
      <rPr>
        <b/>
        <sz val="10"/>
        <color rgb="FF0080FF"/>
        <rFont val="Consolas"/>
        <family val="3"/>
      </rPr>
      <t>IS</t>
    </r>
    <r>
      <rPr>
        <b/>
        <sz val="10"/>
        <color theme="1"/>
        <rFont val="Consolas"/>
        <family val="3"/>
      </rPr>
      <t xml:space="preserve"> </t>
    </r>
    <r>
      <rPr>
        <b/>
        <sz val="10"/>
        <color rgb="FFFF2800"/>
        <rFont val="Consolas"/>
        <family val="3"/>
      </rPr>
      <t>'保守端末商品名称'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</si>
  <si>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maintenance_device_standard_price </t>
    </r>
    <r>
      <rPr>
        <b/>
        <sz val="10"/>
        <color rgb="FF0080FF"/>
        <rFont val="Consolas"/>
        <family val="3"/>
      </rPr>
      <t>IS</t>
    </r>
    <r>
      <rPr>
        <b/>
        <sz val="10"/>
        <color theme="1"/>
        <rFont val="Consolas"/>
        <family val="3"/>
      </rPr>
      <t xml:space="preserve"> </t>
    </r>
    <r>
      <rPr>
        <b/>
        <sz val="10"/>
        <color rgb="FFFF2800"/>
        <rFont val="Consolas"/>
        <family val="3"/>
      </rPr>
      <t>'保守端末標準価格'</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</si>
  <si>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maintenance_device_discount </t>
    </r>
    <r>
      <rPr>
        <b/>
        <sz val="10"/>
        <color rgb="FF0080FF"/>
        <rFont val="Consolas"/>
        <family val="3"/>
      </rPr>
      <t>IS</t>
    </r>
    <r>
      <rPr>
        <b/>
        <sz val="10"/>
        <color theme="1"/>
        <rFont val="Consolas"/>
        <family val="3"/>
      </rPr>
      <t xml:space="preserve"> </t>
    </r>
    <r>
      <rPr>
        <b/>
        <sz val="10"/>
        <color rgb="FFFF2800"/>
        <rFont val="Consolas"/>
        <family val="3"/>
      </rPr>
      <t>'保守端末値引'</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</si>
  <si>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maintenance_quantity_of_terminals </t>
    </r>
    <r>
      <rPr>
        <b/>
        <sz val="10"/>
        <color rgb="FF0080FF"/>
        <rFont val="Consolas"/>
        <family val="3"/>
      </rPr>
      <t>IS</t>
    </r>
    <r>
      <rPr>
        <b/>
        <sz val="10"/>
        <color theme="1"/>
        <rFont val="Consolas"/>
        <family val="3"/>
      </rPr>
      <t xml:space="preserve"> </t>
    </r>
    <r>
      <rPr>
        <b/>
        <sz val="10"/>
        <color rgb="FFFF2800"/>
        <rFont val="Consolas"/>
        <family val="3"/>
      </rPr>
      <t>'保守端末数量'</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</si>
  <si>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wo_applicable_name </t>
    </r>
    <r>
      <rPr>
        <b/>
        <sz val="10"/>
        <color rgb="FF0080FF"/>
        <rFont val="Consolas"/>
        <family val="3"/>
      </rPr>
      <t>IS</t>
    </r>
    <r>
      <rPr>
        <b/>
        <sz val="10"/>
        <color theme="1"/>
        <rFont val="Consolas"/>
        <family val="3"/>
      </rPr>
      <t xml:space="preserve"> </t>
    </r>
    <r>
      <rPr>
        <b/>
        <sz val="10"/>
        <color rgb="FFFF2800"/>
        <rFont val="Consolas"/>
        <family val="3"/>
      </rPr>
      <t>'wo適用名称'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</si>
  <si>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suspension_name </t>
    </r>
    <r>
      <rPr>
        <b/>
        <sz val="10"/>
        <color rgb="FF0080FF"/>
        <rFont val="Consolas"/>
        <family val="3"/>
      </rPr>
      <t>IS</t>
    </r>
    <r>
      <rPr>
        <b/>
        <sz val="10"/>
        <color theme="1"/>
        <rFont val="Consolas"/>
        <family val="3"/>
      </rPr>
      <t xml:space="preserve"> </t>
    </r>
    <r>
      <rPr>
        <b/>
        <sz val="10"/>
        <color rgb="FFFF2800"/>
        <rFont val="Consolas"/>
        <family val="3"/>
      </rPr>
      <t>'足回り名称'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</si>
  <si>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ntt_east_west_ma_domestic_foreign_name_1 </t>
    </r>
    <r>
      <rPr>
        <b/>
        <sz val="10"/>
        <color rgb="FF0080FF"/>
        <rFont val="Consolas"/>
        <family val="3"/>
      </rPr>
      <t>IS</t>
    </r>
    <r>
      <rPr>
        <b/>
        <sz val="10"/>
        <color theme="1"/>
        <rFont val="Consolas"/>
        <family val="3"/>
      </rPr>
      <t xml:space="preserve"> </t>
    </r>
    <r>
      <rPr>
        <b/>
        <sz val="10"/>
        <color rgb="FFFF2800"/>
        <rFont val="Consolas"/>
        <family val="3"/>
      </rPr>
      <t>'ntt東西ma内外名称1'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</si>
  <si>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access_line_distance_1 </t>
    </r>
    <r>
      <rPr>
        <b/>
        <sz val="10"/>
        <color rgb="FF0080FF"/>
        <rFont val="Consolas"/>
        <family val="3"/>
      </rPr>
      <t>IS</t>
    </r>
    <r>
      <rPr>
        <b/>
        <sz val="10"/>
        <color theme="1"/>
        <rFont val="Consolas"/>
        <family val="3"/>
      </rPr>
      <t xml:space="preserve"> </t>
    </r>
    <r>
      <rPr>
        <b/>
        <sz val="10"/>
        <color rgb="FFFF2800"/>
        <rFont val="Consolas"/>
        <family val="3"/>
      </rPr>
      <t>'アクセス回線距離1'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</si>
  <si>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number_of_lines_1 </t>
    </r>
    <r>
      <rPr>
        <b/>
        <sz val="10"/>
        <color rgb="FF0080FF"/>
        <rFont val="Consolas"/>
        <family val="3"/>
      </rPr>
      <t>IS</t>
    </r>
    <r>
      <rPr>
        <b/>
        <sz val="10"/>
        <color theme="1"/>
        <rFont val="Consolas"/>
        <family val="3"/>
      </rPr>
      <t xml:space="preserve"> </t>
    </r>
    <r>
      <rPr>
        <b/>
        <sz val="10"/>
        <color rgb="FFFF2800"/>
        <rFont val="Consolas"/>
        <family val="3"/>
      </rPr>
      <t>'回線数1'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</si>
  <si>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list_price_1 </t>
    </r>
    <r>
      <rPr>
        <b/>
        <sz val="10"/>
        <color rgb="FF0080FF"/>
        <rFont val="Consolas"/>
        <family val="3"/>
      </rPr>
      <t>IS</t>
    </r>
    <r>
      <rPr>
        <b/>
        <sz val="10"/>
        <color theme="1"/>
        <rFont val="Consolas"/>
        <family val="3"/>
      </rPr>
      <t xml:space="preserve"> </t>
    </r>
    <r>
      <rPr>
        <b/>
        <sz val="10"/>
        <color rgb="FFFF2800"/>
        <rFont val="Consolas"/>
        <family val="3"/>
      </rPr>
      <t>'定価1'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</si>
  <si>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ntt_east_west_ma_domestic_foreign_name_2 </t>
    </r>
    <r>
      <rPr>
        <b/>
        <sz val="10"/>
        <color rgb="FF0080FF"/>
        <rFont val="Consolas"/>
        <family val="3"/>
      </rPr>
      <t>IS</t>
    </r>
    <r>
      <rPr>
        <b/>
        <sz val="10"/>
        <color theme="1"/>
        <rFont val="Consolas"/>
        <family val="3"/>
      </rPr>
      <t xml:space="preserve"> </t>
    </r>
    <r>
      <rPr>
        <b/>
        <sz val="10"/>
        <color rgb="FFFF2800"/>
        <rFont val="Consolas"/>
        <family val="3"/>
      </rPr>
      <t>'ntt東西ma内外名称2'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</si>
  <si>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access_line_distance_2 </t>
    </r>
    <r>
      <rPr>
        <b/>
        <sz val="10"/>
        <color rgb="FF0080FF"/>
        <rFont val="Consolas"/>
        <family val="3"/>
      </rPr>
      <t>IS</t>
    </r>
    <r>
      <rPr>
        <b/>
        <sz val="10"/>
        <color theme="1"/>
        <rFont val="Consolas"/>
        <family val="3"/>
      </rPr>
      <t xml:space="preserve"> </t>
    </r>
    <r>
      <rPr>
        <b/>
        <sz val="10"/>
        <color rgb="FFFF2800"/>
        <rFont val="Consolas"/>
        <family val="3"/>
      </rPr>
      <t>'アクセス回線距離2'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</si>
  <si>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number_of_lines_2 </t>
    </r>
    <r>
      <rPr>
        <b/>
        <sz val="10"/>
        <color rgb="FF0080FF"/>
        <rFont val="Consolas"/>
        <family val="3"/>
      </rPr>
      <t>IS</t>
    </r>
    <r>
      <rPr>
        <b/>
        <sz val="10"/>
        <color theme="1"/>
        <rFont val="Consolas"/>
        <family val="3"/>
      </rPr>
      <t xml:space="preserve"> </t>
    </r>
    <r>
      <rPr>
        <b/>
        <sz val="10"/>
        <color rgb="FFFF2800"/>
        <rFont val="Consolas"/>
        <family val="3"/>
      </rPr>
      <t>'回線数2'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</si>
  <si>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list_price_2 </t>
    </r>
    <r>
      <rPr>
        <b/>
        <sz val="10"/>
        <color rgb="FF0080FF"/>
        <rFont val="Consolas"/>
        <family val="3"/>
      </rPr>
      <t>IS</t>
    </r>
    <r>
      <rPr>
        <b/>
        <sz val="10"/>
        <color theme="1"/>
        <rFont val="Consolas"/>
        <family val="3"/>
      </rPr>
      <t xml:space="preserve"> </t>
    </r>
    <r>
      <rPr>
        <b/>
        <sz val="10"/>
        <color rgb="FFFF2800"/>
        <rFont val="Consolas"/>
        <family val="3"/>
      </rPr>
      <t>'定価2'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</si>
  <si>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da1500_offer_price_discount </t>
    </r>
    <r>
      <rPr>
        <b/>
        <sz val="10"/>
        <color rgb="FF0080FF"/>
        <rFont val="Consolas"/>
        <family val="3"/>
      </rPr>
      <t>IS</t>
    </r>
    <r>
      <rPr>
        <b/>
        <sz val="10"/>
        <color theme="1"/>
        <rFont val="Consolas"/>
        <family val="3"/>
      </rPr>
      <t xml:space="preserve"> </t>
    </r>
    <r>
      <rPr>
        <b/>
        <sz val="10"/>
        <color rgb="FFFF2800"/>
        <rFont val="Consolas"/>
        <family val="3"/>
      </rPr>
      <t>'da1500提供額値引'</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</si>
  <si>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extension_number_discount </t>
    </r>
    <r>
      <rPr>
        <b/>
        <sz val="10"/>
        <color rgb="FF0080FF"/>
        <rFont val="Consolas"/>
        <family val="3"/>
      </rPr>
      <t>IS</t>
    </r>
    <r>
      <rPr>
        <b/>
        <sz val="10"/>
        <color theme="1"/>
        <rFont val="Consolas"/>
        <family val="3"/>
      </rPr>
      <t xml:space="preserve"> </t>
    </r>
    <r>
      <rPr>
        <b/>
        <sz val="10"/>
        <color rgb="FFFF2800"/>
        <rFont val="Consolas"/>
        <family val="3"/>
      </rPr>
      <t>'内線番号値引'</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</si>
  <si>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number_of_extension_number_lines </t>
    </r>
    <r>
      <rPr>
        <b/>
        <sz val="10"/>
        <color rgb="FF0080FF"/>
        <rFont val="Consolas"/>
        <family val="3"/>
      </rPr>
      <t>IS</t>
    </r>
    <r>
      <rPr>
        <b/>
        <sz val="10"/>
        <color theme="1"/>
        <rFont val="Consolas"/>
        <family val="3"/>
      </rPr>
      <t xml:space="preserve"> </t>
    </r>
    <r>
      <rPr>
        <b/>
        <sz val="10"/>
        <color rgb="FFFF2800"/>
        <rFont val="Consolas"/>
        <family val="3"/>
      </rPr>
      <t>'内線番号回線数'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</si>
  <si>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location_number_discount </t>
    </r>
    <r>
      <rPr>
        <b/>
        <sz val="10"/>
        <color rgb="FF0080FF"/>
        <rFont val="Consolas"/>
        <family val="3"/>
      </rPr>
      <t>IS</t>
    </r>
    <r>
      <rPr>
        <b/>
        <sz val="10"/>
        <color theme="1"/>
        <rFont val="Consolas"/>
        <family val="3"/>
      </rPr>
      <t xml:space="preserve"> </t>
    </r>
    <r>
      <rPr>
        <b/>
        <sz val="10"/>
        <color rgb="FFFF2800"/>
        <rFont val="Consolas"/>
        <family val="3"/>
      </rPr>
      <t>'拠点番号値引'</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</si>
  <si>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number_of_location_number_lines </t>
    </r>
    <r>
      <rPr>
        <b/>
        <sz val="10"/>
        <color rgb="FF0080FF"/>
        <rFont val="Consolas"/>
        <family val="3"/>
      </rPr>
      <t>IS</t>
    </r>
    <r>
      <rPr>
        <b/>
        <sz val="10"/>
        <color theme="1"/>
        <rFont val="Consolas"/>
        <family val="3"/>
      </rPr>
      <t xml:space="preserve"> </t>
    </r>
    <r>
      <rPr>
        <b/>
        <sz val="10"/>
        <color rgb="FFFF2800"/>
        <rFont val="Consolas"/>
        <family val="3"/>
      </rPr>
      <t>'拠点番号回線数'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</si>
  <si>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ipbgw_registration_installation_fee_discount </t>
    </r>
    <r>
      <rPr>
        <b/>
        <sz val="10"/>
        <color rgb="FF0080FF"/>
        <rFont val="Consolas"/>
        <family val="3"/>
      </rPr>
      <t>IS</t>
    </r>
    <r>
      <rPr>
        <b/>
        <sz val="10"/>
        <color theme="1"/>
        <rFont val="Consolas"/>
        <family val="3"/>
      </rPr>
      <t xml:space="preserve"> </t>
    </r>
    <r>
      <rPr>
        <b/>
        <sz val="10"/>
        <color rgb="FFFF2800"/>
        <rFont val="Consolas"/>
        <family val="3"/>
      </rPr>
      <t>'ipbgw登録工事費値引'</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</si>
  <si>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number_of_ipbgw_registration_installation_gws </t>
    </r>
    <r>
      <rPr>
        <b/>
        <sz val="10"/>
        <color rgb="FF0080FF"/>
        <rFont val="Consolas"/>
        <family val="3"/>
      </rPr>
      <t>IS</t>
    </r>
    <r>
      <rPr>
        <b/>
        <sz val="10"/>
        <color theme="1"/>
        <rFont val="Consolas"/>
        <family val="3"/>
      </rPr>
      <t xml:space="preserve"> </t>
    </r>
    <r>
      <rPr>
        <b/>
        <sz val="10"/>
        <color rgb="FFFF2800"/>
        <rFont val="Consolas"/>
        <family val="3"/>
      </rPr>
      <t>'ipbgw登録工事gw台数'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</si>
  <si>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ip_connection_channel_connection_fee_discount </t>
    </r>
    <r>
      <rPr>
        <b/>
        <sz val="10"/>
        <color rgb="FF0080FF"/>
        <rFont val="Consolas"/>
        <family val="3"/>
      </rPr>
      <t>IS</t>
    </r>
    <r>
      <rPr>
        <b/>
        <sz val="10"/>
        <color theme="1"/>
        <rFont val="Consolas"/>
        <family val="3"/>
      </rPr>
      <t xml:space="preserve"> </t>
    </r>
    <r>
      <rPr>
        <b/>
        <sz val="10"/>
        <color rgb="FFFF2800"/>
        <rFont val="Consolas"/>
        <family val="3"/>
      </rPr>
      <t>'ip接続ch接続料値引'</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</si>
  <si>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number_of_ip_connection_channel_connection_fee_channels </t>
    </r>
    <r>
      <rPr>
        <b/>
        <sz val="10"/>
        <color rgb="FF0080FF"/>
        <rFont val="Consolas"/>
        <family val="3"/>
      </rPr>
      <t>IS</t>
    </r>
    <r>
      <rPr>
        <b/>
        <sz val="10"/>
        <color theme="1"/>
        <rFont val="Consolas"/>
        <family val="3"/>
      </rPr>
      <t xml:space="preserve"> </t>
    </r>
    <r>
      <rPr>
        <b/>
        <sz val="10"/>
        <color rgb="FFFF2800"/>
        <rFont val="Consolas"/>
        <family val="3"/>
      </rPr>
      <t>'ip接続ch接続料ch数'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</si>
  <si>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monthly_fixed_cost </t>
    </r>
    <r>
      <rPr>
        <b/>
        <sz val="10"/>
        <color rgb="FF0080FF"/>
        <rFont val="Consolas"/>
        <family val="3"/>
      </rPr>
      <t>IS</t>
    </r>
    <r>
      <rPr>
        <b/>
        <sz val="10"/>
        <color theme="1"/>
        <rFont val="Consolas"/>
        <family val="3"/>
      </rPr>
      <t xml:space="preserve"> </t>
    </r>
    <r>
      <rPr>
        <b/>
        <sz val="10"/>
        <color rgb="FFFF2800"/>
        <rFont val="Consolas"/>
        <family val="3"/>
      </rPr>
      <t>'月額固定コスト'</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</si>
  <si>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monthly_variable_cost </t>
    </r>
    <r>
      <rPr>
        <b/>
        <sz val="10"/>
        <color rgb="FF0080FF"/>
        <rFont val="Consolas"/>
        <family val="3"/>
      </rPr>
      <t>IS</t>
    </r>
    <r>
      <rPr>
        <b/>
        <sz val="10"/>
        <color theme="1"/>
        <rFont val="Consolas"/>
        <family val="3"/>
      </rPr>
      <t xml:space="preserve"> </t>
    </r>
    <r>
      <rPr>
        <b/>
        <sz val="10"/>
        <color rgb="FFFF2800"/>
        <rFont val="Consolas"/>
        <family val="3"/>
      </rPr>
      <t>'月額変動コスト'</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</si>
  <si>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bulk_invoice_discount </t>
    </r>
    <r>
      <rPr>
        <b/>
        <sz val="10"/>
        <color rgb="FF0080FF"/>
        <rFont val="Consolas"/>
        <family val="3"/>
      </rPr>
      <t>IS</t>
    </r>
    <r>
      <rPr>
        <b/>
        <sz val="10"/>
        <color theme="1"/>
        <rFont val="Consolas"/>
        <family val="3"/>
      </rPr>
      <t xml:space="preserve"> </t>
    </r>
    <r>
      <rPr>
        <b/>
        <sz val="10"/>
        <color rgb="FFFF2800"/>
        <rFont val="Consolas"/>
        <family val="3"/>
      </rPr>
      <t>'請求書一括割引'</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</si>
  <si>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call_pay_as_you_go_rate </t>
    </r>
    <r>
      <rPr>
        <b/>
        <sz val="10"/>
        <color rgb="FF0080FF"/>
        <rFont val="Consolas"/>
        <family val="3"/>
      </rPr>
      <t>IS</t>
    </r>
    <r>
      <rPr>
        <b/>
        <sz val="10"/>
        <color theme="1"/>
        <rFont val="Consolas"/>
        <family val="3"/>
      </rPr>
      <t xml:space="preserve"> </t>
    </r>
    <r>
      <rPr>
        <b/>
        <sz val="10"/>
        <color rgb="FFFF2800"/>
        <rFont val="Consolas"/>
        <family val="3"/>
      </rPr>
      <t>'通話従量率'</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</si>
  <si>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international_call_pay_as_you_go_rate </t>
    </r>
    <r>
      <rPr>
        <b/>
        <sz val="10"/>
        <color rgb="FF0080FF"/>
        <rFont val="Consolas"/>
        <family val="3"/>
      </rPr>
      <t>IS</t>
    </r>
    <r>
      <rPr>
        <b/>
        <sz val="10"/>
        <color theme="1"/>
        <rFont val="Consolas"/>
        <family val="3"/>
      </rPr>
      <t xml:space="preserve"> </t>
    </r>
    <r>
      <rPr>
        <b/>
        <sz val="10"/>
        <color rgb="FFFF2800"/>
        <rFont val="Consolas"/>
        <family val="3"/>
      </rPr>
      <t>'国際通話従量率'</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</si>
  <si>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international_access_charge </t>
    </r>
    <r>
      <rPr>
        <b/>
        <sz val="10"/>
        <color rgb="FF0080FF"/>
        <rFont val="Consolas"/>
        <family val="3"/>
      </rPr>
      <t>IS</t>
    </r>
    <r>
      <rPr>
        <b/>
        <sz val="10"/>
        <color theme="1"/>
        <rFont val="Consolas"/>
        <family val="3"/>
      </rPr>
      <t xml:space="preserve"> </t>
    </r>
    <r>
      <rPr>
        <b/>
        <sz val="10"/>
        <color rgb="FFFF2800"/>
        <rFont val="Consolas"/>
        <family val="3"/>
      </rPr>
      <t>'国際アクセスチャージ'</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</si>
  <si>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previous_consolidated_operating_contribution_margin </t>
    </r>
    <r>
      <rPr>
        <b/>
        <sz val="10"/>
        <color rgb="FF0080FF"/>
        <rFont val="Consolas"/>
        <family val="3"/>
      </rPr>
      <t>IS</t>
    </r>
    <r>
      <rPr>
        <b/>
        <sz val="10"/>
        <color theme="1"/>
        <rFont val="Consolas"/>
        <family val="3"/>
      </rPr>
      <t xml:space="preserve"> </t>
    </r>
    <r>
      <rPr>
        <b/>
        <sz val="10"/>
        <color rgb="FFFF2800"/>
        <rFont val="Consolas"/>
        <family val="3"/>
      </rPr>
      <t>'旧連結営業貢献利益'</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</si>
  <si>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new_sbm_npv </t>
    </r>
    <r>
      <rPr>
        <b/>
        <sz val="10"/>
        <color rgb="FF0080FF"/>
        <rFont val="Consolas"/>
        <family val="3"/>
      </rPr>
      <t>IS</t>
    </r>
    <r>
      <rPr>
        <b/>
        <sz val="10"/>
        <color theme="1"/>
        <rFont val="Consolas"/>
        <family val="3"/>
      </rPr>
      <t xml:space="preserve"> </t>
    </r>
    <r>
      <rPr>
        <b/>
        <sz val="10"/>
        <color rgb="FFFF2800"/>
        <rFont val="Consolas"/>
        <family val="3"/>
      </rPr>
      <t>'新sbmnpv'</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</si>
  <si>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private_consultation_1 </t>
    </r>
    <r>
      <rPr>
        <b/>
        <sz val="10"/>
        <color rgb="FF0080FF"/>
        <rFont val="Consolas"/>
        <family val="3"/>
      </rPr>
      <t>IS</t>
    </r>
    <r>
      <rPr>
        <b/>
        <sz val="10"/>
        <color theme="1"/>
        <rFont val="Consolas"/>
        <family val="3"/>
      </rPr>
      <t xml:space="preserve"> </t>
    </r>
    <r>
      <rPr>
        <b/>
        <sz val="10"/>
        <color rgb="FFFF2800"/>
        <rFont val="Consolas"/>
        <family val="3"/>
      </rPr>
      <t>'相対相談1'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</si>
  <si>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private_consultation_2 </t>
    </r>
    <r>
      <rPr>
        <b/>
        <sz val="10"/>
        <color rgb="FF0080FF"/>
        <rFont val="Consolas"/>
        <family val="3"/>
      </rPr>
      <t>IS</t>
    </r>
    <r>
      <rPr>
        <b/>
        <sz val="10"/>
        <color theme="1"/>
        <rFont val="Consolas"/>
        <family val="3"/>
      </rPr>
      <t xml:space="preserve"> </t>
    </r>
    <r>
      <rPr>
        <b/>
        <sz val="10"/>
        <color rgb="FFFF2800"/>
        <rFont val="Consolas"/>
        <family val="3"/>
      </rPr>
      <t>'相対相談2'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</si>
  <si>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private_consultation_3 </t>
    </r>
    <r>
      <rPr>
        <b/>
        <sz val="10"/>
        <color rgb="FF0080FF"/>
        <rFont val="Consolas"/>
        <family val="3"/>
      </rPr>
      <t>IS</t>
    </r>
    <r>
      <rPr>
        <b/>
        <sz val="10"/>
        <color theme="1"/>
        <rFont val="Consolas"/>
        <family val="3"/>
      </rPr>
      <t xml:space="preserve"> </t>
    </r>
    <r>
      <rPr>
        <b/>
        <sz val="10"/>
        <color rgb="FFFF2800"/>
        <rFont val="Consolas"/>
        <family val="3"/>
      </rPr>
      <t>'相対相談3'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</si>
  <si>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private_consultation_4 </t>
    </r>
    <r>
      <rPr>
        <b/>
        <sz val="10"/>
        <color rgb="FF0080FF"/>
        <rFont val="Consolas"/>
        <family val="3"/>
      </rPr>
      <t>IS</t>
    </r>
    <r>
      <rPr>
        <b/>
        <sz val="10"/>
        <color theme="1"/>
        <rFont val="Consolas"/>
        <family val="3"/>
      </rPr>
      <t xml:space="preserve"> </t>
    </r>
    <r>
      <rPr>
        <b/>
        <sz val="10"/>
        <color rgb="FFFF2800"/>
        <rFont val="Consolas"/>
        <family val="3"/>
      </rPr>
      <t>'相対相談4'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</si>
  <si>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private_consultation_5 </t>
    </r>
    <r>
      <rPr>
        <b/>
        <sz val="10"/>
        <color rgb="FF0080FF"/>
        <rFont val="Consolas"/>
        <family val="3"/>
      </rPr>
      <t>IS</t>
    </r>
    <r>
      <rPr>
        <b/>
        <sz val="10"/>
        <color theme="1"/>
        <rFont val="Consolas"/>
        <family val="3"/>
      </rPr>
      <t xml:space="preserve"> </t>
    </r>
    <r>
      <rPr>
        <b/>
        <sz val="10"/>
        <color rgb="FFFF2800"/>
        <rFont val="Consolas"/>
        <family val="3"/>
      </rPr>
      <t>'相対相談5'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</si>
  <si>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private_consultation_6 </t>
    </r>
    <r>
      <rPr>
        <b/>
        <sz val="10"/>
        <color rgb="FF0080FF"/>
        <rFont val="Consolas"/>
        <family val="3"/>
      </rPr>
      <t>IS</t>
    </r>
    <r>
      <rPr>
        <b/>
        <sz val="10"/>
        <color theme="1"/>
        <rFont val="Consolas"/>
        <family val="3"/>
      </rPr>
      <t xml:space="preserve"> </t>
    </r>
    <r>
      <rPr>
        <b/>
        <sz val="10"/>
        <color rgb="FFFF2800"/>
        <rFont val="Consolas"/>
        <family val="3"/>
      </rPr>
      <t>'相対相談6'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</si>
  <si>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private_consultation_7 </t>
    </r>
    <r>
      <rPr>
        <b/>
        <sz val="10"/>
        <color rgb="FF0080FF"/>
        <rFont val="Consolas"/>
        <family val="3"/>
      </rPr>
      <t>IS</t>
    </r>
    <r>
      <rPr>
        <b/>
        <sz val="10"/>
        <color theme="1"/>
        <rFont val="Consolas"/>
        <family val="3"/>
      </rPr>
      <t xml:space="preserve"> </t>
    </r>
    <r>
      <rPr>
        <b/>
        <sz val="10"/>
        <color rgb="FFFF2800"/>
        <rFont val="Consolas"/>
        <family val="3"/>
      </rPr>
      <t>'相対相談7'</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</si>
  <si>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private_consultation_consultation_8 </t>
    </r>
    <r>
      <rPr>
        <b/>
        <sz val="10"/>
        <color rgb="FF0080FF"/>
        <rFont val="Consolas"/>
        <family val="3"/>
      </rPr>
      <t>IS</t>
    </r>
    <r>
      <rPr>
        <b/>
        <sz val="10"/>
        <color theme="1"/>
        <rFont val="Consolas"/>
        <family val="3"/>
      </rPr>
      <t xml:space="preserve"> </t>
    </r>
    <r>
      <rPr>
        <b/>
        <sz val="10"/>
        <color rgb="FFFF2800"/>
        <rFont val="Consolas"/>
        <family val="3"/>
      </rPr>
      <t>'相対相談8'</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</si>
  <si>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consultation_9 </t>
    </r>
    <r>
      <rPr>
        <b/>
        <sz val="10"/>
        <color rgb="FF0080FF"/>
        <rFont val="Consolas"/>
        <family val="3"/>
      </rPr>
      <t>IS</t>
    </r>
    <r>
      <rPr>
        <b/>
        <sz val="10"/>
        <color theme="1"/>
        <rFont val="Consolas"/>
        <family val="3"/>
      </rPr>
      <t xml:space="preserve"> </t>
    </r>
    <r>
      <rPr>
        <b/>
        <sz val="10"/>
        <color rgb="FFFF2800"/>
        <rFont val="Consolas"/>
        <family val="3"/>
      </rPr>
      <t>'相対相談9'</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</si>
  <si>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consultation_10 </t>
    </r>
    <r>
      <rPr>
        <b/>
        <sz val="10"/>
        <color rgb="FF0080FF"/>
        <rFont val="Consolas"/>
        <family val="3"/>
      </rPr>
      <t>IS</t>
    </r>
    <r>
      <rPr>
        <b/>
        <sz val="10"/>
        <color theme="1"/>
        <rFont val="Consolas"/>
        <family val="3"/>
      </rPr>
      <t xml:space="preserve"> </t>
    </r>
    <r>
      <rPr>
        <b/>
        <sz val="10"/>
        <color rgb="FFFF2800"/>
        <rFont val="Consolas"/>
        <family val="3"/>
      </rPr>
      <t>'相対相談10'</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</si>
  <si>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applicable_op_fee_item_1 </t>
    </r>
    <r>
      <rPr>
        <b/>
        <sz val="10"/>
        <color rgb="FF0080FF"/>
        <rFont val="Consolas"/>
        <family val="3"/>
      </rPr>
      <t>IS</t>
    </r>
    <r>
      <rPr>
        <b/>
        <sz val="10"/>
        <color theme="1"/>
        <rFont val="Consolas"/>
        <family val="3"/>
      </rPr>
      <t xml:space="preserve"> </t>
    </r>
    <r>
      <rPr>
        <b/>
        <sz val="10"/>
        <color rgb="FFFF2800"/>
        <rFont val="Consolas"/>
        <family val="3"/>
      </rPr>
      <t>'適用op料金品目1'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</si>
  <si>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applicable_op_basic_fee_1 </t>
    </r>
    <r>
      <rPr>
        <b/>
        <sz val="10"/>
        <color rgb="FF0080FF"/>
        <rFont val="Consolas"/>
        <family val="3"/>
      </rPr>
      <t>IS</t>
    </r>
    <r>
      <rPr>
        <b/>
        <sz val="10"/>
        <color theme="1"/>
        <rFont val="Consolas"/>
        <family val="3"/>
      </rPr>
      <t xml:space="preserve"> </t>
    </r>
    <r>
      <rPr>
        <b/>
        <sz val="10"/>
        <color rgb="FFFF2800"/>
        <rFont val="Consolas"/>
        <family val="3"/>
      </rPr>
      <t>'適用op基本使用料1'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</si>
  <si>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applicable_op_provision_amount_1 </t>
    </r>
    <r>
      <rPr>
        <b/>
        <sz val="10"/>
        <color rgb="FF0080FF"/>
        <rFont val="Consolas"/>
        <family val="3"/>
      </rPr>
      <t>IS</t>
    </r>
    <r>
      <rPr>
        <b/>
        <sz val="10"/>
        <color theme="1"/>
        <rFont val="Consolas"/>
        <family val="3"/>
      </rPr>
      <t xml:space="preserve"> </t>
    </r>
    <r>
      <rPr>
        <b/>
        <sz val="10"/>
        <color rgb="FFFF2800"/>
        <rFont val="Consolas"/>
        <family val="3"/>
      </rPr>
      <t>'適用op提供金額1'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</si>
  <si>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applicable_op_variable_fee_1 </t>
    </r>
    <r>
      <rPr>
        <b/>
        <sz val="10"/>
        <color rgb="FF0080FF"/>
        <rFont val="Consolas"/>
        <family val="3"/>
      </rPr>
      <t>IS</t>
    </r>
    <r>
      <rPr>
        <b/>
        <sz val="10"/>
        <color theme="1"/>
        <rFont val="Consolas"/>
        <family val="3"/>
      </rPr>
      <t xml:space="preserve"> </t>
    </r>
    <r>
      <rPr>
        <b/>
        <sz val="10"/>
        <color rgb="FFFF2800"/>
        <rFont val="Consolas"/>
        <family val="3"/>
      </rPr>
      <t>'適用op変動費1'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</si>
  <si>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applicable_op_fixed_fee_1 </t>
    </r>
    <r>
      <rPr>
        <b/>
        <sz val="10"/>
        <color rgb="FF0080FF"/>
        <rFont val="Consolas"/>
        <family val="3"/>
      </rPr>
      <t>IS</t>
    </r>
    <r>
      <rPr>
        <b/>
        <sz val="10"/>
        <color theme="1"/>
        <rFont val="Consolas"/>
        <family val="3"/>
      </rPr>
      <t xml:space="preserve"> </t>
    </r>
    <r>
      <rPr>
        <b/>
        <sz val="10"/>
        <color rgb="FFFF2800"/>
        <rFont val="Consolas"/>
        <family val="3"/>
      </rPr>
      <t>'適用op固定費1'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</si>
  <si>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applicable_op_start_month_1 </t>
    </r>
    <r>
      <rPr>
        <b/>
        <sz val="10"/>
        <color rgb="FF0080FF"/>
        <rFont val="Consolas"/>
        <family val="3"/>
      </rPr>
      <t>IS</t>
    </r>
    <r>
      <rPr>
        <b/>
        <sz val="10"/>
        <color theme="1"/>
        <rFont val="Consolas"/>
        <family val="3"/>
      </rPr>
      <t xml:space="preserve"> </t>
    </r>
    <r>
      <rPr>
        <b/>
        <sz val="10"/>
        <color rgb="FFFF2800"/>
        <rFont val="Consolas"/>
        <family val="3"/>
      </rPr>
      <t>'適用op開始月1'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</si>
  <si>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applicable_op_period_1 </t>
    </r>
    <r>
      <rPr>
        <b/>
        <sz val="10"/>
        <color rgb="FF0080FF"/>
        <rFont val="Consolas"/>
        <family val="3"/>
      </rPr>
      <t>IS</t>
    </r>
    <r>
      <rPr>
        <b/>
        <sz val="10"/>
        <color theme="1"/>
        <rFont val="Consolas"/>
        <family val="3"/>
      </rPr>
      <t xml:space="preserve"> </t>
    </r>
    <r>
      <rPr>
        <b/>
        <sz val="10"/>
        <color rgb="FFFF2800"/>
        <rFont val="Consolas"/>
        <family val="3"/>
      </rPr>
      <t>'適用op期間1'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</si>
  <si>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applicable_op_perpetual_1 </t>
    </r>
    <r>
      <rPr>
        <b/>
        <sz val="10"/>
        <color rgb="FF0080FF"/>
        <rFont val="Consolas"/>
        <family val="3"/>
      </rPr>
      <t>IS</t>
    </r>
    <r>
      <rPr>
        <b/>
        <sz val="10"/>
        <color theme="1"/>
        <rFont val="Consolas"/>
        <family val="3"/>
      </rPr>
      <t xml:space="preserve"> </t>
    </r>
    <r>
      <rPr>
        <b/>
        <sz val="10"/>
        <color rgb="FFFF2800"/>
        <rFont val="Consolas"/>
        <family val="3"/>
      </rPr>
      <t>'適用op永年1'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</si>
  <si>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applicable_op_fee_item_2 </t>
    </r>
    <r>
      <rPr>
        <b/>
        <sz val="10"/>
        <color rgb="FF0080FF"/>
        <rFont val="Consolas"/>
        <family val="3"/>
      </rPr>
      <t>IS</t>
    </r>
    <r>
      <rPr>
        <b/>
        <sz val="10"/>
        <color theme="1"/>
        <rFont val="Consolas"/>
        <family val="3"/>
      </rPr>
      <t xml:space="preserve"> </t>
    </r>
    <r>
      <rPr>
        <b/>
        <sz val="10"/>
        <color rgb="FFFF2800"/>
        <rFont val="Consolas"/>
        <family val="3"/>
      </rPr>
      <t>'適用op料金品目2'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</si>
  <si>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applicable_op_basic_fee_2 </t>
    </r>
    <r>
      <rPr>
        <b/>
        <sz val="10"/>
        <color rgb="FF0080FF"/>
        <rFont val="Consolas"/>
        <family val="3"/>
      </rPr>
      <t>IS</t>
    </r>
    <r>
      <rPr>
        <b/>
        <sz val="10"/>
        <color theme="1"/>
        <rFont val="Consolas"/>
        <family val="3"/>
      </rPr>
      <t xml:space="preserve"> </t>
    </r>
    <r>
      <rPr>
        <b/>
        <sz val="10"/>
        <color rgb="FFFF2800"/>
        <rFont val="Consolas"/>
        <family val="3"/>
      </rPr>
      <t>'適用op基本使用料2'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</si>
  <si>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applicable_op_provision_amount_2 </t>
    </r>
    <r>
      <rPr>
        <b/>
        <sz val="10"/>
        <color rgb="FF0080FF"/>
        <rFont val="Consolas"/>
        <family val="3"/>
      </rPr>
      <t>IS</t>
    </r>
    <r>
      <rPr>
        <b/>
        <sz val="10"/>
        <color theme="1"/>
        <rFont val="Consolas"/>
        <family val="3"/>
      </rPr>
      <t xml:space="preserve"> </t>
    </r>
    <r>
      <rPr>
        <b/>
        <sz val="10"/>
        <color rgb="FFFF2800"/>
        <rFont val="Consolas"/>
        <family val="3"/>
      </rPr>
      <t>'適用op提供金額2'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</si>
  <si>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applicable_op_variable_fee_2 </t>
    </r>
    <r>
      <rPr>
        <b/>
        <sz val="10"/>
        <color rgb="FF0080FF"/>
        <rFont val="Consolas"/>
        <family val="3"/>
      </rPr>
      <t>IS</t>
    </r>
    <r>
      <rPr>
        <b/>
        <sz val="10"/>
        <color theme="1"/>
        <rFont val="Consolas"/>
        <family val="3"/>
      </rPr>
      <t xml:space="preserve"> </t>
    </r>
    <r>
      <rPr>
        <b/>
        <sz val="10"/>
        <color rgb="FFFF2800"/>
        <rFont val="Consolas"/>
        <family val="3"/>
      </rPr>
      <t>'適用op変動費2'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</si>
  <si>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applicable_op_fixed_fee_2 </t>
    </r>
    <r>
      <rPr>
        <b/>
        <sz val="10"/>
        <color rgb="FF0080FF"/>
        <rFont val="Consolas"/>
        <family val="3"/>
      </rPr>
      <t>IS</t>
    </r>
    <r>
      <rPr>
        <b/>
        <sz val="10"/>
        <color theme="1"/>
        <rFont val="Consolas"/>
        <family val="3"/>
      </rPr>
      <t xml:space="preserve"> </t>
    </r>
    <r>
      <rPr>
        <b/>
        <sz val="10"/>
        <color rgb="FFFF2800"/>
        <rFont val="Consolas"/>
        <family val="3"/>
      </rPr>
      <t>'適用op固定費2'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</si>
  <si>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applicable_op_start_month_2 </t>
    </r>
    <r>
      <rPr>
        <b/>
        <sz val="10"/>
        <color rgb="FF0080FF"/>
        <rFont val="Consolas"/>
        <family val="3"/>
      </rPr>
      <t>IS</t>
    </r>
    <r>
      <rPr>
        <b/>
        <sz val="10"/>
        <color theme="1"/>
        <rFont val="Consolas"/>
        <family val="3"/>
      </rPr>
      <t xml:space="preserve"> </t>
    </r>
    <r>
      <rPr>
        <b/>
        <sz val="10"/>
        <color rgb="FFFF2800"/>
        <rFont val="Consolas"/>
        <family val="3"/>
      </rPr>
      <t>'適用op開始月2'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</si>
  <si>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applicable_op_period_2 </t>
    </r>
    <r>
      <rPr>
        <b/>
        <sz val="10"/>
        <color rgb="FF0080FF"/>
        <rFont val="Consolas"/>
        <family val="3"/>
      </rPr>
      <t>IS</t>
    </r>
    <r>
      <rPr>
        <b/>
        <sz val="10"/>
        <color theme="1"/>
        <rFont val="Consolas"/>
        <family val="3"/>
      </rPr>
      <t xml:space="preserve"> </t>
    </r>
    <r>
      <rPr>
        <b/>
        <sz val="10"/>
        <color rgb="FFFF2800"/>
        <rFont val="Consolas"/>
        <family val="3"/>
      </rPr>
      <t>'適用op期間2'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</si>
  <si>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applicable_op_perpetual_2 </t>
    </r>
    <r>
      <rPr>
        <b/>
        <sz val="10"/>
        <color rgb="FF0080FF"/>
        <rFont val="Consolas"/>
        <family val="3"/>
      </rPr>
      <t>IS</t>
    </r>
    <r>
      <rPr>
        <b/>
        <sz val="10"/>
        <color theme="1"/>
        <rFont val="Consolas"/>
        <family val="3"/>
      </rPr>
      <t xml:space="preserve"> </t>
    </r>
    <r>
      <rPr>
        <b/>
        <sz val="10"/>
        <color rgb="FFFF2800"/>
        <rFont val="Consolas"/>
        <family val="3"/>
      </rPr>
      <t>'適用op永年2'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</si>
  <si>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applicable_op_fee_item_3 </t>
    </r>
    <r>
      <rPr>
        <b/>
        <sz val="10"/>
        <color rgb="FF0080FF"/>
        <rFont val="Consolas"/>
        <family val="3"/>
      </rPr>
      <t>IS</t>
    </r>
    <r>
      <rPr>
        <b/>
        <sz val="10"/>
        <color theme="1"/>
        <rFont val="Consolas"/>
        <family val="3"/>
      </rPr>
      <t xml:space="preserve"> </t>
    </r>
    <r>
      <rPr>
        <b/>
        <sz val="10"/>
        <color rgb="FFFF2800"/>
        <rFont val="Consolas"/>
        <family val="3"/>
      </rPr>
      <t>'適用op料金品目3'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</si>
  <si>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applicable_op_basic_fee_3 </t>
    </r>
    <r>
      <rPr>
        <b/>
        <sz val="10"/>
        <color rgb="FF0080FF"/>
        <rFont val="Consolas"/>
        <family val="3"/>
      </rPr>
      <t>IS</t>
    </r>
    <r>
      <rPr>
        <b/>
        <sz val="10"/>
        <color theme="1"/>
        <rFont val="Consolas"/>
        <family val="3"/>
      </rPr>
      <t xml:space="preserve"> </t>
    </r>
    <r>
      <rPr>
        <b/>
        <sz val="10"/>
        <color rgb="FFFF2800"/>
        <rFont val="Consolas"/>
        <family val="3"/>
      </rPr>
      <t>'適用op基本使用料3'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</si>
  <si>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applicable_op_provision_amount_3 </t>
    </r>
    <r>
      <rPr>
        <b/>
        <sz val="10"/>
        <color rgb="FF0080FF"/>
        <rFont val="Consolas"/>
        <family val="3"/>
      </rPr>
      <t>IS</t>
    </r>
    <r>
      <rPr>
        <b/>
        <sz val="10"/>
        <color theme="1"/>
        <rFont val="Consolas"/>
        <family val="3"/>
      </rPr>
      <t xml:space="preserve"> </t>
    </r>
    <r>
      <rPr>
        <b/>
        <sz val="10"/>
        <color rgb="FFFF2800"/>
        <rFont val="Consolas"/>
        <family val="3"/>
      </rPr>
      <t>'適用op提供金額3'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</si>
  <si>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applicable_op_variable_fee_3 </t>
    </r>
    <r>
      <rPr>
        <b/>
        <sz val="10"/>
        <color rgb="FF0080FF"/>
        <rFont val="Consolas"/>
        <family val="3"/>
      </rPr>
      <t>IS</t>
    </r>
    <r>
      <rPr>
        <b/>
        <sz val="10"/>
        <color theme="1"/>
        <rFont val="Consolas"/>
        <family val="3"/>
      </rPr>
      <t xml:space="preserve"> </t>
    </r>
    <r>
      <rPr>
        <b/>
        <sz val="10"/>
        <color rgb="FFFF2800"/>
        <rFont val="Consolas"/>
        <family val="3"/>
      </rPr>
      <t>'適用op変動費3'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</si>
  <si>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applicable_op_fixed_fee_3 </t>
    </r>
    <r>
      <rPr>
        <b/>
        <sz val="10"/>
        <color rgb="FF0080FF"/>
        <rFont val="Consolas"/>
        <family val="3"/>
      </rPr>
      <t>IS</t>
    </r>
    <r>
      <rPr>
        <b/>
        <sz val="10"/>
        <color theme="1"/>
        <rFont val="Consolas"/>
        <family val="3"/>
      </rPr>
      <t xml:space="preserve"> </t>
    </r>
    <r>
      <rPr>
        <b/>
        <sz val="10"/>
        <color rgb="FFFF2800"/>
        <rFont val="Consolas"/>
        <family val="3"/>
      </rPr>
      <t>'適用op固定費3'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</si>
  <si>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applicable_op_start_month_3 </t>
    </r>
    <r>
      <rPr>
        <b/>
        <sz val="10"/>
        <color rgb="FF0080FF"/>
        <rFont val="Consolas"/>
        <family val="3"/>
      </rPr>
      <t>IS</t>
    </r>
    <r>
      <rPr>
        <b/>
        <sz val="10"/>
        <color theme="1"/>
        <rFont val="Consolas"/>
        <family val="3"/>
      </rPr>
      <t xml:space="preserve"> </t>
    </r>
    <r>
      <rPr>
        <b/>
        <sz val="10"/>
        <color rgb="FFFF2800"/>
        <rFont val="Consolas"/>
        <family val="3"/>
      </rPr>
      <t>'適用op開始月3'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</si>
  <si>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applicable_op_period_3 </t>
    </r>
    <r>
      <rPr>
        <b/>
        <sz val="10"/>
        <color rgb="FF0080FF"/>
        <rFont val="Consolas"/>
        <family val="3"/>
      </rPr>
      <t>IS</t>
    </r>
    <r>
      <rPr>
        <b/>
        <sz val="10"/>
        <color theme="1"/>
        <rFont val="Consolas"/>
        <family val="3"/>
      </rPr>
      <t xml:space="preserve"> </t>
    </r>
    <r>
      <rPr>
        <b/>
        <sz val="10"/>
        <color rgb="FFFF2800"/>
        <rFont val="Consolas"/>
        <family val="3"/>
      </rPr>
      <t>'適用op期間3'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</si>
  <si>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applicable_op_perpetual_3 </t>
    </r>
    <r>
      <rPr>
        <b/>
        <sz val="10"/>
        <color rgb="FF0080FF"/>
        <rFont val="Consolas"/>
        <family val="3"/>
      </rPr>
      <t>IS</t>
    </r>
    <r>
      <rPr>
        <b/>
        <sz val="10"/>
        <color theme="1"/>
        <rFont val="Consolas"/>
        <family val="3"/>
      </rPr>
      <t xml:space="preserve"> </t>
    </r>
    <r>
      <rPr>
        <b/>
        <sz val="10"/>
        <color rgb="FFFF2800"/>
        <rFont val="Consolas"/>
        <family val="3"/>
      </rPr>
      <t>'適用op永年3'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</si>
  <si>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applicable_op_fee_item_4 </t>
    </r>
    <r>
      <rPr>
        <b/>
        <sz val="10"/>
        <color rgb="FF0080FF"/>
        <rFont val="Consolas"/>
        <family val="3"/>
      </rPr>
      <t>IS</t>
    </r>
    <r>
      <rPr>
        <b/>
        <sz val="10"/>
        <color theme="1"/>
        <rFont val="Consolas"/>
        <family val="3"/>
      </rPr>
      <t xml:space="preserve"> </t>
    </r>
    <r>
      <rPr>
        <b/>
        <sz val="10"/>
        <color rgb="FFFF2800"/>
        <rFont val="Consolas"/>
        <family val="3"/>
      </rPr>
      <t>'適用op料金品目4'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</si>
  <si>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applicable_op_basic_fee_4 </t>
    </r>
    <r>
      <rPr>
        <b/>
        <sz val="10"/>
        <color rgb="FF0080FF"/>
        <rFont val="Consolas"/>
        <family val="3"/>
      </rPr>
      <t>IS</t>
    </r>
    <r>
      <rPr>
        <b/>
        <sz val="10"/>
        <color theme="1"/>
        <rFont val="Consolas"/>
        <family val="3"/>
      </rPr>
      <t xml:space="preserve"> </t>
    </r>
    <r>
      <rPr>
        <b/>
        <sz val="10"/>
        <color rgb="FFFF2800"/>
        <rFont val="Consolas"/>
        <family val="3"/>
      </rPr>
      <t>'適用op基本使用料4'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</si>
  <si>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applicable_op_provision_amount_4 </t>
    </r>
    <r>
      <rPr>
        <b/>
        <sz val="10"/>
        <color rgb="FF0080FF"/>
        <rFont val="Consolas"/>
        <family val="3"/>
      </rPr>
      <t>IS</t>
    </r>
    <r>
      <rPr>
        <b/>
        <sz val="10"/>
        <color theme="1"/>
        <rFont val="Consolas"/>
        <family val="3"/>
      </rPr>
      <t xml:space="preserve"> </t>
    </r>
    <r>
      <rPr>
        <b/>
        <sz val="10"/>
        <color rgb="FFFF2800"/>
        <rFont val="Consolas"/>
        <family val="3"/>
      </rPr>
      <t>'適用op提供金額4'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</si>
  <si>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applicable_op_variable_fee_4 </t>
    </r>
    <r>
      <rPr>
        <b/>
        <sz val="10"/>
        <color rgb="FF0080FF"/>
        <rFont val="Consolas"/>
        <family val="3"/>
      </rPr>
      <t>IS</t>
    </r>
    <r>
      <rPr>
        <b/>
        <sz val="10"/>
        <color theme="1"/>
        <rFont val="Consolas"/>
        <family val="3"/>
      </rPr>
      <t xml:space="preserve"> </t>
    </r>
    <r>
      <rPr>
        <b/>
        <sz val="10"/>
        <color rgb="FFFF2800"/>
        <rFont val="Consolas"/>
        <family val="3"/>
      </rPr>
      <t>'適用op変動費4'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</si>
  <si>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applicable_op_fixed_fee_4 </t>
    </r>
    <r>
      <rPr>
        <b/>
        <sz val="10"/>
        <color rgb="FF0080FF"/>
        <rFont val="Consolas"/>
        <family val="3"/>
      </rPr>
      <t>IS</t>
    </r>
    <r>
      <rPr>
        <b/>
        <sz val="10"/>
        <color theme="1"/>
        <rFont val="Consolas"/>
        <family val="3"/>
      </rPr>
      <t xml:space="preserve"> </t>
    </r>
    <r>
      <rPr>
        <b/>
        <sz val="10"/>
        <color rgb="FFFF2800"/>
        <rFont val="Consolas"/>
        <family val="3"/>
      </rPr>
      <t>'適用op固定費4'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</si>
  <si>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applicable_op_start_month_4 </t>
    </r>
    <r>
      <rPr>
        <b/>
        <sz val="10"/>
        <color rgb="FF0080FF"/>
        <rFont val="Consolas"/>
        <family val="3"/>
      </rPr>
      <t>IS</t>
    </r>
    <r>
      <rPr>
        <b/>
        <sz val="10"/>
        <color theme="1"/>
        <rFont val="Consolas"/>
        <family val="3"/>
      </rPr>
      <t xml:space="preserve"> </t>
    </r>
    <r>
      <rPr>
        <b/>
        <sz val="10"/>
        <color rgb="FFFF2800"/>
        <rFont val="Consolas"/>
        <family val="3"/>
      </rPr>
      <t>'適用op開始月4'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</si>
  <si>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applicable_op_period_4 </t>
    </r>
    <r>
      <rPr>
        <b/>
        <sz val="10"/>
        <color rgb="FF0080FF"/>
        <rFont val="Consolas"/>
        <family val="3"/>
      </rPr>
      <t>IS</t>
    </r>
    <r>
      <rPr>
        <b/>
        <sz val="10"/>
        <color theme="1"/>
        <rFont val="Consolas"/>
        <family val="3"/>
      </rPr>
      <t xml:space="preserve"> </t>
    </r>
    <r>
      <rPr>
        <b/>
        <sz val="10"/>
        <color rgb="FFFF2800"/>
        <rFont val="Consolas"/>
        <family val="3"/>
      </rPr>
      <t>'適用op期間4'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</si>
  <si>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applicable_op_permanent_4 </t>
    </r>
    <r>
      <rPr>
        <b/>
        <sz val="10"/>
        <color rgb="FF0080FF"/>
        <rFont val="Consolas"/>
        <family val="3"/>
      </rPr>
      <t>IS</t>
    </r>
    <r>
      <rPr>
        <b/>
        <sz val="10"/>
        <color theme="1"/>
        <rFont val="Consolas"/>
        <family val="3"/>
      </rPr>
      <t xml:space="preserve"> </t>
    </r>
    <r>
      <rPr>
        <b/>
        <sz val="10"/>
        <color rgb="FFFF2800"/>
        <rFont val="Consolas"/>
        <family val="3"/>
      </rPr>
      <t>'適用op永年4'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</si>
  <si>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applicable_op_fee_item_5 </t>
    </r>
    <r>
      <rPr>
        <b/>
        <sz val="10"/>
        <color rgb="FF0080FF"/>
        <rFont val="Consolas"/>
        <family val="3"/>
      </rPr>
      <t>IS</t>
    </r>
    <r>
      <rPr>
        <b/>
        <sz val="10"/>
        <color theme="1"/>
        <rFont val="Consolas"/>
        <family val="3"/>
      </rPr>
      <t xml:space="preserve"> </t>
    </r>
    <r>
      <rPr>
        <b/>
        <sz val="10"/>
        <color rgb="FFFF2800"/>
        <rFont val="Consolas"/>
        <family val="3"/>
      </rPr>
      <t>'適用op料金品目5'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</si>
  <si>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applicable_op_basic_monthly_fee_5 </t>
    </r>
    <r>
      <rPr>
        <b/>
        <sz val="10"/>
        <color rgb="FF0080FF"/>
        <rFont val="Consolas"/>
        <family val="3"/>
      </rPr>
      <t>IS</t>
    </r>
    <r>
      <rPr>
        <b/>
        <sz val="10"/>
        <color theme="1"/>
        <rFont val="Consolas"/>
        <family val="3"/>
      </rPr>
      <t xml:space="preserve"> </t>
    </r>
    <r>
      <rPr>
        <b/>
        <sz val="10"/>
        <color rgb="FFFF2800"/>
        <rFont val="Consolas"/>
        <family val="3"/>
      </rPr>
      <t>'適用op基本使用料5'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</si>
  <si>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applicable_op_provision_amount_5 </t>
    </r>
    <r>
      <rPr>
        <b/>
        <sz val="10"/>
        <color rgb="FF0080FF"/>
        <rFont val="Consolas"/>
        <family val="3"/>
      </rPr>
      <t>IS</t>
    </r>
    <r>
      <rPr>
        <b/>
        <sz val="10"/>
        <color theme="1"/>
        <rFont val="Consolas"/>
        <family val="3"/>
      </rPr>
      <t xml:space="preserve"> </t>
    </r>
    <r>
      <rPr>
        <b/>
        <sz val="10"/>
        <color rgb="FFFF2800"/>
        <rFont val="Consolas"/>
        <family val="3"/>
      </rPr>
      <t>'適用op提供金額5'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</si>
  <si>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applicable_op_variable_cost_5 </t>
    </r>
    <r>
      <rPr>
        <b/>
        <sz val="10"/>
        <color rgb="FF0080FF"/>
        <rFont val="Consolas"/>
        <family val="3"/>
      </rPr>
      <t>IS</t>
    </r>
    <r>
      <rPr>
        <b/>
        <sz val="10"/>
        <color theme="1"/>
        <rFont val="Consolas"/>
        <family val="3"/>
      </rPr>
      <t xml:space="preserve"> </t>
    </r>
    <r>
      <rPr>
        <b/>
        <sz val="10"/>
        <color rgb="FFFF2800"/>
        <rFont val="Consolas"/>
        <family val="3"/>
      </rPr>
      <t>'適用op変動費5'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</si>
  <si>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applicable_op_fixed_cost_5 </t>
    </r>
    <r>
      <rPr>
        <b/>
        <sz val="10"/>
        <color rgb="FF0080FF"/>
        <rFont val="Consolas"/>
        <family val="3"/>
      </rPr>
      <t>IS</t>
    </r>
    <r>
      <rPr>
        <b/>
        <sz val="10"/>
        <color theme="1"/>
        <rFont val="Consolas"/>
        <family val="3"/>
      </rPr>
      <t xml:space="preserve"> </t>
    </r>
    <r>
      <rPr>
        <b/>
        <sz val="10"/>
        <color rgb="FFFF2800"/>
        <rFont val="Consolas"/>
        <family val="3"/>
      </rPr>
      <t>'適用op固定費5'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</si>
  <si>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applicable_op_start_month_5 </t>
    </r>
    <r>
      <rPr>
        <b/>
        <sz val="10"/>
        <color rgb="FF0080FF"/>
        <rFont val="Consolas"/>
        <family val="3"/>
      </rPr>
      <t>IS</t>
    </r>
    <r>
      <rPr>
        <b/>
        <sz val="10"/>
        <color theme="1"/>
        <rFont val="Consolas"/>
        <family val="3"/>
      </rPr>
      <t xml:space="preserve"> </t>
    </r>
    <r>
      <rPr>
        <b/>
        <sz val="10"/>
        <color rgb="FFFF2800"/>
        <rFont val="Consolas"/>
        <family val="3"/>
      </rPr>
      <t>'適用op開始月5'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</si>
  <si>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applicable_op_period_5 </t>
    </r>
    <r>
      <rPr>
        <b/>
        <sz val="10"/>
        <color rgb="FF0080FF"/>
        <rFont val="Consolas"/>
        <family val="3"/>
      </rPr>
      <t>IS</t>
    </r>
    <r>
      <rPr>
        <b/>
        <sz val="10"/>
        <color theme="1"/>
        <rFont val="Consolas"/>
        <family val="3"/>
      </rPr>
      <t xml:space="preserve"> </t>
    </r>
    <r>
      <rPr>
        <b/>
        <sz val="10"/>
        <color rgb="FFFF2800"/>
        <rFont val="Consolas"/>
        <family val="3"/>
      </rPr>
      <t>'適用op期間5'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</si>
  <si>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applicable_op_permanent_5 </t>
    </r>
    <r>
      <rPr>
        <b/>
        <sz val="10"/>
        <color rgb="FF0080FF"/>
        <rFont val="Consolas"/>
        <family val="3"/>
      </rPr>
      <t>IS</t>
    </r>
    <r>
      <rPr>
        <b/>
        <sz val="10"/>
        <color theme="1"/>
        <rFont val="Consolas"/>
        <family val="3"/>
      </rPr>
      <t xml:space="preserve"> </t>
    </r>
    <r>
      <rPr>
        <b/>
        <sz val="10"/>
        <color rgb="FFFF2800"/>
        <rFont val="Consolas"/>
        <family val="3"/>
      </rPr>
      <t>'適用op永年5'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</si>
  <si>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wo_otoku_di_registration_bill </t>
    </r>
    <r>
      <rPr>
        <b/>
        <sz val="10"/>
        <color rgb="FF0080FF"/>
        <rFont val="Consolas"/>
        <family val="3"/>
      </rPr>
      <t>IS</t>
    </r>
    <r>
      <rPr>
        <b/>
        <sz val="10"/>
        <color theme="1"/>
        <rFont val="Consolas"/>
        <family val="3"/>
      </rPr>
      <t xml:space="preserve"> </t>
    </r>
    <r>
      <rPr>
        <b/>
        <sz val="10"/>
        <color rgb="FFFF2800"/>
        <rFont val="Consolas"/>
        <family val="3"/>
      </rPr>
      <t>'woおとくdi登録請求額'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</si>
  <si>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wo_otoku_di_usage_bill </t>
    </r>
    <r>
      <rPr>
        <b/>
        <sz val="10"/>
        <color rgb="FF0080FF"/>
        <rFont val="Consolas"/>
        <family val="3"/>
      </rPr>
      <t>IS</t>
    </r>
    <r>
      <rPr>
        <b/>
        <sz val="10"/>
        <color theme="1"/>
        <rFont val="Consolas"/>
        <family val="3"/>
      </rPr>
      <t xml:space="preserve"> </t>
    </r>
    <r>
      <rPr>
        <b/>
        <sz val="10"/>
        <color rgb="FFFF2800"/>
        <rFont val="Consolas"/>
        <family val="3"/>
      </rPr>
      <t>'woおとくdi使用請求額'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</si>
  <si>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number_of_isdn_1500_lines </t>
    </r>
    <r>
      <rPr>
        <b/>
        <sz val="10"/>
        <color rgb="FF0080FF"/>
        <rFont val="Consolas"/>
        <family val="3"/>
      </rPr>
      <t>IS</t>
    </r>
    <r>
      <rPr>
        <b/>
        <sz val="10"/>
        <color theme="1"/>
        <rFont val="Consolas"/>
        <family val="3"/>
      </rPr>
      <t xml:space="preserve"> </t>
    </r>
    <r>
      <rPr>
        <b/>
        <sz val="10"/>
        <color rgb="FFFF2800"/>
        <rFont val="Consolas"/>
        <family val="3"/>
      </rPr>
      <t>'isdn1500回線数'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</si>
  <si>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isdn_1500_registration_charges </t>
    </r>
    <r>
      <rPr>
        <b/>
        <sz val="10"/>
        <color rgb="FF0080FF"/>
        <rFont val="Consolas"/>
        <family val="3"/>
      </rPr>
      <t>IS</t>
    </r>
    <r>
      <rPr>
        <b/>
        <sz val="10"/>
        <color theme="1"/>
        <rFont val="Consolas"/>
        <family val="3"/>
      </rPr>
      <t xml:space="preserve"> </t>
    </r>
    <r>
      <rPr>
        <b/>
        <sz val="10"/>
        <color rgb="FFFF2800"/>
        <rFont val="Consolas"/>
        <family val="3"/>
      </rPr>
      <t>'isdn1500登録請求額'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</si>
  <si>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isdn_1500_connection_charges </t>
    </r>
    <r>
      <rPr>
        <b/>
        <sz val="10"/>
        <color rgb="FF0080FF"/>
        <rFont val="Consolas"/>
        <family val="3"/>
      </rPr>
      <t>IS</t>
    </r>
    <r>
      <rPr>
        <b/>
        <sz val="10"/>
        <color theme="1"/>
        <rFont val="Consolas"/>
        <family val="3"/>
      </rPr>
      <t xml:space="preserve"> </t>
    </r>
    <r>
      <rPr>
        <b/>
        <sz val="10"/>
        <color rgb="FFFF2800"/>
        <rFont val="Consolas"/>
        <family val="3"/>
      </rPr>
      <t>'isdn1500接続請求額'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</si>
  <si>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isdn_1500_flat_rate_charges </t>
    </r>
    <r>
      <rPr>
        <b/>
        <sz val="10"/>
        <color rgb="FF0080FF"/>
        <rFont val="Consolas"/>
        <family val="3"/>
      </rPr>
      <t>IS</t>
    </r>
    <r>
      <rPr>
        <b/>
        <sz val="10"/>
        <color theme="1"/>
        <rFont val="Consolas"/>
        <family val="3"/>
      </rPr>
      <t xml:space="preserve"> </t>
    </r>
    <r>
      <rPr>
        <b/>
        <sz val="10"/>
        <color rgb="FFFF2800"/>
        <rFont val="Consolas"/>
        <family val="3"/>
      </rPr>
      <t>'isdn1500定額請求額'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</si>
  <si>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number_of_isdn64_lines </t>
    </r>
    <r>
      <rPr>
        <b/>
        <sz val="10"/>
        <color rgb="FF0080FF"/>
        <rFont val="Consolas"/>
        <family val="3"/>
      </rPr>
      <t>IS</t>
    </r>
    <r>
      <rPr>
        <b/>
        <sz val="10"/>
        <color theme="1"/>
        <rFont val="Consolas"/>
        <family val="3"/>
      </rPr>
      <t xml:space="preserve"> </t>
    </r>
    <r>
      <rPr>
        <b/>
        <sz val="10"/>
        <color rgb="FFFF2800"/>
        <rFont val="Consolas"/>
        <family val="3"/>
      </rPr>
      <t>'isdn64回線数'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</si>
  <si>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isdn64_registration_charges </t>
    </r>
    <r>
      <rPr>
        <b/>
        <sz val="10"/>
        <color rgb="FF0080FF"/>
        <rFont val="Consolas"/>
        <family val="3"/>
      </rPr>
      <t>IS</t>
    </r>
    <r>
      <rPr>
        <b/>
        <sz val="10"/>
        <color theme="1"/>
        <rFont val="Consolas"/>
        <family val="3"/>
      </rPr>
      <t xml:space="preserve"> </t>
    </r>
    <r>
      <rPr>
        <b/>
        <sz val="10"/>
        <color rgb="FFFF2800"/>
        <rFont val="Consolas"/>
        <family val="3"/>
      </rPr>
      <t>'isdn64登録請求額'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</si>
  <si>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isdn64_connection_charges </t>
    </r>
    <r>
      <rPr>
        <b/>
        <sz val="10"/>
        <color rgb="FF0080FF"/>
        <rFont val="Consolas"/>
        <family val="3"/>
      </rPr>
      <t>IS</t>
    </r>
    <r>
      <rPr>
        <b/>
        <sz val="10"/>
        <color theme="1"/>
        <rFont val="Consolas"/>
        <family val="3"/>
      </rPr>
      <t xml:space="preserve"> </t>
    </r>
    <r>
      <rPr>
        <b/>
        <sz val="10"/>
        <color rgb="FFFF2800"/>
        <rFont val="Consolas"/>
        <family val="3"/>
      </rPr>
      <t>'isdn64接続請求額'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</si>
  <si>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isdn64_flat_rate_charges </t>
    </r>
    <r>
      <rPr>
        <b/>
        <sz val="10"/>
        <color rgb="FF0080FF"/>
        <rFont val="Consolas"/>
        <family val="3"/>
      </rPr>
      <t>IS</t>
    </r>
    <r>
      <rPr>
        <b/>
        <sz val="10"/>
        <color theme="1"/>
        <rFont val="Consolas"/>
        <family val="3"/>
      </rPr>
      <t xml:space="preserve"> </t>
    </r>
    <r>
      <rPr>
        <b/>
        <sz val="10"/>
        <color rgb="FFFF2800"/>
        <rFont val="Consolas"/>
        <family val="3"/>
      </rPr>
      <t>'isdn64定額請求額'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</si>
  <si>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new_customer_cancellation_new_customer_cancellation </t>
    </r>
    <r>
      <rPr>
        <b/>
        <sz val="10"/>
        <color rgb="FF0080FF"/>
        <rFont val="Consolas"/>
        <family val="3"/>
      </rPr>
      <t>IS</t>
    </r>
    <r>
      <rPr>
        <b/>
        <sz val="10"/>
        <color theme="1"/>
        <rFont val="Consolas"/>
        <family val="3"/>
      </rPr>
      <t xml:space="preserve"> </t>
    </r>
    <r>
      <rPr>
        <b/>
        <sz val="10"/>
        <color rgb="FFFF2800"/>
        <rFont val="Consolas"/>
        <family val="3"/>
      </rPr>
      <t>'解約新規有無'</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</si>
  <si>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unsupported_product_code </t>
    </r>
    <r>
      <rPr>
        <b/>
        <sz val="10"/>
        <color rgb="FF0080FF"/>
        <rFont val="Consolas"/>
        <family val="3"/>
      </rPr>
      <t>IS</t>
    </r>
    <r>
      <rPr>
        <b/>
        <sz val="10"/>
        <color theme="1"/>
        <rFont val="Consolas"/>
        <family val="3"/>
      </rPr>
      <t xml:space="preserve"> </t>
    </r>
    <r>
      <rPr>
        <b/>
        <sz val="10"/>
        <color rgb="FFFF2800"/>
        <rFont val="Consolas"/>
        <family val="3"/>
      </rPr>
      <t>'未対応商品コード'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</si>
  <si>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unsupported_product_name </t>
    </r>
    <r>
      <rPr>
        <b/>
        <sz val="10"/>
        <color rgb="FF0080FF"/>
        <rFont val="Consolas"/>
        <family val="3"/>
      </rPr>
      <t>IS</t>
    </r>
    <r>
      <rPr>
        <b/>
        <sz val="10"/>
        <color theme="1"/>
        <rFont val="Consolas"/>
        <family val="3"/>
      </rPr>
      <t xml:space="preserve"> </t>
    </r>
    <r>
      <rPr>
        <b/>
        <sz val="10"/>
        <color rgb="FFFF2800"/>
        <rFont val="Consolas"/>
        <family val="3"/>
      </rPr>
      <t>'未対応商品名称'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</si>
  <si>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estimated_pseudo_share_capacity </t>
    </r>
    <r>
      <rPr>
        <b/>
        <sz val="10"/>
        <color rgb="FF0080FF"/>
        <rFont val="Consolas"/>
        <family val="3"/>
      </rPr>
      <t>IS</t>
    </r>
    <r>
      <rPr>
        <b/>
        <sz val="10"/>
        <color theme="1"/>
        <rFont val="Consolas"/>
        <family val="3"/>
      </rPr>
      <t xml:space="preserve"> </t>
    </r>
    <r>
      <rPr>
        <b/>
        <sz val="10"/>
        <color rgb="FFFF2800"/>
        <rFont val="Consolas"/>
        <family val="3"/>
      </rPr>
      <t>'疑似シェア試算容量'</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</si>
  <si>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estimated_pseudo_share_excess_charge </t>
    </r>
    <r>
      <rPr>
        <b/>
        <sz val="10"/>
        <color rgb="FF0080FF"/>
        <rFont val="Consolas"/>
        <family val="3"/>
      </rPr>
      <t>IS</t>
    </r>
    <r>
      <rPr>
        <b/>
        <sz val="10"/>
        <color theme="1"/>
        <rFont val="Consolas"/>
        <family val="3"/>
      </rPr>
      <t xml:space="preserve"> </t>
    </r>
    <r>
      <rPr>
        <b/>
        <sz val="10"/>
        <color rgb="FFFF2800"/>
        <rFont val="Consolas"/>
        <family val="3"/>
      </rPr>
      <t>'疑似シェア超過料'</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</si>
  <si>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esim_registration </t>
    </r>
    <r>
      <rPr>
        <b/>
        <sz val="10"/>
        <color rgb="FF0080FF"/>
        <rFont val="Consolas"/>
        <family val="3"/>
      </rPr>
      <t>IS</t>
    </r>
    <r>
      <rPr>
        <b/>
        <sz val="10"/>
        <color theme="1"/>
        <rFont val="Consolas"/>
        <family val="3"/>
      </rPr>
      <t xml:space="preserve"> </t>
    </r>
    <r>
      <rPr>
        <b/>
        <sz val="10"/>
        <color rgb="FFFF2800"/>
        <rFont val="Consolas"/>
        <family val="3"/>
      </rPr>
      <t>'esim登録'</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</si>
  <si>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current_device_contract_period </t>
    </r>
    <r>
      <rPr>
        <b/>
        <sz val="10"/>
        <color rgb="FF0080FF"/>
        <rFont val="Consolas"/>
        <family val="3"/>
      </rPr>
      <t>IS</t>
    </r>
    <r>
      <rPr>
        <b/>
        <sz val="10"/>
        <color theme="1"/>
        <rFont val="Consolas"/>
        <family val="3"/>
      </rPr>
      <t xml:space="preserve"> </t>
    </r>
    <r>
      <rPr>
        <b/>
        <sz val="10"/>
        <color rgb="FFFF2800"/>
        <rFont val="Consolas"/>
        <family val="3"/>
      </rPr>
      <t>'現端末契約期間'</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</si>
  <si>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bfs_service_summary_device</t>
    </r>
    <r>
      <rPr>
        <b/>
        <sz val="10"/>
        <color rgb="FF808080"/>
        <rFont val="Consolas"/>
        <family val="3"/>
      </rPr>
      <t>.</t>
    </r>
    <r>
      <rPr>
        <b/>
        <sz val="10"/>
        <color theme="1"/>
        <rFont val="Consolas"/>
        <family val="3"/>
      </rPr>
      <t xml:space="preserve">reflected_in_summary_unit </t>
    </r>
    <r>
      <rPr>
        <b/>
        <sz val="10"/>
        <color rgb="FF0080FF"/>
        <rFont val="Consolas"/>
        <family val="3"/>
      </rPr>
      <t>IS</t>
    </r>
    <r>
      <rPr>
        <b/>
        <sz val="10"/>
        <color theme="1"/>
        <rFont val="Consolas"/>
        <family val="3"/>
      </rPr>
      <t xml:space="preserve"> </t>
    </r>
    <r>
      <rPr>
        <b/>
        <sz val="10"/>
        <color rgb="FFFF2800"/>
        <rFont val="Consolas"/>
        <family val="3"/>
      </rPr>
      <t>'サマリ単位反映'</t>
    </r>
    <r>
      <rPr>
        <b/>
        <sz val="10"/>
        <color rgb="FF808080"/>
        <rFont val="Consolas"/>
        <family val="3"/>
      </rPr>
      <t>;</t>
    </r>
  </si>
  <si>
    <t>b_hjn_bfs_モバイル_エントリ情報</t>
  </si>
  <si>
    <t>V004409</t>
  </si>
  <si>
    <t>bfs_entry_information</t>
    <phoneticPr fontId="2"/>
  </si>
  <si>
    <t>（BFS）モバイル_エントリ情報</t>
    <phoneticPr fontId="2"/>
  </si>
  <si>
    <r>
      <t>DROP</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EXISTS</t>
    </r>
    <r>
      <rPr>
        <b/>
        <sz val="10"/>
        <color theme="1"/>
        <rFont val="Consolas"/>
        <family val="3"/>
      </rPr>
      <t xml:space="preserve"> bfs_entry_information </t>
    </r>
    <r>
      <rPr>
        <b/>
        <sz val="10"/>
        <color rgb="FF0080FF"/>
        <rFont val="Consolas"/>
        <family val="3"/>
      </rPr>
      <t>CASCADE</t>
    </r>
    <r>
      <rPr>
        <b/>
        <sz val="10"/>
        <color rgb="FF808080"/>
        <rFont val="Consolas"/>
        <family val="3"/>
      </rPr>
      <t>;</t>
    </r>
    <r>
      <rPr>
        <b/>
        <sz val="10"/>
        <color theme="1"/>
        <rFont val="Consolas"/>
        <family val="3"/>
      </rPr>
      <t xml:space="preserve"> </t>
    </r>
  </si>
  <si>
    <r>
      <t>CREATE</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NOT</t>
    </r>
    <r>
      <rPr>
        <b/>
        <sz val="10"/>
        <color theme="1"/>
        <rFont val="Consolas"/>
        <family val="3"/>
      </rPr>
      <t xml:space="preserve"> </t>
    </r>
    <r>
      <rPr>
        <b/>
        <sz val="10"/>
        <color rgb="FF0080FF"/>
        <rFont val="Consolas"/>
        <family val="3"/>
      </rPr>
      <t>EXISTS</t>
    </r>
    <r>
      <rPr>
        <b/>
        <sz val="10"/>
        <color theme="1"/>
        <rFont val="Consolas"/>
        <family val="3"/>
      </rPr>
      <t xml:space="preserve"> bfs_entry_information </t>
    </r>
    <r>
      <rPr>
        <b/>
        <sz val="10"/>
        <color rgb="FF808080"/>
        <rFont val="Consolas"/>
        <family val="3"/>
      </rPr>
      <t>(</t>
    </r>
    <r>
      <rPr>
        <b/>
        <sz val="10"/>
        <color theme="1"/>
        <rFont val="Consolas"/>
        <family val="3"/>
      </rPr>
      <t xml:space="preserve"> </t>
    </r>
  </si>
  <si>
    <t>件名</t>
  </si>
  <si>
    <t>subject</t>
  </si>
  <si>
    <r>
      <t xml:space="preserve">subject </t>
    </r>
    <r>
      <rPr>
        <b/>
        <sz val="10"/>
        <color rgb="FF0080FF"/>
        <rFont val="Consolas"/>
        <family val="3"/>
      </rPr>
      <t>VARCHAR</t>
    </r>
    <r>
      <rPr>
        <b/>
        <sz val="10"/>
        <color rgb="FF808080"/>
        <rFont val="Consolas"/>
        <family val="3"/>
      </rPr>
      <t>(</t>
    </r>
    <r>
      <rPr>
        <b/>
        <sz val="10"/>
        <color rgb="FFFF2800"/>
        <rFont val="Consolas"/>
        <family val="3"/>
      </rPr>
      <t>2304</t>
    </r>
    <r>
      <rPr>
        <b/>
        <sz val="10"/>
        <color rgb="FF808080"/>
        <rFont val="Consolas"/>
        <family val="3"/>
      </rPr>
      <t>),</t>
    </r>
  </si>
  <si>
    <t>作成区分</t>
  </si>
  <si>
    <t>creation_category</t>
  </si>
  <si>
    <r>
      <t xml:space="preserve">creation_category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</si>
  <si>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オーダ種別</t>
  </si>
  <si>
    <t>order_type</t>
  </si>
  <si>
    <r>
      <t xml:space="preserve">order_type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</si>
  <si>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申込書連携</t>
  </si>
  <si>
    <t>application_form_linkage</t>
  </si>
  <si>
    <r>
      <t xml:space="preserve">application_form_linkage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</si>
  <si>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特約分離出力有無</t>
  </si>
  <si>
    <t>special_contract_separate_output</t>
  </si>
  <si>
    <r>
      <t xml:space="preserve">special_contract_separate_output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</si>
  <si>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通知書対象</t>
  </si>
  <si>
    <t>notification_target</t>
  </si>
  <si>
    <r>
      <t xml:space="preserve">notification_target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</si>
  <si>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開通済有無</t>
  </si>
  <si>
    <t>activation_status</t>
  </si>
  <si>
    <r>
      <t xml:space="preserve">activation_status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</si>
  <si>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開通日</t>
  </si>
  <si>
    <t>activation_date</t>
  </si>
  <si>
    <r>
      <t xml:space="preserve">activation_date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</si>
  <si>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非完結依頼種別</t>
  </si>
  <si>
    <t>incomplete_request_type</t>
  </si>
  <si>
    <r>
      <t xml:space="preserve">incomplete_request_type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</si>
  <si>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コピー元エントリ種別</t>
  </si>
  <si>
    <t>source_entry_type</t>
  </si>
  <si>
    <r>
      <t xml:space="preserve">source_entry_type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</si>
  <si>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営業担当者コード</t>
  </si>
  <si>
    <t>salesperson_code</t>
  </si>
  <si>
    <r>
      <t xml:space="preserve">salesperson_code </t>
    </r>
    <r>
      <rPr>
        <b/>
        <sz val="10"/>
        <color rgb="FF0080FF"/>
        <rFont val="Consolas"/>
        <family val="3"/>
      </rPr>
      <t>VARCHAR</t>
    </r>
    <r>
      <rPr>
        <b/>
        <sz val="10"/>
        <color rgb="FF808080"/>
        <rFont val="Consolas"/>
        <family val="3"/>
      </rPr>
      <t>(</t>
    </r>
    <r>
      <rPr>
        <b/>
        <sz val="10"/>
        <color rgb="FFFF2800"/>
        <rFont val="Consolas"/>
        <family val="3"/>
      </rPr>
      <t>21</t>
    </r>
    <r>
      <rPr>
        <b/>
        <sz val="10"/>
        <color rgb="FF808080"/>
        <rFont val="Consolas"/>
        <family val="3"/>
      </rPr>
      <t>),</t>
    </r>
  </si>
  <si>
    <t>営業担当者</t>
  </si>
  <si>
    <t>salesperson</t>
  </si>
  <si>
    <r>
      <t xml:space="preserve">salesperson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</si>
  <si>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取次店コード</t>
  </si>
  <si>
    <t>agency_code</t>
  </si>
  <si>
    <r>
      <t xml:space="preserve">agency_code </t>
    </r>
    <r>
      <rPr>
        <b/>
        <sz val="10"/>
        <color rgb="FF0080FF"/>
        <rFont val="Consolas"/>
        <family val="3"/>
      </rPr>
      <t>VARCHAR</t>
    </r>
    <r>
      <rPr>
        <b/>
        <sz val="10"/>
        <color rgb="FF808080"/>
        <rFont val="Consolas"/>
        <family val="3"/>
      </rPr>
      <t>(</t>
    </r>
    <r>
      <rPr>
        <b/>
        <sz val="10"/>
        <color rgb="FFFF2800"/>
        <rFont val="Consolas"/>
        <family val="3"/>
      </rPr>
      <t>27</t>
    </r>
    <r>
      <rPr>
        <b/>
        <sz val="10"/>
        <color rgb="FF808080"/>
        <rFont val="Consolas"/>
        <family val="3"/>
      </rPr>
      <t>),</t>
    </r>
  </si>
  <si>
    <t>所属代理店</t>
  </si>
  <si>
    <t>affiliated_agency</t>
  </si>
  <si>
    <r>
      <t xml:space="preserve">affiliated_agency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</si>
  <si>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キャリア種別</t>
  </si>
  <si>
    <t>carrier_type</t>
  </si>
  <si>
    <r>
      <t xml:space="preserve">carrier_type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</si>
  <si>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事業者区分</t>
  </si>
  <si>
    <t>business_operator_category</t>
  </si>
  <si>
    <r>
      <t xml:space="preserve">business_operator_category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</si>
  <si>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申込書番号</t>
  </si>
  <si>
    <t>application_form_number</t>
  </si>
  <si>
    <r>
      <t xml:space="preserve">application_form_number </t>
    </r>
    <r>
      <rPr>
        <b/>
        <sz val="10"/>
        <color rgb="FF0080FF"/>
        <rFont val="Consolas"/>
        <family val="3"/>
      </rPr>
      <t>VARCHAR</t>
    </r>
    <r>
      <rPr>
        <b/>
        <sz val="10"/>
        <color rgb="FF808080"/>
        <rFont val="Consolas"/>
        <family val="3"/>
      </rPr>
      <t>(</t>
    </r>
    <r>
      <rPr>
        <b/>
        <sz val="10"/>
        <color rgb="FFFF2800"/>
        <rFont val="Consolas"/>
        <family val="3"/>
      </rPr>
      <t>54</t>
    </r>
    <r>
      <rPr>
        <b/>
        <sz val="10"/>
        <color rgb="FF808080"/>
        <rFont val="Consolas"/>
        <family val="3"/>
      </rPr>
      <t>),</t>
    </r>
  </si>
  <si>
    <t>契約種別</t>
  </si>
  <si>
    <t>contract_type</t>
  </si>
  <si>
    <r>
      <t xml:space="preserve">contract_type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</si>
  <si>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納品予定日</t>
  </si>
  <si>
    <t>expected_delivery_date</t>
  </si>
  <si>
    <r>
      <t xml:space="preserve">expected_delivery_date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</si>
  <si>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申込日</t>
  </si>
  <si>
    <t>application_date</t>
  </si>
  <si>
    <r>
      <t xml:space="preserve">application_date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</si>
  <si>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ipad顧客種別</t>
  </si>
  <si>
    <t>ipad_customer_type</t>
  </si>
  <si>
    <r>
      <t xml:space="preserve">ipad_customer_type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</si>
  <si>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請求方法</t>
  </si>
  <si>
    <t>billing_method</t>
  </si>
  <si>
    <r>
      <t xml:space="preserve">billing_method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</si>
  <si>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支払回数</t>
  </si>
  <si>
    <t>number_of_payments</t>
  </si>
  <si>
    <r>
      <t xml:space="preserve">number_of_payments </t>
    </r>
    <r>
      <rPr>
        <b/>
        <sz val="10"/>
        <color rgb="FF0080FF"/>
        <rFont val="Consolas"/>
        <family val="3"/>
      </rPr>
      <t>VARCHAR</t>
    </r>
    <r>
      <rPr>
        <b/>
        <sz val="10"/>
        <color rgb="FF808080"/>
        <rFont val="Consolas"/>
        <family val="3"/>
      </rPr>
      <t>(</t>
    </r>
    <r>
      <rPr>
        <b/>
        <sz val="10"/>
        <color rgb="FFFF2800"/>
        <rFont val="Consolas"/>
        <family val="3"/>
      </rPr>
      <t>90</t>
    </r>
    <r>
      <rPr>
        <b/>
        <sz val="10"/>
        <color rgb="FF808080"/>
        <rFont val="Consolas"/>
        <family val="3"/>
      </rPr>
      <t>),</t>
    </r>
  </si>
  <si>
    <t>請求区分</t>
  </si>
  <si>
    <t>billing_category</t>
  </si>
  <si>
    <r>
      <t xml:space="preserve">billing_category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</si>
  <si>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通話料合算種別</t>
  </si>
  <si>
    <t>call_charge_combined_type</t>
  </si>
  <si>
    <r>
      <t xml:space="preserve">call_charge_combined_type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</si>
  <si>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付属品購入</t>
  </si>
  <si>
    <t>accessory_purchase</t>
  </si>
  <si>
    <r>
      <t xml:space="preserve">accessory_purchase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</si>
  <si>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付属品代金支払い方法</t>
  </si>
  <si>
    <t>accessory_fee_payment_method</t>
  </si>
  <si>
    <r>
      <t xml:space="preserve">accessory_fee_payment_method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</si>
  <si>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付属品代金請求区分</t>
  </si>
  <si>
    <t>accessory_fee_billing_category</t>
  </si>
  <si>
    <r>
      <t xml:space="preserve">accessory_fee_billing_category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</si>
  <si>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付属品通話料合算種別</t>
  </si>
  <si>
    <t>accessory_fee_combined_type</t>
  </si>
  <si>
    <r>
      <t xml:space="preserve">accessory_fee_combined_type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</si>
  <si>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変更対象</t>
  </si>
  <si>
    <t>change_target</t>
  </si>
  <si>
    <r>
      <t xml:space="preserve">change_target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</si>
  <si>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受付区分</t>
  </si>
  <si>
    <t>reception_category</t>
  </si>
  <si>
    <r>
      <t xml:space="preserve">reception_category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</si>
  <si>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webオーダ番号</t>
  </si>
  <si>
    <t>web_order_number</t>
  </si>
  <si>
    <r>
      <t xml:space="preserve">web_order_number </t>
    </r>
    <r>
      <rPr>
        <b/>
        <sz val="10"/>
        <color rgb="FF0080FF"/>
        <rFont val="Consolas"/>
        <family val="3"/>
      </rPr>
      <t>VARCHAR</t>
    </r>
    <r>
      <rPr>
        <b/>
        <sz val="10"/>
        <color rgb="FF808080"/>
        <rFont val="Consolas"/>
        <family val="3"/>
      </rPr>
      <t>(</t>
    </r>
    <r>
      <rPr>
        <b/>
        <sz val="10"/>
        <color rgb="FFFF2800"/>
        <rFont val="Consolas"/>
        <family val="3"/>
      </rPr>
      <t>33</t>
    </r>
    <r>
      <rPr>
        <b/>
        <sz val="10"/>
        <color rgb="FF808080"/>
        <rFont val="Consolas"/>
        <family val="3"/>
      </rPr>
      <t>),</t>
    </r>
  </si>
  <si>
    <t>請求先割引変更</t>
  </si>
  <si>
    <t>billing_discount_change</t>
  </si>
  <si>
    <r>
      <t xml:space="preserve">billing_discount_change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</si>
  <si>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エントリ作成者id</t>
  </si>
  <si>
    <t>entry_creator_id</t>
  </si>
  <si>
    <r>
      <t xml:space="preserve">entry_creator_id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</si>
  <si>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エントリ作成日時</t>
  </si>
  <si>
    <t>entry_creation_date_and_time</t>
  </si>
  <si>
    <r>
      <t xml:space="preserve">entry_creation_date_and_time </t>
    </r>
    <r>
      <rPr>
        <b/>
        <sz val="10"/>
        <color rgb="FF0080FF"/>
        <rFont val="Consolas"/>
        <family val="3"/>
      </rPr>
      <t>VARCHAR</t>
    </r>
    <r>
      <rPr>
        <b/>
        <sz val="10"/>
        <color rgb="FF808080"/>
        <rFont val="Consolas"/>
        <family val="3"/>
      </rPr>
      <t>(</t>
    </r>
    <r>
      <rPr>
        <b/>
        <sz val="10"/>
        <color rgb="FFFF2800"/>
        <rFont val="Consolas"/>
        <family val="3"/>
      </rPr>
      <t>78</t>
    </r>
    <r>
      <rPr>
        <b/>
        <sz val="10"/>
        <color rgb="FF808080"/>
        <rFont val="Consolas"/>
        <family val="3"/>
      </rPr>
      <t>),</t>
    </r>
  </si>
  <si>
    <t>エントリ更新担当者id</t>
  </si>
  <si>
    <t>entry_updater_id</t>
  </si>
  <si>
    <r>
      <t xml:space="preserve">entry_updater_id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</si>
  <si>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エントリ更新日時</t>
  </si>
  <si>
    <t>entry_update_date_and_time</t>
  </si>
  <si>
    <r>
      <t xml:space="preserve">entry_update_date_and_time </t>
    </r>
    <r>
      <rPr>
        <b/>
        <sz val="10"/>
        <color rgb="FF0080FF"/>
        <rFont val="Consolas"/>
        <family val="3"/>
      </rPr>
      <t>VARCHAR</t>
    </r>
    <r>
      <rPr>
        <b/>
        <sz val="10"/>
        <color rgb="FF808080"/>
        <rFont val="Consolas"/>
        <family val="3"/>
      </rPr>
      <t>(</t>
    </r>
    <r>
      <rPr>
        <b/>
        <sz val="10"/>
        <color rgb="FFFF2800"/>
        <rFont val="Consolas"/>
        <family val="3"/>
      </rPr>
      <t>78</t>
    </r>
    <r>
      <rPr>
        <b/>
        <sz val="10"/>
        <color rgb="FF808080"/>
        <rFont val="Consolas"/>
        <family val="3"/>
      </rPr>
      <t>),</t>
    </r>
  </si>
  <si>
    <t>関係者1</t>
  </si>
  <si>
    <t>stakeholder_1</t>
  </si>
  <si>
    <r>
      <t xml:space="preserve">stakeholder_1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</si>
  <si>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関係者2</t>
  </si>
  <si>
    <t>stakeholder_2</t>
  </si>
  <si>
    <r>
      <t xml:space="preserve">stakeholder_2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</si>
  <si>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関係者3</t>
  </si>
  <si>
    <t>stakeholder_3</t>
  </si>
  <si>
    <r>
      <t xml:space="preserve">stakeholder_3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</si>
  <si>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関係者4</t>
  </si>
  <si>
    <t>stakeholder_4</t>
  </si>
  <si>
    <r>
      <t xml:space="preserve">stakeholder_4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</si>
  <si>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関係者5</t>
  </si>
  <si>
    <t>stakeholder_5</t>
  </si>
  <si>
    <r>
      <t xml:space="preserve">stakeholder_5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</si>
  <si>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関係者6</t>
  </si>
  <si>
    <t>stakeholder_6</t>
  </si>
  <si>
    <r>
      <t xml:space="preserve">stakeholder_6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</si>
  <si>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関係者7</t>
  </si>
  <si>
    <t>stakeholder_7</t>
  </si>
  <si>
    <r>
      <t xml:space="preserve">stakeholder_7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</si>
  <si>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関係者8</t>
  </si>
  <si>
    <t>stakeholder_8</t>
  </si>
  <si>
    <r>
      <t xml:space="preserve">stakeholder_8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</si>
  <si>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関係者9</t>
  </si>
  <si>
    <t>stakeholder_9</t>
  </si>
  <si>
    <r>
      <t xml:space="preserve">stakeholder_9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</si>
  <si>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関係者10</t>
  </si>
  <si>
    <t>stakeholder_10</t>
  </si>
  <si>
    <r>
      <t xml:space="preserve">stakeholder_10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</si>
  <si>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sfa番号</t>
  </si>
  <si>
    <t>sfa_number</t>
  </si>
  <si>
    <r>
      <t xml:space="preserve">sfa_number </t>
    </r>
    <r>
      <rPr>
        <b/>
        <sz val="10"/>
        <color rgb="FF0080FF"/>
        <rFont val="Consolas"/>
        <family val="3"/>
      </rPr>
      <t>VARCHAR</t>
    </r>
    <r>
      <rPr>
        <b/>
        <sz val="10"/>
        <color rgb="FF808080"/>
        <rFont val="Consolas"/>
        <family val="3"/>
      </rPr>
      <t>(</t>
    </r>
    <r>
      <rPr>
        <b/>
        <sz val="10"/>
        <color rgb="FFFF2800"/>
        <rFont val="Consolas"/>
        <family val="3"/>
      </rPr>
      <t>108</t>
    </r>
    <r>
      <rPr>
        <b/>
        <sz val="10"/>
        <color rgb="FF808080"/>
        <rFont val="Consolas"/>
        <family val="3"/>
      </rPr>
      <t>),</t>
    </r>
  </si>
  <si>
    <t>sfa案件名</t>
  </si>
  <si>
    <t>sfa_project_name</t>
  </si>
  <si>
    <r>
      <t xml:space="preserve">sfa_project_name </t>
    </r>
    <r>
      <rPr>
        <b/>
        <sz val="10"/>
        <color rgb="FF0080FF"/>
        <rFont val="Consolas"/>
        <family val="3"/>
      </rPr>
      <t>VARCHAR</t>
    </r>
    <r>
      <rPr>
        <b/>
        <sz val="10"/>
        <color rgb="FF808080"/>
        <rFont val="Consolas"/>
        <family val="3"/>
      </rPr>
      <t>(</t>
    </r>
    <r>
      <rPr>
        <b/>
        <sz val="10"/>
        <color rgb="FFFF2800"/>
        <rFont val="Consolas"/>
        <family val="3"/>
      </rPr>
      <t>765</t>
    </r>
    <r>
      <rPr>
        <b/>
        <sz val="10"/>
        <color rgb="FF808080"/>
        <rFont val="Consolas"/>
        <family val="3"/>
      </rPr>
      <t>),</t>
    </r>
  </si>
  <si>
    <t>unified_company_code</t>
  </si>
  <si>
    <r>
      <t xml:space="preserve">unified_company_code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phoneticPr fontId="2"/>
  </si>
  <si>
    <t>企業名</t>
  </si>
  <si>
    <t>company_name</t>
  </si>
  <si>
    <r>
      <t xml:space="preserve">company_name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</si>
  <si>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営業決裁件名</t>
  </si>
  <si>
    <t>sales_approval_subject</t>
  </si>
  <si>
    <r>
      <t xml:space="preserve">sales_approval_subject </t>
    </r>
    <r>
      <rPr>
        <b/>
        <sz val="10"/>
        <color rgb="FF0080FF"/>
        <rFont val="Consolas"/>
        <family val="3"/>
      </rPr>
      <t>VARCHAR</t>
    </r>
    <r>
      <rPr>
        <b/>
        <sz val="10"/>
        <color rgb="FF808080"/>
        <rFont val="Consolas"/>
        <family val="3"/>
      </rPr>
      <t>(</t>
    </r>
    <r>
      <rPr>
        <b/>
        <sz val="10"/>
        <color rgb="FFFF2800"/>
        <rFont val="Consolas"/>
        <family val="3"/>
      </rPr>
      <t>2304</t>
    </r>
    <r>
      <rPr>
        <b/>
        <sz val="10"/>
        <color rgb="FF808080"/>
        <rFont val="Consolas"/>
        <family val="3"/>
      </rPr>
      <t>),</t>
    </r>
  </si>
  <si>
    <t>営業決裁番号</t>
  </si>
  <si>
    <t>sales_approval_number</t>
  </si>
  <si>
    <r>
      <t xml:space="preserve">sales_approval_number </t>
    </r>
    <r>
      <rPr>
        <b/>
        <sz val="10"/>
        <color rgb="FF0080FF"/>
        <rFont val="Consolas"/>
        <family val="3"/>
      </rPr>
      <t>VARCHAR</t>
    </r>
    <r>
      <rPr>
        <b/>
        <sz val="10"/>
        <color rgb="FF808080"/>
        <rFont val="Consolas"/>
        <family val="3"/>
      </rPr>
      <t>(</t>
    </r>
    <r>
      <rPr>
        <b/>
        <sz val="10"/>
        <color rgb="FFFF2800"/>
        <rFont val="Consolas"/>
        <family val="3"/>
      </rPr>
      <t>108</t>
    </r>
    <r>
      <rPr>
        <b/>
        <sz val="10"/>
        <color rgb="FF808080"/>
        <rFont val="Consolas"/>
        <family val="3"/>
      </rPr>
      <t>),</t>
    </r>
  </si>
  <si>
    <t>代理店コード</t>
  </si>
  <si>
    <t>distributor_code</t>
    <phoneticPr fontId="2"/>
  </si>
  <si>
    <r>
      <t xml:space="preserve">distributor_code </t>
    </r>
    <r>
      <rPr>
        <b/>
        <sz val="10"/>
        <color rgb="FF0080FF"/>
        <rFont val="Consolas"/>
        <family val="3"/>
      </rPr>
      <t>VARCHAR</t>
    </r>
    <r>
      <rPr>
        <b/>
        <sz val="10"/>
        <color rgb="FF808080"/>
        <rFont val="Consolas"/>
        <family val="3"/>
      </rPr>
      <t>(</t>
    </r>
    <r>
      <rPr>
        <b/>
        <sz val="10"/>
        <color rgb="FFFF2800"/>
        <rFont val="Consolas"/>
        <family val="3"/>
      </rPr>
      <t>27</t>
    </r>
    <r>
      <rPr>
        <b/>
        <sz val="10"/>
        <color rgb="FF808080"/>
        <rFont val="Consolas"/>
        <family val="3"/>
      </rPr>
      <t>),</t>
    </r>
  </si>
  <si>
    <t>集約ブック番号</t>
  </si>
  <si>
    <t>consolidated_book_number</t>
  </si>
  <si>
    <r>
      <t xml:space="preserve">consolidated_book_number </t>
    </r>
    <r>
      <rPr>
        <b/>
        <sz val="10"/>
        <color rgb="FF0080FF"/>
        <rFont val="Consolas"/>
        <family val="3"/>
      </rPr>
      <t>VARCHAR</t>
    </r>
    <r>
      <rPr>
        <b/>
        <sz val="10"/>
        <color rgb="FF808080"/>
        <rFont val="Consolas"/>
        <family val="3"/>
      </rPr>
      <t>(</t>
    </r>
    <r>
      <rPr>
        <b/>
        <sz val="10"/>
        <color rgb="FFFF2800"/>
        <rFont val="Consolas"/>
        <family val="3"/>
      </rPr>
      <t>42</t>
    </r>
    <r>
      <rPr>
        <b/>
        <sz val="10"/>
        <color rgb="FF808080"/>
        <rFont val="Consolas"/>
        <family val="3"/>
      </rPr>
      <t>),</t>
    </r>
  </si>
  <si>
    <t>試算ブック番号</t>
  </si>
  <si>
    <t>estimate_book_number</t>
  </si>
  <si>
    <r>
      <t xml:space="preserve">estimate_book_number </t>
    </r>
    <r>
      <rPr>
        <b/>
        <sz val="10"/>
        <color rgb="FF0080FF"/>
        <rFont val="Consolas"/>
        <family val="3"/>
      </rPr>
      <t>VARCHAR</t>
    </r>
    <r>
      <rPr>
        <b/>
        <sz val="10"/>
        <color rgb="FF808080"/>
        <rFont val="Consolas"/>
        <family val="3"/>
      </rPr>
      <t>(</t>
    </r>
    <r>
      <rPr>
        <b/>
        <sz val="10"/>
        <color rgb="FFFF2800"/>
        <rFont val="Consolas"/>
        <family val="3"/>
      </rPr>
      <t>54</t>
    </r>
    <r>
      <rPr>
        <b/>
        <sz val="10"/>
        <color rgb="FF808080"/>
        <rFont val="Consolas"/>
        <family val="3"/>
      </rPr>
      <t>),</t>
    </r>
  </si>
  <si>
    <t>かんたん見積番号</t>
  </si>
  <si>
    <t>easy_estimate_number</t>
  </si>
  <si>
    <r>
      <t xml:space="preserve">easy_estimate_number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</si>
  <si>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相対契約管理番号</t>
  </si>
  <si>
    <t>relative_contract_management_number</t>
  </si>
  <si>
    <r>
      <t xml:space="preserve">relative_contract_management_number </t>
    </r>
    <r>
      <rPr>
        <b/>
        <sz val="10"/>
        <color rgb="FF0080FF"/>
        <rFont val="Consolas"/>
        <family val="3"/>
      </rPr>
      <t>VARCHAR</t>
    </r>
    <r>
      <rPr>
        <b/>
        <sz val="10"/>
        <color rgb="FF808080"/>
        <rFont val="Consolas"/>
        <family val="3"/>
      </rPr>
      <t>(</t>
    </r>
    <r>
      <rPr>
        <b/>
        <sz val="10"/>
        <color rgb="FFFF2800"/>
        <rFont val="Consolas"/>
        <family val="3"/>
      </rPr>
      <t>108</t>
    </r>
    <r>
      <rPr>
        <b/>
        <sz val="10"/>
        <color rgb="FF808080"/>
        <rFont val="Consolas"/>
        <family val="3"/>
      </rPr>
      <t>),</t>
    </r>
  </si>
  <si>
    <t>決裁番号1</t>
    <phoneticPr fontId="2"/>
  </si>
  <si>
    <t>approval_number_1</t>
  </si>
  <si>
    <r>
      <t xml:space="preserve">approval_number_1 </t>
    </r>
    <r>
      <rPr>
        <b/>
        <sz val="10"/>
        <color rgb="FF0080FF"/>
        <rFont val="Consolas"/>
        <family val="3"/>
      </rPr>
      <t>VARCHAR</t>
    </r>
    <r>
      <rPr>
        <b/>
        <sz val="10"/>
        <color rgb="FF808080"/>
        <rFont val="Consolas"/>
        <family val="3"/>
      </rPr>
      <t>(</t>
    </r>
    <r>
      <rPr>
        <b/>
        <sz val="10"/>
        <color rgb="FFFF2800"/>
        <rFont val="Consolas"/>
        <family val="3"/>
      </rPr>
      <t>90</t>
    </r>
    <r>
      <rPr>
        <b/>
        <sz val="10"/>
        <color rgb="FF808080"/>
        <rFont val="Consolas"/>
        <family val="3"/>
      </rPr>
      <t>),</t>
    </r>
  </si>
  <si>
    <t>決裁番号2</t>
  </si>
  <si>
    <t>approval_number_2</t>
  </si>
  <si>
    <r>
      <t xml:space="preserve">approval_number_2 </t>
    </r>
    <r>
      <rPr>
        <b/>
        <sz val="10"/>
        <color rgb="FF0080FF"/>
        <rFont val="Consolas"/>
        <family val="3"/>
      </rPr>
      <t>VARCHAR</t>
    </r>
    <r>
      <rPr>
        <b/>
        <sz val="10"/>
        <color rgb="FF808080"/>
        <rFont val="Consolas"/>
        <family val="3"/>
      </rPr>
      <t>(</t>
    </r>
    <r>
      <rPr>
        <b/>
        <sz val="10"/>
        <color rgb="FFFF2800"/>
        <rFont val="Consolas"/>
        <family val="3"/>
      </rPr>
      <t>90</t>
    </r>
    <r>
      <rPr>
        <b/>
        <sz val="10"/>
        <color rgb="FF808080"/>
        <rFont val="Consolas"/>
        <family val="3"/>
      </rPr>
      <t>),</t>
    </r>
  </si>
  <si>
    <t>決裁番号3</t>
  </si>
  <si>
    <t>approval_number_3</t>
  </si>
  <si>
    <r>
      <t xml:space="preserve">approval_number_3 </t>
    </r>
    <r>
      <rPr>
        <b/>
        <sz val="10"/>
        <color rgb="FF0080FF"/>
        <rFont val="Consolas"/>
        <family val="3"/>
      </rPr>
      <t>VARCHAR</t>
    </r>
    <r>
      <rPr>
        <b/>
        <sz val="10"/>
        <color rgb="FF808080"/>
        <rFont val="Consolas"/>
        <family val="3"/>
      </rPr>
      <t>(</t>
    </r>
    <r>
      <rPr>
        <b/>
        <sz val="10"/>
        <color rgb="FFFF2800"/>
        <rFont val="Consolas"/>
        <family val="3"/>
      </rPr>
      <t>90</t>
    </r>
    <r>
      <rPr>
        <b/>
        <sz val="10"/>
        <color rgb="FF808080"/>
        <rFont val="Consolas"/>
        <family val="3"/>
      </rPr>
      <t>),</t>
    </r>
  </si>
  <si>
    <t>決裁番号4</t>
  </si>
  <si>
    <t>approval_number_4</t>
  </si>
  <si>
    <r>
      <t xml:space="preserve">approval_number_4 </t>
    </r>
    <r>
      <rPr>
        <b/>
        <sz val="10"/>
        <color rgb="FF0080FF"/>
        <rFont val="Consolas"/>
        <family val="3"/>
      </rPr>
      <t>VARCHAR</t>
    </r>
    <r>
      <rPr>
        <b/>
        <sz val="10"/>
        <color rgb="FF808080"/>
        <rFont val="Consolas"/>
        <family val="3"/>
      </rPr>
      <t>(</t>
    </r>
    <r>
      <rPr>
        <b/>
        <sz val="10"/>
        <color rgb="FFFF2800"/>
        <rFont val="Consolas"/>
        <family val="3"/>
      </rPr>
      <t>90</t>
    </r>
    <r>
      <rPr>
        <b/>
        <sz val="10"/>
        <color rgb="FF808080"/>
        <rFont val="Consolas"/>
        <family val="3"/>
      </rPr>
      <t>),</t>
    </r>
  </si>
  <si>
    <t>決裁番号5</t>
  </si>
  <si>
    <t>approval_number_5</t>
  </si>
  <si>
    <r>
      <t xml:space="preserve">approval_number_5 </t>
    </r>
    <r>
      <rPr>
        <b/>
        <sz val="10"/>
        <color rgb="FF0080FF"/>
        <rFont val="Consolas"/>
        <family val="3"/>
      </rPr>
      <t>VARCHAR</t>
    </r>
    <r>
      <rPr>
        <b/>
        <sz val="10"/>
        <color rgb="FF808080"/>
        <rFont val="Consolas"/>
        <family val="3"/>
      </rPr>
      <t>(</t>
    </r>
    <r>
      <rPr>
        <b/>
        <sz val="10"/>
        <color rgb="FFFF2800"/>
        <rFont val="Consolas"/>
        <family val="3"/>
      </rPr>
      <t>90</t>
    </r>
    <r>
      <rPr>
        <b/>
        <sz val="10"/>
        <color rgb="FF808080"/>
        <rFont val="Consolas"/>
        <family val="3"/>
      </rPr>
      <t>),</t>
    </r>
  </si>
  <si>
    <t>取次店コード1</t>
  </si>
  <si>
    <t>agency_code_1</t>
  </si>
  <si>
    <r>
      <t xml:space="preserve">agency_code_1 </t>
    </r>
    <r>
      <rPr>
        <b/>
        <sz val="10"/>
        <color rgb="FF0080FF"/>
        <rFont val="Consolas"/>
        <family val="3"/>
      </rPr>
      <t>VARCHAR</t>
    </r>
    <r>
      <rPr>
        <b/>
        <sz val="10"/>
        <color rgb="FF808080"/>
        <rFont val="Consolas"/>
        <family val="3"/>
      </rPr>
      <t>(</t>
    </r>
    <r>
      <rPr>
        <b/>
        <sz val="10"/>
        <color rgb="FFFF2800"/>
        <rFont val="Consolas"/>
        <family val="3"/>
      </rPr>
      <t>54</t>
    </r>
    <r>
      <rPr>
        <b/>
        <sz val="10"/>
        <color rgb="FF808080"/>
        <rFont val="Consolas"/>
        <family val="3"/>
      </rPr>
      <t>),</t>
    </r>
  </si>
  <si>
    <t>取次店名</t>
  </si>
  <si>
    <t>agency_name</t>
  </si>
  <si>
    <r>
      <t xml:space="preserve">agency_name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</si>
  <si>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営業担当者1</t>
  </si>
  <si>
    <t>sales_representative_1</t>
  </si>
  <si>
    <r>
      <t xml:space="preserve">sales_representative_1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</si>
  <si>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電話番号</t>
  </si>
  <si>
    <t>telephone_number</t>
  </si>
  <si>
    <r>
      <t xml:space="preserve">telephone_number </t>
    </r>
    <r>
      <rPr>
        <b/>
        <sz val="10"/>
        <color rgb="FF0080FF"/>
        <rFont val="Consolas"/>
        <family val="3"/>
      </rPr>
      <t>VARCHAR</t>
    </r>
    <r>
      <rPr>
        <b/>
        <sz val="10"/>
        <color rgb="FF808080"/>
        <rFont val="Consolas"/>
        <family val="3"/>
      </rPr>
      <t>(</t>
    </r>
    <r>
      <rPr>
        <b/>
        <sz val="10"/>
        <color rgb="FFFF2800"/>
        <rFont val="Consolas"/>
        <family val="3"/>
      </rPr>
      <t>39</t>
    </r>
    <r>
      <rPr>
        <b/>
        <sz val="10"/>
        <color rgb="FF808080"/>
        <rFont val="Consolas"/>
        <family val="3"/>
      </rPr>
      <t>),</t>
    </r>
  </si>
  <si>
    <t>部署名</t>
  </si>
  <si>
    <t>department_name</t>
  </si>
  <si>
    <r>
      <t xml:space="preserve">department_name </t>
    </r>
    <r>
      <rPr>
        <b/>
        <sz val="10"/>
        <color rgb="FF0080FF"/>
        <rFont val="Consolas"/>
        <family val="3"/>
      </rPr>
      <t>VARCHAR</t>
    </r>
    <r>
      <rPr>
        <b/>
        <sz val="10"/>
        <color rgb="FF808080"/>
        <rFont val="Consolas"/>
        <family val="3"/>
      </rPr>
      <t>(</t>
    </r>
    <r>
      <rPr>
        <b/>
        <sz val="10"/>
        <color rgb="FFFF2800"/>
        <rFont val="Consolas"/>
        <family val="3"/>
      </rPr>
      <t>2133</t>
    </r>
    <r>
      <rPr>
        <b/>
        <sz val="10"/>
        <color rgb="FF808080"/>
        <rFont val="Consolas"/>
        <family val="3"/>
      </rPr>
      <t>),</t>
    </r>
  </si>
  <si>
    <t>本人確認実施者コード</t>
  </si>
  <si>
    <t>identity_verification_implementer_code</t>
  </si>
  <si>
    <r>
      <t xml:space="preserve">identity_verification_implementer_code </t>
    </r>
    <r>
      <rPr>
        <b/>
        <sz val="10"/>
        <color rgb="FF0080FF"/>
        <rFont val="Consolas"/>
        <family val="3"/>
      </rPr>
      <t>VARCHAR</t>
    </r>
    <r>
      <rPr>
        <b/>
        <sz val="10"/>
        <color rgb="FF808080"/>
        <rFont val="Consolas"/>
        <family val="3"/>
      </rPr>
      <t>(</t>
    </r>
    <r>
      <rPr>
        <b/>
        <sz val="10"/>
        <color rgb="FFFF2800"/>
        <rFont val="Consolas"/>
        <family val="3"/>
      </rPr>
      <t>30</t>
    </r>
    <r>
      <rPr>
        <b/>
        <sz val="10"/>
        <color rgb="FF808080"/>
        <rFont val="Consolas"/>
        <family val="3"/>
      </rPr>
      <t>),</t>
    </r>
  </si>
  <si>
    <t>受付担当者コード</t>
  </si>
  <si>
    <t>receptionist_code</t>
  </si>
  <si>
    <r>
      <t xml:space="preserve">receptionist_code </t>
    </r>
    <r>
      <rPr>
        <b/>
        <sz val="10"/>
        <color rgb="FF0080FF"/>
        <rFont val="Consolas"/>
        <family val="3"/>
      </rPr>
      <t>VARCHAR</t>
    </r>
    <r>
      <rPr>
        <b/>
        <sz val="10"/>
        <color rgb="FF808080"/>
        <rFont val="Consolas"/>
        <family val="3"/>
      </rPr>
      <t>(</t>
    </r>
    <r>
      <rPr>
        <b/>
        <sz val="10"/>
        <color rgb="FFFF2800"/>
        <rFont val="Consolas"/>
        <family val="3"/>
      </rPr>
      <t>30</t>
    </r>
    <r>
      <rPr>
        <b/>
        <sz val="10"/>
        <color rgb="FF808080"/>
        <rFont val="Consolas"/>
        <family val="3"/>
      </rPr>
      <t>),</t>
    </r>
  </si>
  <si>
    <t>申請者名</t>
  </si>
  <si>
    <t>applicant_name</t>
  </si>
  <si>
    <r>
      <t xml:space="preserve">applicant_name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</si>
  <si>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部署名1</t>
  </si>
  <si>
    <t>department_name_1</t>
  </si>
  <si>
    <r>
      <t xml:space="preserve">department_name_1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</si>
  <si>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共通社員番号</t>
  </si>
  <si>
    <t>common_employee_number</t>
  </si>
  <si>
    <r>
      <t xml:space="preserve">common_employee_number </t>
    </r>
    <r>
      <rPr>
        <b/>
        <sz val="10"/>
        <color rgb="FF0080FF"/>
        <rFont val="Consolas"/>
        <family val="3"/>
      </rPr>
      <t>VARCHAR</t>
    </r>
    <r>
      <rPr>
        <b/>
        <sz val="10"/>
        <color rgb="FF808080"/>
        <rFont val="Consolas"/>
        <family val="3"/>
      </rPr>
      <t>(</t>
    </r>
    <r>
      <rPr>
        <b/>
        <sz val="10"/>
        <color rgb="FFFF2800"/>
        <rFont val="Consolas"/>
        <family val="3"/>
      </rPr>
      <t>21</t>
    </r>
    <r>
      <rPr>
        <b/>
        <sz val="10"/>
        <color rgb="FF808080"/>
        <rFont val="Consolas"/>
        <family val="3"/>
      </rPr>
      <t>),</t>
    </r>
  </si>
  <si>
    <t>与信申請番号</t>
  </si>
  <si>
    <t>credit_application_number</t>
  </si>
  <si>
    <r>
      <t xml:space="preserve">credit_application_number </t>
    </r>
    <r>
      <rPr>
        <b/>
        <sz val="10"/>
        <color rgb="FF0080FF"/>
        <rFont val="Consolas"/>
        <family val="3"/>
      </rPr>
      <t>VARCHAR</t>
    </r>
    <r>
      <rPr>
        <b/>
        <sz val="10"/>
        <color rgb="FF808080"/>
        <rFont val="Consolas"/>
        <family val="3"/>
      </rPr>
      <t>(</t>
    </r>
    <r>
      <rPr>
        <b/>
        <sz val="10"/>
        <color rgb="FFFF2800"/>
        <rFont val="Consolas"/>
        <family val="3"/>
      </rPr>
      <t>48</t>
    </r>
    <r>
      <rPr>
        <b/>
        <sz val="10"/>
        <color rgb="FF808080"/>
        <rFont val="Consolas"/>
        <family val="3"/>
      </rPr>
      <t>),</t>
    </r>
  </si>
  <si>
    <t>与信回答番号</t>
  </si>
  <si>
    <t>credit_response_number</t>
  </si>
  <si>
    <r>
      <t xml:space="preserve">credit_response_number </t>
    </r>
    <r>
      <rPr>
        <b/>
        <sz val="10"/>
        <color rgb="FF0080FF"/>
        <rFont val="Consolas"/>
        <family val="3"/>
      </rPr>
      <t>VARCHAR</t>
    </r>
    <r>
      <rPr>
        <b/>
        <sz val="10"/>
        <color rgb="FF808080"/>
        <rFont val="Consolas"/>
        <family val="3"/>
      </rPr>
      <t>(</t>
    </r>
    <r>
      <rPr>
        <b/>
        <sz val="10"/>
        <color rgb="FFFF2800"/>
        <rFont val="Consolas"/>
        <family val="3"/>
      </rPr>
      <t>51</t>
    </r>
    <r>
      <rPr>
        <b/>
        <sz val="10"/>
        <color rgb="FF808080"/>
        <rFont val="Consolas"/>
        <family val="3"/>
      </rPr>
      <t>),</t>
    </r>
  </si>
  <si>
    <t>契約者番号</t>
  </si>
  <si>
    <t>contractor_number</t>
  </si>
  <si>
    <r>
      <t xml:space="preserve">contractor_number </t>
    </r>
    <r>
      <rPr>
        <b/>
        <sz val="10"/>
        <color rgb="FF0080FF"/>
        <rFont val="Consolas"/>
        <family val="3"/>
      </rPr>
      <t>VARCHAR</t>
    </r>
    <r>
      <rPr>
        <b/>
        <sz val="10"/>
        <color rgb="FF808080"/>
        <rFont val="Consolas"/>
        <family val="3"/>
      </rPr>
      <t>(</t>
    </r>
    <r>
      <rPr>
        <b/>
        <sz val="10"/>
        <color rgb="FFFF2800"/>
        <rFont val="Consolas"/>
        <family val="3"/>
      </rPr>
      <t>36</t>
    </r>
    <r>
      <rPr>
        <b/>
        <sz val="10"/>
        <color rgb="FF808080"/>
        <rFont val="Consolas"/>
        <family val="3"/>
      </rPr>
      <t>),</t>
    </r>
  </si>
  <si>
    <t>契約者タイプ</t>
  </si>
  <si>
    <t>contractor_type</t>
  </si>
  <si>
    <r>
      <t xml:space="preserve">contractor_type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</si>
  <si>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法人格位置</t>
  </si>
  <si>
    <t>corporate_status_position</t>
    <phoneticPr fontId="2"/>
  </si>
  <si>
    <r>
      <t xml:space="preserve">corporate_status_position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</si>
  <si>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法人格</t>
  </si>
  <si>
    <t>corporate_status</t>
  </si>
  <si>
    <r>
      <t xml:space="preserve">corporate_status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</si>
  <si>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契約者名</t>
  </si>
  <si>
    <t>contractor_name</t>
  </si>
  <si>
    <r>
      <t xml:space="preserve">contractor_name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</si>
  <si>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契約者名カナ</t>
  </si>
  <si>
    <t>contractor_name_katakana</t>
  </si>
  <si>
    <r>
      <t xml:space="preserve">contractor_name_katakana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</si>
  <si>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法人タイプ</t>
  </si>
  <si>
    <t>corporate_type</t>
  </si>
  <si>
    <r>
      <t xml:space="preserve">corporate_type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</si>
  <si>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みなし法人用決裁番号</t>
  </si>
  <si>
    <t>deemed_corporate_approval_number</t>
  </si>
  <si>
    <r>
      <t xml:space="preserve">deemed_corporate_approval_number </t>
    </r>
    <r>
      <rPr>
        <b/>
        <sz val="10"/>
        <color rgb="FF0080FF"/>
        <rFont val="Consolas"/>
        <family val="3"/>
      </rPr>
      <t>VARCHAR</t>
    </r>
    <r>
      <rPr>
        <b/>
        <sz val="10"/>
        <color rgb="FF808080"/>
        <rFont val="Consolas"/>
        <family val="3"/>
      </rPr>
      <t>(</t>
    </r>
    <r>
      <rPr>
        <b/>
        <sz val="10"/>
        <color rgb="FFFF2800"/>
        <rFont val="Consolas"/>
        <family val="3"/>
      </rPr>
      <t>765</t>
    </r>
    <r>
      <rPr>
        <b/>
        <sz val="10"/>
        <color rgb="FF808080"/>
        <rFont val="Consolas"/>
        <family val="3"/>
      </rPr>
      <t>),</t>
    </r>
  </si>
  <si>
    <t>担当者名</t>
  </si>
  <si>
    <t>contact_person_name</t>
  </si>
  <si>
    <r>
      <t xml:space="preserve">contact_person_name </t>
    </r>
    <r>
      <rPr>
        <b/>
        <sz val="10"/>
        <color rgb="FF0080FF"/>
        <rFont val="Consolas"/>
        <family val="3"/>
      </rPr>
      <t>VARCHAR</t>
    </r>
    <r>
      <rPr>
        <b/>
        <sz val="10"/>
        <color rgb="FF808080"/>
        <rFont val="Consolas"/>
        <family val="3"/>
      </rPr>
      <t>(</t>
    </r>
    <r>
      <rPr>
        <b/>
        <sz val="10"/>
        <color rgb="FFFF2800"/>
        <rFont val="Consolas"/>
        <family val="3"/>
      </rPr>
      <t>270</t>
    </r>
    <r>
      <rPr>
        <b/>
        <sz val="10"/>
        <color rgb="FF808080"/>
        <rFont val="Consolas"/>
        <family val="3"/>
      </rPr>
      <t>),</t>
    </r>
  </si>
  <si>
    <t>担当者名カナ</t>
  </si>
  <si>
    <t>contact_person_name_katakana</t>
  </si>
  <si>
    <r>
      <t xml:space="preserve">contact_person_name_katakana </t>
    </r>
    <r>
      <rPr>
        <b/>
        <sz val="10"/>
        <color rgb="FF0080FF"/>
        <rFont val="Consolas"/>
        <family val="3"/>
      </rPr>
      <t>VARCHAR</t>
    </r>
    <r>
      <rPr>
        <b/>
        <sz val="10"/>
        <color rgb="FF808080"/>
        <rFont val="Consolas"/>
        <family val="3"/>
      </rPr>
      <t>(</t>
    </r>
    <r>
      <rPr>
        <b/>
        <sz val="10"/>
        <color rgb="FFFF2800"/>
        <rFont val="Consolas"/>
        <family val="3"/>
      </rPr>
      <t>540</t>
    </r>
    <r>
      <rPr>
        <b/>
        <sz val="10"/>
        <color rgb="FF808080"/>
        <rFont val="Consolas"/>
        <family val="3"/>
      </rPr>
      <t>),</t>
    </r>
  </si>
  <si>
    <t>担当者部署</t>
  </si>
  <si>
    <t>contact_person_department</t>
  </si>
  <si>
    <r>
      <t xml:space="preserve">contact_person_department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</si>
  <si>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契変更確認チェック</t>
  </si>
  <si>
    <t>contract_change_confirmation_check</t>
  </si>
  <si>
    <r>
      <t xml:space="preserve">contract_change_confirmation_check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</si>
  <si>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契約者名変更コメント</t>
  </si>
  <si>
    <t>contractor_name_change_comment</t>
  </si>
  <si>
    <r>
      <t xml:space="preserve">contractor_name_change_comment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</si>
  <si>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請求先番号</t>
  </si>
  <si>
    <t>billing_number</t>
  </si>
  <si>
    <r>
      <t xml:space="preserve">billing_number </t>
    </r>
    <r>
      <rPr>
        <b/>
        <sz val="10"/>
        <color rgb="FF0080FF"/>
        <rFont val="Consolas"/>
        <family val="3"/>
      </rPr>
      <t>VARCHAR</t>
    </r>
    <r>
      <rPr>
        <b/>
        <sz val="10"/>
        <color rgb="FF808080"/>
        <rFont val="Consolas"/>
        <family val="3"/>
      </rPr>
      <t>(</t>
    </r>
    <r>
      <rPr>
        <b/>
        <sz val="10"/>
        <color rgb="FFFF2800"/>
        <rFont val="Consolas"/>
        <family val="3"/>
      </rPr>
      <t>36</t>
    </r>
    <r>
      <rPr>
        <b/>
        <sz val="10"/>
        <color rgb="FF808080"/>
        <rFont val="Consolas"/>
        <family val="3"/>
      </rPr>
      <t>),</t>
    </r>
  </si>
  <si>
    <t>法人格位置1</t>
  </si>
  <si>
    <t>corporate_entity_position_1</t>
  </si>
  <si>
    <r>
      <t xml:space="preserve">corporate_entity_position_1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</si>
  <si>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法人格1</t>
  </si>
  <si>
    <t>corporate_entity_1</t>
  </si>
  <si>
    <r>
      <t xml:space="preserve">corporate_entity_1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</si>
  <si>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請求先名</t>
  </si>
  <si>
    <t>billing_name</t>
  </si>
  <si>
    <r>
      <t xml:space="preserve">billing_name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</si>
  <si>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請求先名カナ</t>
  </si>
  <si>
    <t>billing_name_katakana</t>
  </si>
  <si>
    <r>
      <t xml:space="preserve">billing_name_katakana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</si>
  <si>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部門名</t>
  </si>
  <si>
    <t>billing_department_name</t>
    <phoneticPr fontId="2"/>
  </si>
  <si>
    <r>
      <t xml:space="preserve">billing_department_name </t>
    </r>
    <r>
      <rPr>
        <b/>
        <sz val="10"/>
        <color rgb="FF0080FF"/>
        <rFont val="Consolas"/>
        <family val="3"/>
      </rPr>
      <t>VARCHAR</t>
    </r>
    <r>
      <rPr>
        <b/>
        <sz val="10"/>
        <color rgb="FF808080"/>
        <rFont val="Consolas"/>
        <family val="3"/>
      </rPr>
      <t>(</t>
    </r>
    <r>
      <rPr>
        <b/>
        <sz val="10"/>
        <color rgb="FFFF2800"/>
        <rFont val="Consolas"/>
        <family val="3"/>
      </rPr>
      <t>2304</t>
    </r>
    <r>
      <rPr>
        <b/>
        <sz val="10"/>
        <color rgb="FF808080"/>
        <rFont val="Consolas"/>
        <family val="3"/>
      </rPr>
      <t>),</t>
    </r>
  </si>
  <si>
    <t>担当者</t>
  </si>
  <si>
    <t>contact_person</t>
  </si>
  <si>
    <r>
      <t xml:space="preserve">contact_person </t>
    </r>
    <r>
      <rPr>
        <b/>
        <sz val="10"/>
        <color rgb="FF0080FF"/>
        <rFont val="Consolas"/>
        <family val="3"/>
      </rPr>
      <t>VARCHAR</t>
    </r>
    <r>
      <rPr>
        <b/>
        <sz val="10"/>
        <color rgb="FF808080"/>
        <rFont val="Consolas"/>
        <family val="3"/>
      </rPr>
      <t>(</t>
    </r>
    <r>
      <rPr>
        <b/>
        <sz val="10"/>
        <color rgb="FFFF2800"/>
        <rFont val="Consolas"/>
        <family val="3"/>
      </rPr>
      <t>270</t>
    </r>
    <r>
      <rPr>
        <b/>
        <sz val="10"/>
        <color rgb="FF808080"/>
        <rFont val="Consolas"/>
        <family val="3"/>
      </rPr>
      <t>),</t>
    </r>
  </si>
  <si>
    <t>支払方法</t>
  </si>
  <si>
    <t>payment_method</t>
  </si>
  <si>
    <r>
      <t xml:space="preserve">payment_method </t>
    </r>
    <r>
      <rPr>
        <b/>
        <sz val="10"/>
        <color rgb="FF0080FF"/>
        <rFont val="Consolas"/>
        <family val="3"/>
      </rPr>
      <t>VARCHAR</t>
    </r>
    <r>
      <rPr>
        <b/>
        <sz val="10"/>
        <color rgb="FF808080"/>
        <rFont val="Consolas"/>
        <family val="3"/>
      </rPr>
      <t>(</t>
    </r>
    <r>
      <rPr>
        <b/>
        <sz val="10"/>
        <color rgb="FFFF2800"/>
        <rFont val="Consolas"/>
        <family val="3"/>
      </rPr>
      <t>1536</t>
    </r>
    <r>
      <rPr>
        <b/>
        <sz val="10"/>
        <color rgb="FF808080"/>
        <rFont val="Consolas"/>
        <family val="3"/>
      </rPr>
      <t>),</t>
    </r>
  </si>
  <si>
    <t>請求書タイプ</t>
  </si>
  <si>
    <t>invoice_type</t>
  </si>
  <si>
    <r>
      <t xml:space="preserve">invoice_type </t>
    </r>
    <r>
      <rPr>
        <b/>
        <sz val="10"/>
        <color rgb="FF0080FF"/>
        <rFont val="Consolas"/>
        <family val="3"/>
      </rPr>
      <t>VARCHAR</t>
    </r>
    <r>
      <rPr>
        <b/>
        <sz val="10"/>
        <color rgb="FF808080"/>
        <rFont val="Consolas"/>
        <family val="3"/>
      </rPr>
      <t>(</t>
    </r>
    <r>
      <rPr>
        <b/>
        <sz val="10"/>
        <color rgb="FFFF2800"/>
        <rFont val="Consolas"/>
        <family val="3"/>
      </rPr>
      <t>1536</t>
    </r>
    <r>
      <rPr>
        <b/>
        <sz val="10"/>
        <color rgb="FF808080"/>
        <rFont val="Consolas"/>
        <family val="3"/>
      </rPr>
      <t>),</t>
    </r>
  </si>
  <si>
    <t>請求書送付</t>
  </si>
  <si>
    <t>invoice_delivery</t>
  </si>
  <si>
    <r>
      <t xml:space="preserve">invoice_delivery </t>
    </r>
    <r>
      <rPr>
        <b/>
        <sz val="10"/>
        <color rgb="FF0080FF"/>
        <rFont val="Consolas"/>
        <family val="3"/>
      </rPr>
      <t>VARCHAR</t>
    </r>
    <r>
      <rPr>
        <b/>
        <sz val="10"/>
        <color rgb="FF808080"/>
        <rFont val="Consolas"/>
        <family val="3"/>
      </rPr>
      <t>(</t>
    </r>
    <r>
      <rPr>
        <b/>
        <sz val="10"/>
        <color rgb="FFFF2800"/>
        <rFont val="Consolas"/>
        <family val="3"/>
      </rPr>
      <t>1536</t>
    </r>
    <r>
      <rPr>
        <b/>
        <sz val="10"/>
        <color rgb="FF808080"/>
        <rFont val="Consolas"/>
        <family val="3"/>
      </rPr>
      <t>),</t>
    </r>
  </si>
  <si>
    <t>下4桁表示</t>
  </si>
  <si>
    <t>last_4_digits</t>
  </si>
  <si>
    <r>
      <t xml:space="preserve">last_4_digits </t>
    </r>
    <r>
      <rPr>
        <b/>
        <sz val="10"/>
        <color rgb="FF0080FF"/>
        <rFont val="Consolas"/>
        <family val="3"/>
      </rPr>
      <t>VARCHAR</t>
    </r>
    <r>
      <rPr>
        <b/>
        <sz val="10"/>
        <color rgb="FF808080"/>
        <rFont val="Consolas"/>
        <family val="3"/>
      </rPr>
      <t>(</t>
    </r>
    <r>
      <rPr>
        <b/>
        <sz val="10"/>
        <color rgb="FFFF2800"/>
        <rFont val="Consolas"/>
        <family val="3"/>
      </rPr>
      <t>1536</t>
    </r>
    <r>
      <rPr>
        <b/>
        <sz val="10"/>
        <color rgb="FF808080"/>
        <rFont val="Consolas"/>
        <family val="3"/>
      </rPr>
      <t>),</t>
    </r>
  </si>
  <si>
    <t>請求群情報</t>
  </si>
  <si>
    <t>billing_group_information</t>
  </si>
  <si>
    <r>
      <t xml:space="preserve">billing_group_information </t>
    </r>
    <r>
      <rPr>
        <b/>
        <sz val="10"/>
        <color rgb="FF0080FF"/>
        <rFont val="Consolas"/>
        <family val="3"/>
      </rPr>
      <t>VARCHAR</t>
    </r>
    <r>
      <rPr>
        <b/>
        <sz val="10"/>
        <color rgb="FF808080"/>
        <rFont val="Consolas"/>
        <family val="3"/>
      </rPr>
      <t>(</t>
    </r>
    <r>
      <rPr>
        <b/>
        <sz val="10"/>
        <color rgb="FFFF2800"/>
        <rFont val="Consolas"/>
        <family val="3"/>
      </rPr>
      <t>1536</t>
    </r>
    <r>
      <rPr>
        <b/>
        <sz val="10"/>
        <color rgb="FF808080"/>
        <rFont val="Consolas"/>
        <family val="3"/>
      </rPr>
      <t>),</t>
    </r>
  </si>
  <si>
    <t>割賦許容番号</t>
  </si>
  <si>
    <t>installment_payment_allowance_number</t>
  </si>
  <si>
    <r>
      <t xml:space="preserve">installment_payment_allowance_number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</si>
  <si>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代行業者</t>
  </si>
  <si>
    <t>agency</t>
  </si>
  <si>
    <r>
      <t xml:space="preserve">agency </t>
    </r>
    <r>
      <rPr>
        <b/>
        <sz val="10"/>
        <color rgb="FF0080FF"/>
        <rFont val="Consolas"/>
        <family val="3"/>
      </rPr>
      <t>VARCHAR</t>
    </r>
    <r>
      <rPr>
        <b/>
        <sz val="10"/>
        <color rgb="FF808080"/>
        <rFont val="Consolas"/>
        <family val="3"/>
      </rPr>
      <t>(</t>
    </r>
    <r>
      <rPr>
        <b/>
        <sz val="10"/>
        <color rgb="FFFF2800"/>
        <rFont val="Consolas"/>
        <family val="3"/>
      </rPr>
      <t>1536</t>
    </r>
    <r>
      <rPr>
        <b/>
        <sz val="10"/>
        <color rgb="FF808080"/>
        <rFont val="Consolas"/>
        <family val="3"/>
      </rPr>
      <t>),</t>
    </r>
  </si>
  <si>
    <t>法人複数回線割引</t>
  </si>
  <si>
    <t>corporate_multiple_line_discount</t>
  </si>
  <si>
    <r>
      <t xml:space="preserve">corporate_multiple_line_discount </t>
    </r>
    <r>
      <rPr>
        <b/>
        <sz val="10"/>
        <color rgb="FF0080FF"/>
        <rFont val="Consolas"/>
        <family val="3"/>
      </rPr>
      <t>VARCHAR</t>
    </r>
    <r>
      <rPr>
        <b/>
        <sz val="10"/>
        <color rgb="FF808080"/>
        <rFont val="Consolas"/>
        <family val="3"/>
      </rPr>
      <t>(</t>
    </r>
    <r>
      <rPr>
        <b/>
        <sz val="10"/>
        <color rgb="FFFF2800"/>
        <rFont val="Consolas"/>
        <family val="3"/>
      </rPr>
      <t>300</t>
    </r>
    <r>
      <rPr>
        <b/>
        <sz val="10"/>
        <color rgb="FF808080"/>
        <rFont val="Consolas"/>
        <family val="3"/>
      </rPr>
      <t>),</t>
    </r>
  </si>
  <si>
    <t>割引率</t>
  </si>
  <si>
    <t>discount_rate</t>
  </si>
  <si>
    <r>
      <t xml:space="preserve">discount_rate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</si>
  <si>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割引額</t>
  </si>
  <si>
    <t>discount_amount</t>
  </si>
  <si>
    <r>
      <t xml:space="preserve">discount_amount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</si>
  <si>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割引月数</t>
  </si>
  <si>
    <t>number_of_discount_months</t>
  </si>
  <si>
    <r>
      <t xml:space="preserve">number_of_discount_months </t>
    </r>
    <r>
      <rPr>
        <b/>
        <sz val="10"/>
        <color rgb="FF0080FF"/>
        <rFont val="Consolas"/>
        <family val="3"/>
      </rPr>
      <t>VARCHAR</t>
    </r>
    <r>
      <rPr>
        <b/>
        <sz val="10"/>
        <color rgb="FF808080"/>
        <rFont val="Consolas"/>
        <family val="3"/>
      </rPr>
      <t>(</t>
    </r>
    <r>
      <rPr>
        <b/>
        <sz val="10"/>
        <color rgb="FFFF2800"/>
        <rFont val="Consolas"/>
        <family val="3"/>
      </rPr>
      <t>300</t>
    </r>
    <r>
      <rPr>
        <b/>
        <sz val="10"/>
        <color rgb="FF808080"/>
        <rFont val="Consolas"/>
        <family val="3"/>
      </rPr>
      <t>),</t>
    </r>
  </si>
  <si>
    <t>手数料種別</t>
  </si>
  <si>
    <t>fee_type</t>
  </si>
  <si>
    <r>
      <t xml:space="preserve">fee_type </t>
    </r>
    <r>
      <rPr>
        <b/>
        <sz val="10"/>
        <color rgb="FF0080FF"/>
        <rFont val="Consolas"/>
        <family val="3"/>
      </rPr>
      <t>VARCHAR</t>
    </r>
    <r>
      <rPr>
        <b/>
        <sz val="10"/>
        <color rgb="FF808080"/>
        <rFont val="Consolas"/>
        <family val="3"/>
      </rPr>
      <t>(</t>
    </r>
    <r>
      <rPr>
        <b/>
        <sz val="10"/>
        <color rgb="FFFF2800"/>
        <rFont val="Consolas"/>
        <family val="3"/>
      </rPr>
      <t>3</t>
    </r>
    <r>
      <rPr>
        <b/>
        <sz val="10"/>
        <color rgb="FF808080"/>
        <rFont val="Consolas"/>
        <family val="3"/>
      </rPr>
      <t>),</t>
    </r>
  </si>
  <si>
    <r>
      <t xml:space="preserve">bulk_invoice_discount </t>
    </r>
    <r>
      <rPr>
        <b/>
        <sz val="10"/>
        <color rgb="FF0080FF"/>
        <rFont val="Consolas"/>
        <family val="3"/>
      </rPr>
      <t>VARCHAR</t>
    </r>
    <r>
      <rPr>
        <b/>
        <sz val="10"/>
        <color rgb="FF808080"/>
        <rFont val="Consolas"/>
        <family val="3"/>
      </rPr>
      <t>(</t>
    </r>
    <r>
      <rPr>
        <b/>
        <sz val="10"/>
        <color rgb="FFFF2800"/>
        <rFont val="Consolas"/>
        <family val="3"/>
      </rPr>
      <t>300</t>
    </r>
    <r>
      <rPr>
        <b/>
        <sz val="10"/>
        <color rgb="FF808080"/>
        <rFont val="Consolas"/>
        <family val="3"/>
      </rPr>
      <t>),</t>
    </r>
  </si>
  <si>
    <t>割引率1</t>
  </si>
  <si>
    <t>discount_rate_1</t>
  </si>
  <si>
    <r>
      <t xml:space="preserve">discount_rate_1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</si>
  <si>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割引額1</t>
  </si>
  <si>
    <t>discount_amount_1</t>
  </si>
  <si>
    <r>
      <t xml:space="preserve">discount_amount_1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</si>
  <si>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割引月数1</t>
  </si>
  <si>
    <t>number_of_discount_months_1</t>
  </si>
  <si>
    <r>
      <t xml:space="preserve">number_of_discount_months_1 </t>
    </r>
    <r>
      <rPr>
        <b/>
        <sz val="10"/>
        <color rgb="FF0080FF"/>
        <rFont val="Consolas"/>
        <family val="3"/>
      </rPr>
      <t>VARCHAR</t>
    </r>
    <r>
      <rPr>
        <b/>
        <sz val="10"/>
        <color rgb="FF808080"/>
        <rFont val="Consolas"/>
        <family val="3"/>
      </rPr>
      <t>(</t>
    </r>
    <r>
      <rPr>
        <b/>
        <sz val="10"/>
        <color rgb="FFFF2800"/>
        <rFont val="Consolas"/>
        <family val="3"/>
      </rPr>
      <t>300</t>
    </r>
    <r>
      <rPr>
        <b/>
        <sz val="10"/>
        <color rgb="FF808080"/>
        <rFont val="Consolas"/>
        <family val="3"/>
      </rPr>
      <t>),</t>
    </r>
  </si>
  <si>
    <t>手数料種別1</t>
  </si>
  <si>
    <t>fee_type_1</t>
  </si>
  <si>
    <r>
      <t xml:space="preserve">fee_type_1 </t>
    </r>
    <r>
      <rPr>
        <b/>
        <sz val="10"/>
        <color rgb="FF0080FF"/>
        <rFont val="Consolas"/>
        <family val="3"/>
      </rPr>
      <t>VARCHAR</t>
    </r>
    <r>
      <rPr>
        <b/>
        <sz val="10"/>
        <color rgb="FF808080"/>
        <rFont val="Consolas"/>
        <family val="3"/>
      </rPr>
      <t>(</t>
    </r>
    <r>
      <rPr>
        <b/>
        <sz val="10"/>
        <color rgb="FFFF2800"/>
        <rFont val="Consolas"/>
        <family val="3"/>
      </rPr>
      <t>3</t>
    </r>
    <r>
      <rPr>
        <b/>
        <sz val="10"/>
        <color rgb="FF808080"/>
        <rFont val="Consolas"/>
        <family val="3"/>
      </rPr>
      <t>),</t>
    </r>
  </si>
  <si>
    <t>s番法人複数回線割引</t>
  </si>
  <si>
    <t>number_s_corporate_multiple_line_discount</t>
  </si>
  <si>
    <r>
      <t xml:space="preserve">number_s_corporate_multiple_line_discount </t>
    </r>
    <r>
      <rPr>
        <b/>
        <sz val="10"/>
        <color rgb="FF0080FF"/>
        <rFont val="Consolas"/>
        <family val="3"/>
      </rPr>
      <t>VARCHAR</t>
    </r>
    <r>
      <rPr>
        <b/>
        <sz val="10"/>
        <color rgb="FF808080"/>
        <rFont val="Consolas"/>
        <family val="3"/>
      </rPr>
      <t>(</t>
    </r>
    <r>
      <rPr>
        <b/>
        <sz val="10"/>
        <color rgb="FFFF2800"/>
        <rFont val="Consolas"/>
        <family val="3"/>
      </rPr>
      <t>300</t>
    </r>
    <r>
      <rPr>
        <b/>
        <sz val="10"/>
        <color rgb="FF808080"/>
        <rFont val="Consolas"/>
        <family val="3"/>
      </rPr>
      <t>),</t>
    </r>
  </si>
  <si>
    <t>割引率2</t>
  </si>
  <si>
    <t>discount_rate_2</t>
  </si>
  <si>
    <r>
      <t xml:space="preserve">discount_rate_2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</si>
  <si>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割引額2</t>
  </si>
  <si>
    <t>discount_amount_2</t>
  </si>
  <si>
    <r>
      <t xml:space="preserve">discount_amount_2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</si>
  <si>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割引月数2</t>
  </si>
  <si>
    <t>number_of_discount_months_2</t>
  </si>
  <si>
    <r>
      <t xml:space="preserve">number_of_discount_months_2 </t>
    </r>
    <r>
      <rPr>
        <b/>
        <sz val="10"/>
        <color rgb="FF0080FF"/>
        <rFont val="Consolas"/>
        <family val="3"/>
      </rPr>
      <t>VARCHAR</t>
    </r>
    <r>
      <rPr>
        <b/>
        <sz val="10"/>
        <color rgb="FF808080"/>
        <rFont val="Consolas"/>
        <family val="3"/>
      </rPr>
      <t>(</t>
    </r>
    <r>
      <rPr>
        <b/>
        <sz val="10"/>
        <color rgb="FFFF2800"/>
        <rFont val="Consolas"/>
        <family val="3"/>
      </rPr>
      <t>300</t>
    </r>
    <r>
      <rPr>
        <b/>
        <sz val="10"/>
        <color rgb="FF808080"/>
        <rFont val="Consolas"/>
        <family val="3"/>
      </rPr>
      <t>),</t>
    </r>
  </si>
  <si>
    <t>手数料種別2</t>
  </si>
  <si>
    <t>fee_type_2</t>
  </si>
  <si>
    <r>
      <t xml:space="preserve">fee_type_2 </t>
    </r>
    <r>
      <rPr>
        <b/>
        <sz val="10"/>
        <color rgb="FF0080FF"/>
        <rFont val="Consolas"/>
        <family val="3"/>
      </rPr>
      <t>VARCHAR</t>
    </r>
    <r>
      <rPr>
        <b/>
        <sz val="10"/>
        <color rgb="FF808080"/>
        <rFont val="Consolas"/>
        <family val="3"/>
      </rPr>
      <t>(</t>
    </r>
    <r>
      <rPr>
        <b/>
        <sz val="10"/>
        <color rgb="FFFF2800"/>
        <rFont val="Consolas"/>
        <family val="3"/>
      </rPr>
      <t>3</t>
    </r>
    <r>
      <rPr>
        <b/>
        <sz val="10"/>
        <color rgb="FF808080"/>
        <rFont val="Consolas"/>
        <family val="3"/>
      </rPr>
      <t>),</t>
    </r>
  </si>
  <si>
    <t>s番大口通話料割引</t>
  </si>
  <si>
    <t>s_number_large_call_discount</t>
  </si>
  <si>
    <r>
      <t xml:space="preserve">s_number_large_call_discount </t>
    </r>
    <r>
      <rPr>
        <b/>
        <sz val="10"/>
        <color rgb="FF0080FF"/>
        <rFont val="Consolas"/>
        <family val="3"/>
      </rPr>
      <t>VARCHAR</t>
    </r>
    <r>
      <rPr>
        <b/>
        <sz val="10"/>
        <color rgb="FF808080"/>
        <rFont val="Consolas"/>
        <family val="3"/>
      </rPr>
      <t>(</t>
    </r>
    <r>
      <rPr>
        <b/>
        <sz val="10"/>
        <color rgb="FFFF2800"/>
        <rFont val="Consolas"/>
        <family val="3"/>
      </rPr>
      <t>300</t>
    </r>
    <r>
      <rPr>
        <b/>
        <sz val="10"/>
        <color rgb="FF808080"/>
        <rFont val="Consolas"/>
        <family val="3"/>
      </rPr>
      <t>),</t>
    </r>
  </si>
  <si>
    <t>割引率3</t>
  </si>
  <si>
    <t>discount_rate_3</t>
  </si>
  <si>
    <r>
      <t xml:space="preserve">discount_rate_3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</si>
  <si>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割引額3</t>
  </si>
  <si>
    <t>discount_amount_3</t>
  </si>
  <si>
    <r>
      <t xml:space="preserve">discount_amount_3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</si>
  <si>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割引月数3</t>
  </si>
  <si>
    <t>number_of_discount_months_3</t>
  </si>
  <si>
    <r>
      <t xml:space="preserve">number_of_discount_months_3 </t>
    </r>
    <r>
      <rPr>
        <b/>
        <sz val="10"/>
        <color rgb="FF0080FF"/>
        <rFont val="Consolas"/>
        <family val="3"/>
      </rPr>
      <t>VARCHAR</t>
    </r>
    <r>
      <rPr>
        <b/>
        <sz val="10"/>
        <color rgb="FF808080"/>
        <rFont val="Consolas"/>
        <family val="3"/>
      </rPr>
      <t>(</t>
    </r>
    <r>
      <rPr>
        <b/>
        <sz val="10"/>
        <color rgb="FFFF2800"/>
        <rFont val="Consolas"/>
        <family val="3"/>
      </rPr>
      <t>300</t>
    </r>
    <r>
      <rPr>
        <b/>
        <sz val="10"/>
        <color rgb="FF808080"/>
        <rFont val="Consolas"/>
        <family val="3"/>
      </rPr>
      <t>),</t>
    </r>
  </si>
  <si>
    <t>手数料種別3</t>
  </si>
  <si>
    <t>fee_type_3</t>
  </si>
  <si>
    <r>
      <t xml:space="preserve">fee_type_3 </t>
    </r>
    <r>
      <rPr>
        <b/>
        <sz val="10"/>
        <color rgb="FF0080FF"/>
        <rFont val="Consolas"/>
        <family val="3"/>
      </rPr>
      <t>VARCHAR</t>
    </r>
    <r>
      <rPr>
        <b/>
        <sz val="10"/>
        <color rgb="FF808080"/>
        <rFont val="Consolas"/>
        <family val="3"/>
      </rPr>
      <t>(</t>
    </r>
    <r>
      <rPr>
        <b/>
        <sz val="10"/>
        <color rgb="FFFF2800"/>
        <rFont val="Consolas"/>
        <family val="3"/>
      </rPr>
      <t>3</t>
    </r>
    <r>
      <rPr>
        <b/>
        <sz val="10"/>
        <color rgb="FF808080"/>
        <rFont val="Consolas"/>
        <family val="3"/>
      </rPr>
      <t>),</t>
    </r>
  </si>
  <si>
    <t>シェア</t>
  </si>
  <si>
    <t>share</t>
  </si>
  <si>
    <r>
      <t xml:space="preserve">share </t>
    </r>
    <r>
      <rPr>
        <b/>
        <sz val="10"/>
        <color rgb="FF0080FF"/>
        <rFont val="Consolas"/>
        <family val="3"/>
      </rPr>
      <t>VARCHAR</t>
    </r>
    <r>
      <rPr>
        <b/>
        <sz val="10"/>
        <color rgb="FF808080"/>
        <rFont val="Consolas"/>
        <family val="3"/>
      </rPr>
      <t>(</t>
    </r>
    <r>
      <rPr>
        <b/>
        <sz val="10"/>
        <color rgb="FFFF2800"/>
        <rFont val="Consolas"/>
        <family val="3"/>
      </rPr>
      <t>300</t>
    </r>
    <r>
      <rPr>
        <b/>
        <sz val="10"/>
        <color rgb="FF808080"/>
        <rFont val="Consolas"/>
        <family val="3"/>
      </rPr>
      <t>),</t>
    </r>
  </si>
  <si>
    <t>割引率4</t>
  </si>
  <si>
    <t>discount_rate_4</t>
  </si>
  <si>
    <r>
      <t xml:space="preserve">discount_rate_4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</si>
  <si>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割引額4</t>
  </si>
  <si>
    <t>discount_amount_4</t>
  </si>
  <si>
    <r>
      <t xml:space="preserve">discount_amount_4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</si>
  <si>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割引月数4</t>
  </si>
  <si>
    <t>number_of_discount_months_4</t>
  </si>
  <si>
    <r>
      <t xml:space="preserve">number_of_discount_months_4 </t>
    </r>
    <r>
      <rPr>
        <b/>
        <sz val="10"/>
        <color rgb="FF0080FF"/>
        <rFont val="Consolas"/>
        <family val="3"/>
      </rPr>
      <t>VARCHAR</t>
    </r>
    <r>
      <rPr>
        <b/>
        <sz val="10"/>
        <color rgb="FF808080"/>
        <rFont val="Consolas"/>
        <family val="3"/>
      </rPr>
      <t>(</t>
    </r>
    <r>
      <rPr>
        <b/>
        <sz val="10"/>
        <color rgb="FFFF2800"/>
        <rFont val="Consolas"/>
        <family val="3"/>
      </rPr>
      <t>300</t>
    </r>
    <r>
      <rPr>
        <b/>
        <sz val="10"/>
        <color rgb="FF808080"/>
        <rFont val="Consolas"/>
        <family val="3"/>
      </rPr>
      <t>),</t>
    </r>
  </si>
  <si>
    <t>手数料種別4</t>
  </si>
  <si>
    <t>fee_type_4</t>
  </si>
  <si>
    <r>
      <t xml:space="preserve">fee_type_4 </t>
    </r>
    <r>
      <rPr>
        <b/>
        <sz val="10"/>
        <color rgb="FF0080FF"/>
        <rFont val="Consolas"/>
        <family val="3"/>
      </rPr>
      <t>VARCHAR</t>
    </r>
    <r>
      <rPr>
        <b/>
        <sz val="10"/>
        <color rgb="FF808080"/>
        <rFont val="Consolas"/>
        <family val="3"/>
      </rPr>
      <t>(</t>
    </r>
    <r>
      <rPr>
        <b/>
        <sz val="10"/>
        <color rgb="FFFF2800"/>
        <rFont val="Consolas"/>
        <family val="3"/>
      </rPr>
      <t>3</t>
    </r>
    <r>
      <rPr>
        <b/>
        <sz val="10"/>
        <color rgb="FF808080"/>
        <rFont val="Consolas"/>
        <family val="3"/>
      </rPr>
      <t>),</t>
    </r>
  </si>
  <si>
    <t>請求先送付先区分</t>
  </si>
  <si>
    <t>billing_address_shipping_address_category</t>
    <phoneticPr fontId="2"/>
  </si>
  <si>
    <r>
      <t xml:space="preserve">billing_address_shipping_address_category </t>
    </r>
    <r>
      <rPr>
        <b/>
        <sz val="10"/>
        <color rgb="FF0080FF"/>
        <rFont val="Consolas"/>
        <family val="3"/>
      </rPr>
      <t>VARCHAR</t>
    </r>
    <r>
      <rPr>
        <b/>
        <sz val="10"/>
        <color rgb="FF808080"/>
        <rFont val="Consolas"/>
        <family val="3"/>
      </rPr>
      <t>(</t>
    </r>
    <r>
      <rPr>
        <b/>
        <sz val="10"/>
        <color rgb="FFFF2800"/>
        <rFont val="Consolas"/>
        <family val="3"/>
      </rPr>
      <t>1536</t>
    </r>
    <r>
      <rPr>
        <b/>
        <sz val="10"/>
        <color rgb="FF808080"/>
        <rFont val="Consolas"/>
        <family val="3"/>
      </rPr>
      <t>),</t>
    </r>
  </si>
  <si>
    <t>送付先宛名</t>
  </si>
  <si>
    <t>shipping_address</t>
  </si>
  <si>
    <r>
      <t xml:space="preserve">shipping_address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</si>
  <si>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請求書カスタマイズ</t>
  </si>
  <si>
    <t>invoice_customization</t>
  </si>
  <si>
    <r>
      <t xml:space="preserve">invoice_customization </t>
    </r>
    <r>
      <rPr>
        <b/>
        <sz val="10"/>
        <color rgb="FF0080FF"/>
        <rFont val="Consolas"/>
        <family val="3"/>
      </rPr>
      <t>VARCHAR</t>
    </r>
    <r>
      <rPr>
        <b/>
        <sz val="10"/>
        <color rgb="FF808080"/>
        <rFont val="Consolas"/>
        <family val="3"/>
      </rPr>
      <t>(</t>
    </r>
    <r>
      <rPr>
        <b/>
        <sz val="10"/>
        <color rgb="FFFF2800"/>
        <rFont val="Consolas"/>
        <family val="3"/>
      </rPr>
      <t>2304</t>
    </r>
    <r>
      <rPr>
        <b/>
        <sz val="10"/>
        <color rgb="FF808080"/>
        <rFont val="Consolas"/>
        <family val="3"/>
      </rPr>
      <t>),</t>
    </r>
  </si>
  <si>
    <t>請求書送付区分</t>
  </si>
  <si>
    <t>billing_address_category</t>
  </si>
  <si>
    <r>
      <t xml:space="preserve">billing_address_category </t>
    </r>
    <r>
      <rPr>
        <b/>
        <sz val="10"/>
        <color rgb="FF0080FF"/>
        <rFont val="Consolas"/>
        <family val="3"/>
      </rPr>
      <t>VARCHAR</t>
    </r>
    <r>
      <rPr>
        <b/>
        <sz val="10"/>
        <color rgb="FF808080"/>
        <rFont val="Consolas"/>
        <family val="3"/>
      </rPr>
      <t>(</t>
    </r>
    <r>
      <rPr>
        <b/>
        <sz val="10"/>
        <color rgb="FFFF2800"/>
        <rFont val="Consolas"/>
        <family val="3"/>
      </rPr>
      <t>1536</t>
    </r>
    <r>
      <rPr>
        <b/>
        <sz val="10"/>
        <color rgb="FF808080"/>
        <rFont val="Consolas"/>
        <family val="3"/>
      </rPr>
      <t>),</t>
    </r>
  </si>
  <si>
    <t>送付先宛名1</t>
  </si>
  <si>
    <t>shipping_address_1</t>
  </si>
  <si>
    <r>
      <t xml:space="preserve">shipping_address_1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</si>
  <si>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請求書カスタマイズ1</t>
  </si>
  <si>
    <t>invoice_customization_1</t>
  </si>
  <si>
    <r>
      <t xml:space="preserve">invoice_customization_1 </t>
    </r>
    <r>
      <rPr>
        <b/>
        <sz val="10"/>
        <color rgb="FF0080FF"/>
        <rFont val="Consolas"/>
        <family val="3"/>
      </rPr>
      <t>VARCHAR</t>
    </r>
    <r>
      <rPr>
        <b/>
        <sz val="10"/>
        <color rgb="FF808080"/>
        <rFont val="Consolas"/>
        <family val="3"/>
      </rPr>
      <t>(</t>
    </r>
    <r>
      <rPr>
        <b/>
        <sz val="10"/>
        <color rgb="FFFF2800"/>
        <rFont val="Consolas"/>
        <family val="3"/>
      </rPr>
      <t>2304</t>
    </r>
    <r>
      <rPr>
        <b/>
        <sz val="10"/>
        <color rgb="FF808080"/>
        <rFont val="Consolas"/>
        <family val="3"/>
      </rPr>
      <t>),</t>
    </r>
  </si>
  <si>
    <t>特約開始年月日</t>
  </si>
  <si>
    <t>special_agreement_start_date</t>
  </si>
  <si>
    <r>
      <t xml:space="preserve">special_agreement_start_date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</si>
  <si>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特約期間</t>
  </si>
  <si>
    <t>special_agreement_period</t>
  </si>
  <si>
    <r>
      <t xml:space="preserve">special_agreement_period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</si>
  <si>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契約期間月数</t>
  </si>
  <si>
    <t>contract_period_in_months</t>
  </si>
  <si>
    <r>
      <t xml:space="preserve">contract_period_in_months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</si>
  <si>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自動更新後の期間</t>
  </si>
  <si>
    <t>period_after_automatic_renewal</t>
  </si>
  <si>
    <r>
      <t xml:space="preserve">period_after_automatic_renewal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</si>
  <si>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初期レンタル期間</t>
  </si>
  <si>
    <t>initial_rental_period</t>
  </si>
  <si>
    <r>
      <t xml:space="preserve">initial_rental_period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</si>
  <si>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中古レンタル開始日</t>
  </si>
  <si>
    <t>used_rental_start_date</t>
  </si>
  <si>
    <r>
      <t xml:space="preserve">used_rental_start_date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</si>
  <si>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中古レンタル終了日</t>
  </si>
  <si>
    <t>used_rental_end_date</t>
  </si>
  <si>
    <r>
      <t xml:space="preserve">used_rental_end_date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</si>
  <si>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特約適用上限回線数</t>
  </si>
  <si>
    <t>maximum_number_of_lines_applicable_to_the_special_agreement</t>
  </si>
  <si>
    <r>
      <t xml:space="preserve">maximum_number_of_lines_applicable_to_the_special_agreement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</si>
  <si>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t>倉庫種別</t>
  </si>
  <si>
    <t>warehouse_type</t>
  </si>
  <si>
    <r>
      <t xml:space="preserve">warehouse_type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</si>
  <si>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非完結帳票作成依頼</t>
  </si>
  <si>
    <t>request_for_incomplete_report_creation</t>
  </si>
  <si>
    <r>
      <t xml:space="preserve">request_for_incomplete_report_creation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</si>
  <si>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gisun登録不可</t>
  </si>
  <si>
    <t>gisun_registration_not_possible</t>
  </si>
  <si>
    <r>
      <t xml:space="preserve">gisun_registration_not_possible </t>
    </r>
    <r>
      <rPr>
        <b/>
        <sz val="10"/>
        <color rgb="FF0080FF"/>
        <rFont val="Consolas"/>
        <family val="3"/>
      </rPr>
      <t>VARCHAR</t>
    </r>
    <r>
      <rPr>
        <b/>
        <sz val="10"/>
        <color rgb="FF808080"/>
        <rFont val="Consolas"/>
        <family val="3"/>
      </rPr>
      <t>(</t>
    </r>
    <r>
      <rPr>
        <b/>
        <sz val="10"/>
        <color rgb="FFFF2800"/>
        <rFont val="Consolas"/>
        <family val="3"/>
      </rPr>
      <t>3</t>
    </r>
    <r>
      <rPr>
        <b/>
        <sz val="10"/>
        <color rgb="FF808080"/>
        <rFont val="Consolas"/>
        <family val="3"/>
      </rPr>
      <t>),</t>
    </r>
  </si>
  <si>
    <t>交換種別</t>
  </si>
  <si>
    <t>replacement_type</t>
  </si>
  <si>
    <r>
      <t xml:space="preserve">replacement_type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</si>
  <si>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在庫種別</t>
  </si>
  <si>
    <t>inventory_type</t>
  </si>
  <si>
    <r>
      <t xml:space="preserve">inventory_type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</si>
  <si>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営業所</t>
  </si>
  <si>
    <t>sales_office</t>
  </si>
  <si>
    <r>
      <t xml:space="preserve">sales_office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</si>
  <si>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申告内容</t>
  </si>
  <si>
    <t>declaration_details</t>
  </si>
  <si>
    <r>
      <t xml:space="preserve">declaration_details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</si>
  <si>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usim種別</t>
  </si>
  <si>
    <t>usim_type</t>
  </si>
  <si>
    <r>
      <t xml:space="preserve">usim_type </t>
    </r>
    <r>
      <rPr>
        <b/>
        <sz val="10"/>
        <color rgb="FF0080FF"/>
        <rFont val="Consolas"/>
        <family val="3"/>
      </rPr>
      <t>VARCHAR</t>
    </r>
    <r>
      <rPr>
        <b/>
        <sz val="10"/>
        <color rgb="FF808080"/>
        <rFont val="Consolas"/>
        <family val="3"/>
      </rPr>
      <t>(</t>
    </r>
    <r>
      <rPr>
        <b/>
        <sz val="10"/>
        <color rgb="FFFF2800"/>
        <rFont val="Consolas"/>
        <family val="3"/>
      </rPr>
      <t>450</t>
    </r>
    <r>
      <rPr>
        <b/>
        <sz val="10"/>
        <color rgb="FF808080"/>
        <rFont val="Consolas"/>
        <family val="3"/>
      </rPr>
      <t>),</t>
    </r>
  </si>
  <si>
    <t>usim種別その他</t>
  </si>
  <si>
    <t>other_usim_types</t>
  </si>
  <si>
    <r>
      <t xml:space="preserve">other_usim_types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</si>
  <si>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台数</t>
  </si>
  <si>
    <t>quantity</t>
  </si>
  <si>
    <r>
      <t xml:space="preserve">quantity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</si>
  <si>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t>wo専用usim</t>
  </si>
  <si>
    <t>wo_specific_usim</t>
  </si>
  <si>
    <r>
      <t xml:space="preserve">wo_specific_usim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</si>
  <si>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試算テンプレートver</t>
  </si>
  <si>
    <t>estimate_template_version</t>
  </si>
  <si>
    <r>
      <t xml:space="preserve">estimate_template_version </t>
    </r>
    <r>
      <rPr>
        <b/>
        <sz val="10"/>
        <color rgb="FF0080FF"/>
        <rFont val="Consolas"/>
        <family val="3"/>
      </rPr>
      <t>VARCHAR</t>
    </r>
    <r>
      <rPr>
        <b/>
        <sz val="10"/>
        <color rgb="FF808080"/>
        <rFont val="Consolas"/>
        <family val="3"/>
      </rPr>
      <t>(</t>
    </r>
    <r>
      <rPr>
        <b/>
        <sz val="10"/>
        <color rgb="FFFF2800"/>
        <rFont val="Consolas"/>
        <family val="3"/>
      </rPr>
      <t>90</t>
    </r>
    <r>
      <rPr>
        <b/>
        <sz val="10"/>
        <color rgb="FF808080"/>
        <rFont val="Consolas"/>
        <family val="3"/>
      </rPr>
      <t>),</t>
    </r>
  </si>
  <si>
    <t>決裁承認日</t>
  </si>
  <si>
    <t>approval_date</t>
  </si>
  <si>
    <r>
      <t xml:space="preserve">approval_date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</si>
  <si>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起票元試算番号</t>
  </si>
  <si>
    <t>original_estimate_number</t>
  </si>
  <si>
    <r>
      <t xml:space="preserve">original_estimate_number </t>
    </r>
    <r>
      <rPr>
        <b/>
        <sz val="10"/>
        <color rgb="FF0080FF"/>
        <rFont val="Consolas"/>
        <family val="3"/>
      </rPr>
      <t>VARCHAR</t>
    </r>
    <r>
      <rPr>
        <b/>
        <sz val="10"/>
        <color rgb="FF808080"/>
        <rFont val="Consolas"/>
        <family val="3"/>
      </rPr>
      <t>(</t>
    </r>
    <r>
      <rPr>
        <b/>
        <sz val="10"/>
        <color rgb="FFFF2800"/>
        <rFont val="Consolas"/>
        <family val="3"/>
      </rPr>
      <t>54</t>
    </r>
    <r>
      <rPr>
        <b/>
        <sz val="10"/>
        <color rgb="FF808080"/>
        <rFont val="Consolas"/>
        <family val="3"/>
      </rPr>
      <t>),</t>
    </r>
  </si>
  <si>
    <t>コピー元エントリ番号</t>
  </si>
  <si>
    <t>copy_entry_number</t>
  </si>
  <si>
    <r>
      <t xml:space="preserve">copy_entry_number </t>
    </r>
    <r>
      <rPr>
        <b/>
        <sz val="10"/>
        <color rgb="FF0080FF"/>
        <rFont val="Consolas"/>
        <family val="3"/>
      </rPr>
      <t>VARCHAR</t>
    </r>
    <r>
      <rPr>
        <b/>
        <sz val="10"/>
        <color rgb="FF808080"/>
        <rFont val="Consolas"/>
        <family val="3"/>
      </rPr>
      <t>(</t>
    </r>
    <r>
      <rPr>
        <b/>
        <sz val="10"/>
        <color rgb="FFFF2800"/>
        <rFont val="Consolas"/>
        <family val="3"/>
      </rPr>
      <t>54</t>
    </r>
    <r>
      <rPr>
        <b/>
        <sz val="10"/>
        <color rgb="FF808080"/>
        <rFont val="Consolas"/>
        <family val="3"/>
      </rPr>
      <t>),</t>
    </r>
  </si>
  <si>
    <t>最低利用回線数</t>
  </si>
  <si>
    <t>端末縛り金額</t>
  </si>
  <si>
    <t>device_binding_amount</t>
  </si>
  <si>
    <r>
      <t xml:space="preserve">device_binding_amount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</si>
  <si>
    <t>端末縛り期間</t>
  </si>
  <si>
    <t>device_binding_period</t>
  </si>
  <si>
    <r>
      <t xml:space="preserve">device_binding_period </t>
    </r>
    <r>
      <rPr>
        <b/>
        <sz val="10"/>
        <color rgb="FF0080FF"/>
        <rFont val="Consolas"/>
        <family val="3"/>
      </rPr>
      <t>DECIMAL</t>
    </r>
    <r>
      <rPr>
        <b/>
        <sz val="10"/>
        <color rgb="FF808080"/>
        <rFont val="Consolas"/>
        <family val="3"/>
      </rPr>
      <t>(</t>
    </r>
    <r>
      <rPr>
        <b/>
        <sz val="10"/>
        <color rgb="FFFF2800"/>
        <rFont val="Consolas"/>
        <family val="3"/>
      </rPr>
      <t>3</t>
    </r>
    <r>
      <rPr>
        <b/>
        <sz val="10"/>
        <color rgb="FF808080"/>
        <rFont val="Consolas"/>
        <family val="3"/>
      </rPr>
      <t>),</t>
    </r>
  </si>
  <si>
    <t>国際rm値引指定有無</t>
  </si>
  <si>
    <t>international_rm_discount_specification</t>
  </si>
  <si>
    <r>
      <t xml:space="preserve">international_rm_discount_specification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</si>
  <si>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国際rm値引指定割引率</t>
  </si>
  <si>
    <t>international_rm_discount_specification_discount_rate</t>
  </si>
  <si>
    <r>
      <t xml:space="preserve">international_rm_discount_specification_discount_rate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</si>
  <si>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プラン縛り1</t>
  </si>
  <si>
    <t>plan_binding_1</t>
  </si>
  <si>
    <r>
      <t xml:space="preserve">plan_binding_1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</si>
  <si>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プラン縛り2</t>
  </si>
  <si>
    <t>plan_binding_2</t>
  </si>
  <si>
    <r>
      <t xml:space="preserve">plan_binding_2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</si>
  <si>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プラン縛り3</t>
  </si>
  <si>
    <t>plan_binding_3</t>
  </si>
  <si>
    <r>
      <t xml:space="preserve">plan_binding_3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</si>
  <si>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プラン縛り4</t>
  </si>
  <si>
    <t>plan_binding_4</t>
  </si>
  <si>
    <r>
      <t xml:space="preserve">plan_binding_4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</si>
  <si>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プラン縛り5</t>
  </si>
  <si>
    <t>plan_binding_5</t>
  </si>
  <si>
    <r>
      <t xml:space="preserve">plan_binding_5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</si>
  <si>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プラン縛り6</t>
  </si>
  <si>
    <t>plan_binding_6</t>
  </si>
  <si>
    <r>
      <t xml:space="preserve">plan_binding_6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</si>
  <si>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プラン縛り7</t>
  </si>
  <si>
    <t>plan_restriction_7</t>
  </si>
  <si>
    <r>
      <t xml:space="preserve">plan_restriction_7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</si>
  <si>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プラン縛り8</t>
  </si>
  <si>
    <t>plan_restriction_8</t>
  </si>
  <si>
    <r>
      <t xml:space="preserve">plan_restriction_8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</si>
  <si>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プラン縛り9</t>
  </si>
  <si>
    <t>plan_restriction_9</t>
  </si>
  <si>
    <r>
      <t xml:space="preserve">plan_restriction_9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</si>
  <si>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プラン縛り10</t>
  </si>
  <si>
    <t>plan_restriction_10</t>
  </si>
  <si>
    <r>
      <t xml:space="preserve">plan_restriction_10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</si>
  <si>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プラン縛り11</t>
  </si>
  <si>
    <t>plan_restriction_11</t>
  </si>
  <si>
    <r>
      <t xml:space="preserve">plan_restriction_11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</si>
  <si>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プラン縛り12</t>
  </si>
  <si>
    <t>plan_restriction_12</t>
  </si>
  <si>
    <r>
      <t xml:space="preserve">plan_restriction_12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</si>
  <si>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比率指定プラン1</t>
  </si>
  <si>
    <t>percentage_plan_1</t>
  </si>
  <si>
    <r>
      <t xml:space="preserve">percentage_plan_1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</si>
  <si>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プラン比率1</t>
  </si>
  <si>
    <t>plan_ratio_1</t>
  </si>
  <si>
    <r>
      <t xml:space="preserve">plan_ratio_1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</si>
  <si>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比率指定プラン2</t>
  </si>
  <si>
    <t>percentage_plan_2</t>
  </si>
  <si>
    <r>
      <t xml:space="preserve">percentage_plan_2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</si>
  <si>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プラン比率2</t>
  </si>
  <si>
    <t>plan_ratio_2</t>
  </si>
  <si>
    <r>
      <t xml:space="preserve">plan_ratio_2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</si>
  <si>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比率指定プラン3</t>
  </si>
  <si>
    <t>percentage_plan_3</t>
  </si>
  <si>
    <r>
      <t xml:space="preserve">percentage_plan_3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</si>
  <si>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プラン比率3</t>
  </si>
  <si>
    <t>plan_ratio_3</t>
  </si>
  <si>
    <r>
      <t xml:space="preserve">plan_ratio_3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</si>
  <si>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比率指定プラン4</t>
  </si>
  <si>
    <t>percentage_plan_4</t>
  </si>
  <si>
    <r>
      <t xml:space="preserve">percentage_plan_4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</si>
  <si>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プラン比率4</t>
  </si>
  <si>
    <t>plan_ratio_4</t>
  </si>
  <si>
    <r>
      <t xml:space="preserve">plan_ratio_4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</si>
  <si>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必須opカテゴリ1</t>
  </si>
  <si>
    <t>required_op_category_1</t>
  </si>
  <si>
    <r>
      <t xml:space="preserve">required_op_category_1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</si>
  <si>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必須op1</t>
  </si>
  <si>
    <t>required_op_1</t>
  </si>
  <si>
    <r>
      <t xml:space="preserve">required_op_1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</si>
  <si>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必須opカテゴリ2</t>
  </si>
  <si>
    <t>required_op_category_2</t>
  </si>
  <si>
    <r>
      <t xml:space="preserve">required_op_category_2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</si>
  <si>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必須op2</t>
  </si>
  <si>
    <t>required_op_2</t>
  </si>
  <si>
    <r>
      <t xml:space="preserve">required_op_2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</si>
  <si>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必須opカテゴリ3</t>
  </si>
  <si>
    <t>required_op_category_3</t>
  </si>
  <si>
    <r>
      <t xml:space="preserve">required_op_category_3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</si>
  <si>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必須op3</t>
  </si>
  <si>
    <t>required_op_3</t>
  </si>
  <si>
    <r>
      <t xml:space="preserve">required_op_3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</si>
  <si>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必須opカテゴリ4</t>
  </si>
  <si>
    <t>required_op_category_4</t>
  </si>
  <si>
    <r>
      <t xml:space="preserve">required_op_category_4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</si>
  <si>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必須op4</t>
  </si>
  <si>
    <t>required_op_4</t>
  </si>
  <si>
    <r>
      <t xml:space="preserve">required_op_4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</si>
  <si>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比率指定opカテゴリ1</t>
  </si>
  <si>
    <t>percentage_op_category_1</t>
  </si>
  <si>
    <r>
      <t xml:space="preserve">percentage_op_category_1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</si>
  <si>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比率指定op1</t>
  </si>
  <si>
    <t>percentage_op_1</t>
  </si>
  <si>
    <r>
      <t xml:space="preserve">percentage_op_1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</si>
  <si>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op比率1</t>
  </si>
  <si>
    <t>op_ratio_1</t>
  </si>
  <si>
    <r>
      <t xml:space="preserve">op_ratio_1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</si>
  <si>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比率指定opカテゴリ2</t>
  </si>
  <si>
    <t>percentage_op_category_2</t>
  </si>
  <si>
    <r>
      <t xml:space="preserve">percentage_op_category_2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</si>
  <si>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比率指定op2</t>
  </si>
  <si>
    <t>percentage_op_2</t>
  </si>
  <si>
    <r>
      <t xml:space="preserve">percentage_op_2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</si>
  <si>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op比率2</t>
  </si>
  <si>
    <t>op_ratio_2</t>
  </si>
  <si>
    <r>
      <t xml:space="preserve">op_ratio_2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</si>
  <si>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比率指定opカテゴリ3</t>
  </si>
  <si>
    <t>percentage_op_category_3</t>
  </si>
  <si>
    <r>
      <t xml:space="preserve">percentage_op_category_3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</si>
  <si>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比率指定op3</t>
  </si>
  <si>
    <t>percentage_op_3</t>
  </si>
  <si>
    <r>
      <t xml:space="preserve">percentage_op_3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</si>
  <si>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op比率3</t>
  </si>
  <si>
    <t>op_ratio_3</t>
  </si>
  <si>
    <r>
      <t xml:space="preserve">op_ratio_3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</si>
  <si>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比率指定opカテゴリ4</t>
  </si>
  <si>
    <t>percentage_op_category_4</t>
  </si>
  <si>
    <r>
      <t xml:space="preserve">percentage_op_category_4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</si>
  <si>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比率指定op4</t>
  </si>
  <si>
    <t>percentage_op_4</t>
  </si>
  <si>
    <r>
      <t xml:space="preserve">percentage_op_4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</si>
  <si>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op比率4</t>
  </si>
  <si>
    <t>op_ratio_4</t>
  </si>
  <si>
    <r>
      <t xml:space="preserve">op_ratio_4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</si>
  <si>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その他指定1</t>
  </si>
  <si>
    <t>other_options_1</t>
  </si>
  <si>
    <r>
      <t xml:space="preserve">other_options_1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</si>
  <si>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その他指定2</t>
  </si>
  <si>
    <t>other_options_2</t>
  </si>
  <si>
    <r>
      <t xml:space="preserve">other_options_2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</si>
  <si>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その他指定3</t>
  </si>
  <si>
    <t>other_options_3</t>
  </si>
  <si>
    <r>
      <t xml:space="preserve">other_options_3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</si>
  <si>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その他指定4</t>
  </si>
  <si>
    <t>other_options_4</t>
  </si>
  <si>
    <r>
      <t xml:space="preserve">other_options_4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</si>
  <si>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その他指定5</t>
  </si>
  <si>
    <t>other_options_5</t>
  </si>
  <si>
    <r>
      <t xml:space="preserve">other_options_5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</si>
  <si>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その他指定6</t>
  </si>
  <si>
    <t>other_options_6</t>
  </si>
  <si>
    <r>
      <t xml:space="preserve">other_options_6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</si>
  <si>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その他指定7</t>
  </si>
  <si>
    <t>other_options_7</t>
  </si>
  <si>
    <r>
      <t xml:space="preserve">other_options_7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</si>
  <si>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その他指定8</t>
  </si>
  <si>
    <t>other_options_8</t>
  </si>
  <si>
    <r>
      <t xml:space="preserve">other_options_8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</si>
  <si>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補足</t>
  </si>
  <si>
    <t>additional_information</t>
  </si>
  <si>
    <r>
      <t xml:space="preserve">additional_information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</si>
  <si>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チャネル</t>
  </si>
  <si>
    <t>channel</t>
  </si>
  <si>
    <r>
      <t xml:space="preserve">channel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</si>
  <si>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試算ステータス</t>
  </si>
  <si>
    <t>estimated_status</t>
  </si>
  <si>
    <r>
      <t xml:space="preserve">estimated_status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</si>
  <si>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t>rental_中古_開始年月日</t>
  </si>
  <si>
    <t>rental_used_start_date</t>
  </si>
  <si>
    <r>
      <t xml:space="preserve">rental_used_start_date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</si>
  <si>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rental_中古_期間_ヶ月</t>
  </si>
  <si>
    <t>rental_used_period_months</t>
  </si>
  <si>
    <r>
      <t xml:space="preserve">rental_used_period_months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</si>
  <si>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r>
      <t>CONSTRAINT</t>
    </r>
    <r>
      <rPr>
        <b/>
        <sz val="10"/>
        <color theme="1"/>
        <rFont val="Consolas"/>
        <family val="3"/>
      </rPr>
      <t xml:space="preserve"> pk_bfs_entry_information </t>
    </r>
    <r>
      <rPr>
        <b/>
        <sz val="10"/>
        <color rgb="FF0080FF"/>
        <rFont val="Consolas"/>
        <family val="3"/>
      </rPr>
      <t>PRIMARY</t>
    </r>
    <r>
      <rPr>
        <b/>
        <sz val="10"/>
        <color theme="1"/>
        <rFont val="Consolas"/>
        <family val="3"/>
      </rPr>
      <t xml:space="preserve"> </t>
    </r>
    <r>
      <rPr>
        <b/>
        <sz val="10"/>
        <color rgb="FF0080FF"/>
        <rFont val="Consolas"/>
        <family val="3"/>
      </rPr>
      <t>KEY</t>
    </r>
    <r>
      <rPr>
        <b/>
        <sz val="10"/>
        <color theme="1"/>
        <rFont val="Consolas"/>
        <family val="3"/>
      </rPr>
      <t xml:space="preserve"> </t>
    </r>
    <r>
      <rPr>
        <b/>
        <sz val="10"/>
        <color rgb="FF808080"/>
        <rFont val="Consolas"/>
        <family val="3"/>
      </rPr>
      <t>(</t>
    </r>
    <r>
      <rPr>
        <b/>
        <sz val="10"/>
        <color theme="1"/>
        <rFont val="Consolas"/>
        <family val="3"/>
      </rPr>
      <t>id</t>
    </r>
    <r>
      <rPr>
        <b/>
        <sz val="10"/>
        <color rgb="FF808080"/>
        <rFont val="Consolas"/>
        <family val="3"/>
      </rPr>
      <t>));</t>
    </r>
    <r>
      <rPr>
        <b/>
        <sz val="10"/>
        <color theme="1"/>
        <rFont val="Consolas"/>
        <family val="3"/>
      </rPr>
      <t xml:space="preserve"> </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</si>
  <si>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TABLE</t>
    </r>
    <r>
      <rPr>
        <b/>
        <sz val="10"/>
        <color theme="1"/>
        <rFont val="Consolas"/>
        <family val="3"/>
      </rPr>
      <t xml:space="preserve"> bfs_entry_information </t>
    </r>
    <r>
      <rPr>
        <b/>
        <sz val="10"/>
        <color rgb="FF0080FF"/>
        <rFont val="Consolas"/>
        <family val="3"/>
      </rPr>
      <t>IS</t>
    </r>
    <r>
      <rPr>
        <b/>
        <sz val="10"/>
        <color theme="1"/>
        <rFont val="Consolas"/>
        <family val="3"/>
      </rPr>
      <t xml:space="preserve"> </t>
    </r>
    <r>
      <rPr>
        <b/>
        <sz val="10"/>
        <color rgb="FFFF2800"/>
        <rFont val="Consolas"/>
        <family val="3"/>
      </rPr>
      <t>'b_hjn_bfs_モバイル_エントリ情報'</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</si>
  <si>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id </t>
    </r>
    <r>
      <rPr>
        <b/>
        <sz val="10"/>
        <color rgb="FF0080FF"/>
        <rFont val="Consolas"/>
        <family val="3"/>
      </rPr>
      <t>IS</t>
    </r>
    <r>
      <rPr>
        <b/>
        <sz val="10"/>
        <color theme="1"/>
        <rFont val="Consolas"/>
        <family val="3"/>
      </rPr>
      <t xml:space="preserve"> </t>
    </r>
    <r>
      <rPr>
        <b/>
        <sz val="10"/>
        <color rgb="FFFF2800"/>
        <rFont val="Consolas"/>
        <family val="3"/>
      </rPr>
      <t>'id'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</si>
  <si>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entry_number </t>
    </r>
    <r>
      <rPr>
        <b/>
        <sz val="10"/>
        <color rgb="FF0080FF"/>
        <rFont val="Consolas"/>
        <family val="3"/>
      </rPr>
      <t>IS</t>
    </r>
    <r>
      <rPr>
        <b/>
        <sz val="10"/>
        <color theme="1"/>
        <rFont val="Consolas"/>
        <family val="3"/>
      </rPr>
      <t xml:space="preserve"> </t>
    </r>
    <r>
      <rPr>
        <b/>
        <sz val="10"/>
        <color rgb="FFFF2800"/>
        <rFont val="Consolas"/>
        <family val="3"/>
      </rPr>
      <t>'エントリ番号'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</si>
  <si>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subject </t>
    </r>
    <r>
      <rPr>
        <b/>
        <sz val="10"/>
        <color rgb="FF0080FF"/>
        <rFont val="Consolas"/>
        <family val="3"/>
      </rPr>
      <t>IS</t>
    </r>
    <r>
      <rPr>
        <b/>
        <sz val="10"/>
        <color theme="1"/>
        <rFont val="Consolas"/>
        <family val="3"/>
      </rPr>
      <t xml:space="preserve"> </t>
    </r>
    <r>
      <rPr>
        <b/>
        <sz val="10"/>
        <color rgb="FFFF2800"/>
        <rFont val="Consolas"/>
        <family val="3"/>
      </rPr>
      <t>'件名'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</si>
  <si>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creation_category </t>
    </r>
    <r>
      <rPr>
        <b/>
        <sz val="10"/>
        <color rgb="FF0080FF"/>
        <rFont val="Consolas"/>
        <family val="3"/>
      </rPr>
      <t>IS</t>
    </r>
    <r>
      <rPr>
        <b/>
        <sz val="10"/>
        <color theme="1"/>
        <rFont val="Consolas"/>
        <family val="3"/>
      </rPr>
      <t xml:space="preserve"> </t>
    </r>
    <r>
      <rPr>
        <b/>
        <sz val="10"/>
        <color rgb="FFFF2800"/>
        <rFont val="Consolas"/>
        <family val="3"/>
      </rPr>
      <t>'作成区分'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</si>
  <si>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order_type </t>
    </r>
    <r>
      <rPr>
        <b/>
        <sz val="10"/>
        <color rgb="FF0080FF"/>
        <rFont val="Consolas"/>
        <family val="3"/>
      </rPr>
      <t>IS</t>
    </r>
    <r>
      <rPr>
        <b/>
        <sz val="10"/>
        <color theme="1"/>
        <rFont val="Consolas"/>
        <family val="3"/>
      </rPr>
      <t xml:space="preserve"> </t>
    </r>
    <r>
      <rPr>
        <b/>
        <sz val="10"/>
        <color rgb="FFFF2800"/>
        <rFont val="Consolas"/>
        <family val="3"/>
      </rPr>
      <t>'オーダ種別'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</si>
  <si>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application_form_linkage </t>
    </r>
    <r>
      <rPr>
        <b/>
        <sz val="10"/>
        <color rgb="FF0080FF"/>
        <rFont val="Consolas"/>
        <family val="3"/>
      </rPr>
      <t>IS</t>
    </r>
    <r>
      <rPr>
        <b/>
        <sz val="10"/>
        <color theme="1"/>
        <rFont val="Consolas"/>
        <family val="3"/>
      </rPr>
      <t xml:space="preserve"> </t>
    </r>
    <r>
      <rPr>
        <b/>
        <sz val="10"/>
        <color rgb="FFFF2800"/>
        <rFont val="Consolas"/>
        <family val="3"/>
      </rPr>
      <t>'申込書連携'</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</si>
  <si>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special_contract_separate_output </t>
    </r>
    <r>
      <rPr>
        <b/>
        <sz val="10"/>
        <color rgb="FF0080FF"/>
        <rFont val="Consolas"/>
        <family val="3"/>
      </rPr>
      <t>IS</t>
    </r>
    <r>
      <rPr>
        <b/>
        <sz val="10"/>
        <color theme="1"/>
        <rFont val="Consolas"/>
        <family val="3"/>
      </rPr>
      <t xml:space="preserve"> </t>
    </r>
    <r>
      <rPr>
        <b/>
        <sz val="10"/>
        <color rgb="FFFF2800"/>
        <rFont val="Consolas"/>
        <family val="3"/>
      </rPr>
      <t>'特約分離出力有無'</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</si>
  <si>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notification_target </t>
    </r>
    <r>
      <rPr>
        <b/>
        <sz val="10"/>
        <color rgb="FF0080FF"/>
        <rFont val="Consolas"/>
        <family val="3"/>
      </rPr>
      <t>IS</t>
    </r>
    <r>
      <rPr>
        <b/>
        <sz val="10"/>
        <color theme="1"/>
        <rFont val="Consolas"/>
        <family val="3"/>
      </rPr>
      <t xml:space="preserve"> </t>
    </r>
    <r>
      <rPr>
        <b/>
        <sz val="10"/>
        <color rgb="FFFF2800"/>
        <rFont val="Consolas"/>
        <family val="3"/>
      </rPr>
      <t>'通知書対象'</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</si>
  <si>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activation_status </t>
    </r>
    <r>
      <rPr>
        <b/>
        <sz val="10"/>
        <color rgb="FF0080FF"/>
        <rFont val="Consolas"/>
        <family val="3"/>
      </rPr>
      <t>IS</t>
    </r>
    <r>
      <rPr>
        <b/>
        <sz val="10"/>
        <color theme="1"/>
        <rFont val="Consolas"/>
        <family val="3"/>
      </rPr>
      <t xml:space="preserve"> </t>
    </r>
    <r>
      <rPr>
        <b/>
        <sz val="10"/>
        <color rgb="FFFF2800"/>
        <rFont val="Consolas"/>
        <family val="3"/>
      </rPr>
      <t>'開通済有無'</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</si>
  <si>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activation_date </t>
    </r>
    <r>
      <rPr>
        <b/>
        <sz val="10"/>
        <color rgb="FF0080FF"/>
        <rFont val="Consolas"/>
        <family val="3"/>
      </rPr>
      <t>IS</t>
    </r>
    <r>
      <rPr>
        <b/>
        <sz val="10"/>
        <color theme="1"/>
        <rFont val="Consolas"/>
        <family val="3"/>
      </rPr>
      <t xml:space="preserve"> </t>
    </r>
    <r>
      <rPr>
        <b/>
        <sz val="10"/>
        <color rgb="FFFF2800"/>
        <rFont val="Consolas"/>
        <family val="3"/>
      </rPr>
      <t>'開通日'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</si>
  <si>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incomplete_request_type </t>
    </r>
    <r>
      <rPr>
        <b/>
        <sz val="10"/>
        <color rgb="FF0080FF"/>
        <rFont val="Consolas"/>
        <family val="3"/>
      </rPr>
      <t>IS</t>
    </r>
    <r>
      <rPr>
        <b/>
        <sz val="10"/>
        <color theme="1"/>
        <rFont val="Consolas"/>
        <family val="3"/>
      </rPr>
      <t xml:space="preserve"> </t>
    </r>
    <r>
      <rPr>
        <b/>
        <sz val="10"/>
        <color rgb="FFFF2800"/>
        <rFont val="Consolas"/>
        <family val="3"/>
      </rPr>
      <t>'非完結依頼種別'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</si>
  <si>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source_entry_type </t>
    </r>
    <r>
      <rPr>
        <b/>
        <sz val="10"/>
        <color rgb="FF0080FF"/>
        <rFont val="Consolas"/>
        <family val="3"/>
      </rPr>
      <t>IS</t>
    </r>
    <r>
      <rPr>
        <b/>
        <sz val="10"/>
        <color theme="1"/>
        <rFont val="Consolas"/>
        <family val="3"/>
      </rPr>
      <t xml:space="preserve"> </t>
    </r>
    <r>
      <rPr>
        <b/>
        <sz val="10"/>
        <color rgb="FFFF2800"/>
        <rFont val="Consolas"/>
        <family val="3"/>
      </rPr>
      <t>'コピー元エントリ種別'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</si>
  <si>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salesperson_code </t>
    </r>
    <r>
      <rPr>
        <b/>
        <sz val="10"/>
        <color rgb="FF0080FF"/>
        <rFont val="Consolas"/>
        <family val="3"/>
      </rPr>
      <t>IS</t>
    </r>
    <r>
      <rPr>
        <b/>
        <sz val="10"/>
        <color theme="1"/>
        <rFont val="Consolas"/>
        <family val="3"/>
      </rPr>
      <t xml:space="preserve"> </t>
    </r>
    <r>
      <rPr>
        <b/>
        <sz val="10"/>
        <color rgb="FFFF2800"/>
        <rFont val="Consolas"/>
        <family val="3"/>
      </rPr>
      <t>'営業担当者コード'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</si>
  <si>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salesperson </t>
    </r>
    <r>
      <rPr>
        <b/>
        <sz val="10"/>
        <color rgb="FF0080FF"/>
        <rFont val="Consolas"/>
        <family val="3"/>
      </rPr>
      <t>IS</t>
    </r>
    <r>
      <rPr>
        <b/>
        <sz val="10"/>
        <color theme="1"/>
        <rFont val="Consolas"/>
        <family val="3"/>
      </rPr>
      <t xml:space="preserve"> </t>
    </r>
    <r>
      <rPr>
        <b/>
        <sz val="10"/>
        <color rgb="FFFF2800"/>
        <rFont val="Consolas"/>
        <family val="3"/>
      </rPr>
      <t>'営業担当者'</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</si>
  <si>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agency_code </t>
    </r>
    <r>
      <rPr>
        <b/>
        <sz val="10"/>
        <color rgb="FF0080FF"/>
        <rFont val="Consolas"/>
        <family val="3"/>
      </rPr>
      <t>IS</t>
    </r>
    <r>
      <rPr>
        <b/>
        <sz val="10"/>
        <color theme="1"/>
        <rFont val="Consolas"/>
        <family val="3"/>
      </rPr>
      <t xml:space="preserve"> </t>
    </r>
    <r>
      <rPr>
        <b/>
        <sz val="10"/>
        <color rgb="FFFF2800"/>
        <rFont val="Consolas"/>
        <family val="3"/>
      </rPr>
      <t>'取次店コード'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</si>
  <si>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affiliated_agency </t>
    </r>
    <r>
      <rPr>
        <b/>
        <sz val="10"/>
        <color rgb="FF0080FF"/>
        <rFont val="Consolas"/>
        <family val="3"/>
      </rPr>
      <t>IS</t>
    </r>
    <r>
      <rPr>
        <b/>
        <sz val="10"/>
        <color theme="1"/>
        <rFont val="Consolas"/>
        <family val="3"/>
      </rPr>
      <t xml:space="preserve"> </t>
    </r>
    <r>
      <rPr>
        <b/>
        <sz val="10"/>
        <color rgb="FFFF2800"/>
        <rFont val="Consolas"/>
        <family val="3"/>
      </rPr>
      <t>'所属代理店'</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</si>
  <si>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carrier_type </t>
    </r>
    <r>
      <rPr>
        <b/>
        <sz val="10"/>
        <color rgb="FF0080FF"/>
        <rFont val="Consolas"/>
        <family val="3"/>
      </rPr>
      <t>IS</t>
    </r>
    <r>
      <rPr>
        <b/>
        <sz val="10"/>
        <color theme="1"/>
        <rFont val="Consolas"/>
        <family val="3"/>
      </rPr>
      <t xml:space="preserve"> </t>
    </r>
    <r>
      <rPr>
        <b/>
        <sz val="10"/>
        <color rgb="FFFF2800"/>
        <rFont val="Consolas"/>
        <family val="3"/>
      </rPr>
      <t>'キャリア種別'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</si>
  <si>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business_operator_category </t>
    </r>
    <r>
      <rPr>
        <b/>
        <sz val="10"/>
        <color rgb="FF0080FF"/>
        <rFont val="Consolas"/>
        <family val="3"/>
      </rPr>
      <t>IS</t>
    </r>
    <r>
      <rPr>
        <b/>
        <sz val="10"/>
        <color theme="1"/>
        <rFont val="Consolas"/>
        <family val="3"/>
      </rPr>
      <t xml:space="preserve"> </t>
    </r>
    <r>
      <rPr>
        <b/>
        <sz val="10"/>
        <color rgb="FFFF2800"/>
        <rFont val="Consolas"/>
        <family val="3"/>
      </rPr>
      <t>'事業者区分'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</si>
  <si>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application_form_number </t>
    </r>
    <r>
      <rPr>
        <b/>
        <sz val="10"/>
        <color rgb="FF0080FF"/>
        <rFont val="Consolas"/>
        <family val="3"/>
      </rPr>
      <t>IS</t>
    </r>
    <r>
      <rPr>
        <b/>
        <sz val="10"/>
        <color theme="1"/>
        <rFont val="Consolas"/>
        <family val="3"/>
      </rPr>
      <t xml:space="preserve"> </t>
    </r>
    <r>
      <rPr>
        <b/>
        <sz val="10"/>
        <color rgb="FFFF2800"/>
        <rFont val="Consolas"/>
        <family val="3"/>
      </rPr>
      <t>'申込書番号'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</si>
  <si>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contract_type </t>
    </r>
    <r>
      <rPr>
        <b/>
        <sz val="10"/>
        <color rgb="FF0080FF"/>
        <rFont val="Consolas"/>
        <family val="3"/>
      </rPr>
      <t>IS</t>
    </r>
    <r>
      <rPr>
        <b/>
        <sz val="10"/>
        <color theme="1"/>
        <rFont val="Consolas"/>
        <family val="3"/>
      </rPr>
      <t xml:space="preserve"> </t>
    </r>
    <r>
      <rPr>
        <b/>
        <sz val="10"/>
        <color rgb="FFFF2800"/>
        <rFont val="Consolas"/>
        <family val="3"/>
      </rPr>
      <t>'契約種別'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</si>
  <si>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expected_delivery_date </t>
    </r>
    <r>
      <rPr>
        <b/>
        <sz val="10"/>
        <color rgb="FF0080FF"/>
        <rFont val="Consolas"/>
        <family val="3"/>
      </rPr>
      <t>IS</t>
    </r>
    <r>
      <rPr>
        <b/>
        <sz val="10"/>
        <color theme="1"/>
        <rFont val="Consolas"/>
        <family val="3"/>
      </rPr>
      <t xml:space="preserve"> </t>
    </r>
    <r>
      <rPr>
        <b/>
        <sz val="10"/>
        <color rgb="FFFF2800"/>
        <rFont val="Consolas"/>
        <family val="3"/>
      </rPr>
      <t>'納品予定日'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</si>
  <si>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application_date </t>
    </r>
    <r>
      <rPr>
        <b/>
        <sz val="10"/>
        <color rgb="FF0080FF"/>
        <rFont val="Consolas"/>
        <family val="3"/>
      </rPr>
      <t>IS</t>
    </r>
    <r>
      <rPr>
        <b/>
        <sz val="10"/>
        <color theme="1"/>
        <rFont val="Consolas"/>
        <family val="3"/>
      </rPr>
      <t xml:space="preserve"> </t>
    </r>
    <r>
      <rPr>
        <b/>
        <sz val="10"/>
        <color rgb="FFFF2800"/>
        <rFont val="Consolas"/>
        <family val="3"/>
      </rPr>
      <t>'申込日'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</si>
  <si>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ipad_customer_type </t>
    </r>
    <r>
      <rPr>
        <b/>
        <sz val="10"/>
        <color rgb="FF0080FF"/>
        <rFont val="Consolas"/>
        <family val="3"/>
      </rPr>
      <t>IS</t>
    </r>
    <r>
      <rPr>
        <b/>
        <sz val="10"/>
        <color theme="1"/>
        <rFont val="Consolas"/>
        <family val="3"/>
      </rPr>
      <t xml:space="preserve"> </t>
    </r>
    <r>
      <rPr>
        <b/>
        <sz val="10"/>
        <color rgb="FFFF2800"/>
        <rFont val="Consolas"/>
        <family val="3"/>
      </rPr>
      <t>'ipad顧客種別'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</si>
  <si>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billing_method </t>
    </r>
    <r>
      <rPr>
        <b/>
        <sz val="10"/>
        <color rgb="FF0080FF"/>
        <rFont val="Consolas"/>
        <family val="3"/>
      </rPr>
      <t>IS</t>
    </r>
    <r>
      <rPr>
        <b/>
        <sz val="10"/>
        <color theme="1"/>
        <rFont val="Consolas"/>
        <family val="3"/>
      </rPr>
      <t xml:space="preserve"> </t>
    </r>
    <r>
      <rPr>
        <b/>
        <sz val="10"/>
        <color rgb="FFFF2800"/>
        <rFont val="Consolas"/>
        <family val="3"/>
      </rPr>
      <t>'請求方法'</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</si>
  <si>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number_of_payments </t>
    </r>
    <r>
      <rPr>
        <b/>
        <sz val="10"/>
        <color rgb="FF0080FF"/>
        <rFont val="Consolas"/>
        <family val="3"/>
      </rPr>
      <t>IS</t>
    </r>
    <r>
      <rPr>
        <b/>
        <sz val="10"/>
        <color theme="1"/>
        <rFont val="Consolas"/>
        <family val="3"/>
      </rPr>
      <t xml:space="preserve"> </t>
    </r>
    <r>
      <rPr>
        <b/>
        <sz val="10"/>
        <color rgb="FFFF2800"/>
        <rFont val="Consolas"/>
        <family val="3"/>
      </rPr>
      <t>'支払回数'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</si>
  <si>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billing_category </t>
    </r>
    <r>
      <rPr>
        <b/>
        <sz val="10"/>
        <color rgb="FF0080FF"/>
        <rFont val="Consolas"/>
        <family val="3"/>
      </rPr>
      <t>IS</t>
    </r>
    <r>
      <rPr>
        <b/>
        <sz val="10"/>
        <color theme="1"/>
        <rFont val="Consolas"/>
        <family val="3"/>
      </rPr>
      <t xml:space="preserve"> </t>
    </r>
    <r>
      <rPr>
        <b/>
        <sz val="10"/>
        <color rgb="FFFF2800"/>
        <rFont val="Consolas"/>
        <family val="3"/>
      </rPr>
      <t>'請求区分'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</si>
  <si>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call_charge_combined_type </t>
    </r>
    <r>
      <rPr>
        <b/>
        <sz val="10"/>
        <color rgb="FF0080FF"/>
        <rFont val="Consolas"/>
        <family val="3"/>
      </rPr>
      <t>IS</t>
    </r>
    <r>
      <rPr>
        <b/>
        <sz val="10"/>
        <color theme="1"/>
        <rFont val="Consolas"/>
        <family val="3"/>
      </rPr>
      <t xml:space="preserve"> </t>
    </r>
    <r>
      <rPr>
        <b/>
        <sz val="10"/>
        <color rgb="FFFF2800"/>
        <rFont val="Consolas"/>
        <family val="3"/>
      </rPr>
      <t>'通話料合算種別'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</si>
  <si>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accessory_purchase </t>
    </r>
    <r>
      <rPr>
        <b/>
        <sz val="10"/>
        <color rgb="FF0080FF"/>
        <rFont val="Consolas"/>
        <family val="3"/>
      </rPr>
      <t>IS</t>
    </r>
    <r>
      <rPr>
        <b/>
        <sz val="10"/>
        <color theme="1"/>
        <rFont val="Consolas"/>
        <family val="3"/>
      </rPr>
      <t xml:space="preserve"> </t>
    </r>
    <r>
      <rPr>
        <b/>
        <sz val="10"/>
        <color rgb="FFFF2800"/>
        <rFont val="Consolas"/>
        <family val="3"/>
      </rPr>
      <t>'付属品購入'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</si>
  <si>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accessory_fee_payment_method </t>
    </r>
    <r>
      <rPr>
        <b/>
        <sz val="10"/>
        <color rgb="FF0080FF"/>
        <rFont val="Consolas"/>
        <family val="3"/>
      </rPr>
      <t>IS</t>
    </r>
    <r>
      <rPr>
        <b/>
        <sz val="10"/>
        <color theme="1"/>
        <rFont val="Consolas"/>
        <family val="3"/>
      </rPr>
      <t xml:space="preserve"> </t>
    </r>
    <r>
      <rPr>
        <b/>
        <sz val="10"/>
        <color rgb="FFFF2800"/>
        <rFont val="Consolas"/>
        <family val="3"/>
      </rPr>
      <t>'付属品代金支払い方法'</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</si>
  <si>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accessory_fee_billing_category </t>
    </r>
    <r>
      <rPr>
        <b/>
        <sz val="10"/>
        <color rgb="FF0080FF"/>
        <rFont val="Consolas"/>
        <family val="3"/>
      </rPr>
      <t>IS</t>
    </r>
    <r>
      <rPr>
        <b/>
        <sz val="10"/>
        <color theme="1"/>
        <rFont val="Consolas"/>
        <family val="3"/>
      </rPr>
      <t xml:space="preserve"> </t>
    </r>
    <r>
      <rPr>
        <b/>
        <sz val="10"/>
        <color rgb="FFFF2800"/>
        <rFont val="Consolas"/>
        <family val="3"/>
      </rPr>
      <t>'付属品代金請求区分'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</si>
  <si>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accessory_fee_combined_type </t>
    </r>
    <r>
      <rPr>
        <b/>
        <sz val="10"/>
        <color rgb="FF0080FF"/>
        <rFont val="Consolas"/>
        <family val="3"/>
      </rPr>
      <t>IS</t>
    </r>
    <r>
      <rPr>
        <b/>
        <sz val="10"/>
        <color theme="1"/>
        <rFont val="Consolas"/>
        <family val="3"/>
      </rPr>
      <t xml:space="preserve"> </t>
    </r>
    <r>
      <rPr>
        <b/>
        <sz val="10"/>
        <color rgb="FFFF2800"/>
        <rFont val="Consolas"/>
        <family val="3"/>
      </rPr>
      <t>'付属品通話料合算種別'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</si>
  <si>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change_target </t>
    </r>
    <r>
      <rPr>
        <b/>
        <sz val="10"/>
        <color rgb="FF0080FF"/>
        <rFont val="Consolas"/>
        <family val="3"/>
      </rPr>
      <t>IS</t>
    </r>
    <r>
      <rPr>
        <b/>
        <sz val="10"/>
        <color theme="1"/>
        <rFont val="Consolas"/>
        <family val="3"/>
      </rPr>
      <t xml:space="preserve"> </t>
    </r>
    <r>
      <rPr>
        <b/>
        <sz val="10"/>
        <color rgb="FFFF2800"/>
        <rFont val="Consolas"/>
        <family val="3"/>
      </rPr>
      <t>'変更対象'</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</si>
  <si>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reception_category </t>
    </r>
    <r>
      <rPr>
        <b/>
        <sz val="10"/>
        <color rgb="FF0080FF"/>
        <rFont val="Consolas"/>
        <family val="3"/>
      </rPr>
      <t>IS</t>
    </r>
    <r>
      <rPr>
        <b/>
        <sz val="10"/>
        <color theme="1"/>
        <rFont val="Consolas"/>
        <family val="3"/>
      </rPr>
      <t xml:space="preserve"> </t>
    </r>
    <r>
      <rPr>
        <b/>
        <sz val="10"/>
        <color rgb="FFFF2800"/>
        <rFont val="Consolas"/>
        <family val="3"/>
      </rPr>
      <t>'受付区分'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</si>
  <si>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web_order_number </t>
    </r>
    <r>
      <rPr>
        <b/>
        <sz val="10"/>
        <color rgb="FF0080FF"/>
        <rFont val="Consolas"/>
        <family val="3"/>
      </rPr>
      <t>IS</t>
    </r>
    <r>
      <rPr>
        <b/>
        <sz val="10"/>
        <color theme="1"/>
        <rFont val="Consolas"/>
        <family val="3"/>
      </rPr>
      <t xml:space="preserve"> </t>
    </r>
    <r>
      <rPr>
        <b/>
        <sz val="10"/>
        <color rgb="FFFF2800"/>
        <rFont val="Consolas"/>
        <family val="3"/>
      </rPr>
      <t>'webオーダ番号'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</si>
  <si>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billing_discount_change </t>
    </r>
    <r>
      <rPr>
        <b/>
        <sz val="10"/>
        <color rgb="FF0080FF"/>
        <rFont val="Consolas"/>
        <family val="3"/>
      </rPr>
      <t>IS</t>
    </r>
    <r>
      <rPr>
        <b/>
        <sz val="10"/>
        <color theme="1"/>
        <rFont val="Consolas"/>
        <family val="3"/>
      </rPr>
      <t xml:space="preserve"> </t>
    </r>
    <r>
      <rPr>
        <b/>
        <sz val="10"/>
        <color rgb="FFFF2800"/>
        <rFont val="Consolas"/>
        <family val="3"/>
      </rPr>
      <t>'請求先割引変更'</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</si>
  <si>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entry_creator_id </t>
    </r>
    <r>
      <rPr>
        <b/>
        <sz val="10"/>
        <color rgb="FF0080FF"/>
        <rFont val="Consolas"/>
        <family val="3"/>
      </rPr>
      <t>IS</t>
    </r>
    <r>
      <rPr>
        <b/>
        <sz val="10"/>
        <color theme="1"/>
        <rFont val="Consolas"/>
        <family val="3"/>
      </rPr>
      <t xml:space="preserve"> </t>
    </r>
    <r>
      <rPr>
        <b/>
        <sz val="10"/>
        <color rgb="FFFF2800"/>
        <rFont val="Consolas"/>
        <family val="3"/>
      </rPr>
      <t>'エントリ作成者id'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</si>
  <si>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entry_creation_date_and_time </t>
    </r>
    <r>
      <rPr>
        <b/>
        <sz val="10"/>
        <color rgb="FF0080FF"/>
        <rFont val="Consolas"/>
        <family val="3"/>
      </rPr>
      <t>IS</t>
    </r>
    <r>
      <rPr>
        <b/>
        <sz val="10"/>
        <color theme="1"/>
        <rFont val="Consolas"/>
        <family val="3"/>
      </rPr>
      <t xml:space="preserve"> </t>
    </r>
    <r>
      <rPr>
        <b/>
        <sz val="10"/>
        <color rgb="FFFF2800"/>
        <rFont val="Consolas"/>
        <family val="3"/>
      </rPr>
      <t>'エントリ作成日時'</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</si>
  <si>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entry_updater_id </t>
    </r>
    <r>
      <rPr>
        <b/>
        <sz val="10"/>
        <color rgb="FF0080FF"/>
        <rFont val="Consolas"/>
        <family val="3"/>
      </rPr>
      <t>IS</t>
    </r>
    <r>
      <rPr>
        <b/>
        <sz val="10"/>
        <color theme="1"/>
        <rFont val="Consolas"/>
        <family val="3"/>
      </rPr>
      <t xml:space="preserve"> </t>
    </r>
    <r>
      <rPr>
        <b/>
        <sz val="10"/>
        <color rgb="FFFF2800"/>
        <rFont val="Consolas"/>
        <family val="3"/>
      </rPr>
      <t>'エントリ更新担当者id'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</si>
  <si>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entry_update_date_and_time </t>
    </r>
    <r>
      <rPr>
        <b/>
        <sz val="10"/>
        <color rgb="FF0080FF"/>
        <rFont val="Consolas"/>
        <family val="3"/>
      </rPr>
      <t>IS</t>
    </r>
    <r>
      <rPr>
        <b/>
        <sz val="10"/>
        <color theme="1"/>
        <rFont val="Consolas"/>
        <family val="3"/>
      </rPr>
      <t xml:space="preserve"> </t>
    </r>
    <r>
      <rPr>
        <b/>
        <sz val="10"/>
        <color rgb="FFFF2800"/>
        <rFont val="Consolas"/>
        <family val="3"/>
      </rPr>
      <t>'エントリ更新日時'</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</si>
  <si>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stakeholder_1 </t>
    </r>
    <r>
      <rPr>
        <b/>
        <sz val="10"/>
        <color rgb="FF0080FF"/>
        <rFont val="Consolas"/>
        <family val="3"/>
      </rPr>
      <t>IS</t>
    </r>
    <r>
      <rPr>
        <b/>
        <sz val="10"/>
        <color theme="1"/>
        <rFont val="Consolas"/>
        <family val="3"/>
      </rPr>
      <t xml:space="preserve"> </t>
    </r>
    <r>
      <rPr>
        <b/>
        <sz val="10"/>
        <color rgb="FFFF2800"/>
        <rFont val="Consolas"/>
        <family val="3"/>
      </rPr>
      <t>'関係者1'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</si>
  <si>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stakeholder_2 </t>
    </r>
    <r>
      <rPr>
        <b/>
        <sz val="10"/>
        <color rgb="FF0080FF"/>
        <rFont val="Consolas"/>
        <family val="3"/>
      </rPr>
      <t>IS</t>
    </r>
    <r>
      <rPr>
        <b/>
        <sz val="10"/>
        <color theme="1"/>
        <rFont val="Consolas"/>
        <family val="3"/>
      </rPr>
      <t xml:space="preserve"> </t>
    </r>
    <r>
      <rPr>
        <b/>
        <sz val="10"/>
        <color rgb="FFFF2800"/>
        <rFont val="Consolas"/>
        <family val="3"/>
      </rPr>
      <t>'関係者2'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</si>
  <si>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stakeholder_3 </t>
    </r>
    <r>
      <rPr>
        <b/>
        <sz val="10"/>
        <color rgb="FF0080FF"/>
        <rFont val="Consolas"/>
        <family val="3"/>
      </rPr>
      <t>IS</t>
    </r>
    <r>
      <rPr>
        <b/>
        <sz val="10"/>
        <color theme="1"/>
        <rFont val="Consolas"/>
        <family val="3"/>
      </rPr>
      <t xml:space="preserve"> </t>
    </r>
    <r>
      <rPr>
        <b/>
        <sz val="10"/>
        <color rgb="FFFF2800"/>
        <rFont val="Consolas"/>
        <family val="3"/>
      </rPr>
      <t>'関係者3'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</si>
  <si>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stakeholder_4 </t>
    </r>
    <r>
      <rPr>
        <b/>
        <sz val="10"/>
        <color rgb="FF0080FF"/>
        <rFont val="Consolas"/>
        <family val="3"/>
      </rPr>
      <t>IS</t>
    </r>
    <r>
      <rPr>
        <b/>
        <sz val="10"/>
        <color theme="1"/>
        <rFont val="Consolas"/>
        <family val="3"/>
      </rPr>
      <t xml:space="preserve"> </t>
    </r>
    <r>
      <rPr>
        <b/>
        <sz val="10"/>
        <color rgb="FFFF2800"/>
        <rFont val="Consolas"/>
        <family val="3"/>
      </rPr>
      <t>'関係者4'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</si>
  <si>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stakeholder_5 </t>
    </r>
    <r>
      <rPr>
        <b/>
        <sz val="10"/>
        <color rgb="FF0080FF"/>
        <rFont val="Consolas"/>
        <family val="3"/>
      </rPr>
      <t>IS</t>
    </r>
    <r>
      <rPr>
        <b/>
        <sz val="10"/>
        <color theme="1"/>
        <rFont val="Consolas"/>
        <family val="3"/>
      </rPr>
      <t xml:space="preserve"> </t>
    </r>
    <r>
      <rPr>
        <b/>
        <sz val="10"/>
        <color rgb="FFFF2800"/>
        <rFont val="Consolas"/>
        <family val="3"/>
      </rPr>
      <t>'関係者5'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</si>
  <si>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stakeholder_6 </t>
    </r>
    <r>
      <rPr>
        <b/>
        <sz val="10"/>
        <color rgb="FF0080FF"/>
        <rFont val="Consolas"/>
        <family val="3"/>
      </rPr>
      <t>IS</t>
    </r>
    <r>
      <rPr>
        <b/>
        <sz val="10"/>
        <color theme="1"/>
        <rFont val="Consolas"/>
        <family val="3"/>
      </rPr>
      <t xml:space="preserve"> </t>
    </r>
    <r>
      <rPr>
        <b/>
        <sz val="10"/>
        <color rgb="FFFF2800"/>
        <rFont val="Consolas"/>
        <family val="3"/>
      </rPr>
      <t>'関係者6'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</si>
  <si>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stakeholder_7 </t>
    </r>
    <r>
      <rPr>
        <b/>
        <sz val="10"/>
        <color rgb="FF0080FF"/>
        <rFont val="Consolas"/>
        <family val="3"/>
      </rPr>
      <t>IS</t>
    </r>
    <r>
      <rPr>
        <b/>
        <sz val="10"/>
        <color theme="1"/>
        <rFont val="Consolas"/>
        <family val="3"/>
      </rPr>
      <t xml:space="preserve"> </t>
    </r>
    <r>
      <rPr>
        <b/>
        <sz val="10"/>
        <color rgb="FFFF2800"/>
        <rFont val="Consolas"/>
        <family val="3"/>
      </rPr>
      <t>'関係者7'</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</si>
  <si>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stakeholder_8 </t>
    </r>
    <r>
      <rPr>
        <b/>
        <sz val="10"/>
        <color rgb="FF0080FF"/>
        <rFont val="Consolas"/>
        <family val="3"/>
      </rPr>
      <t>IS</t>
    </r>
    <r>
      <rPr>
        <b/>
        <sz val="10"/>
        <color theme="1"/>
        <rFont val="Consolas"/>
        <family val="3"/>
      </rPr>
      <t xml:space="preserve"> </t>
    </r>
    <r>
      <rPr>
        <b/>
        <sz val="10"/>
        <color rgb="FFFF2800"/>
        <rFont val="Consolas"/>
        <family val="3"/>
      </rPr>
      <t>'関係者8'</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</si>
  <si>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stakeholder_9 </t>
    </r>
    <r>
      <rPr>
        <b/>
        <sz val="10"/>
        <color rgb="FF0080FF"/>
        <rFont val="Consolas"/>
        <family val="3"/>
      </rPr>
      <t>IS</t>
    </r>
    <r>
      <rPr>
        <b/>
        <sz val="10"/>
        <color theme="1"/>
        <rFont val="Consolas"/>
        <family val="3"/>
      </rPr>
      <t xml:space="preserve"> </t>
    </r>
    <r>
      <rPr>
        <b/>
        <sz val="10"/>
        <color rgb="FFFF2800"/>
        <rFont val="Consolas"/>
        <family val="3"/>
      </rPr>
      <t>'関係者9'</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</si>
  <si>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stakeholder_10 </t>
    </r>
    <r>
      <rPr>
        <b/>
        <sz val="10"/>
        <color rgb="FF0080FF"/>
        <rFont val="Consolas"/>
        <family val="3"/>
      </rPr>
      <t>IS</t>
    </r>
    <r>
      <rPr>
        <b/>
        <sz val="10"/>
        <color theme="1"/>
        <rFont val="Consolas"/>
        <family val="3"/>
      </rPr>
      <t xml:space="preserve"> </t>
    </r>
    <r>
      <rPr>
        <b/>
        <sz val="10"/>
        <color rgb="FFFF2800"/>
        <rFont val="Consolas"/>
        <family val="3"/>
      </rPr>
      <t>'関係者10'</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</si>
  <si>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sfa_number </t>
    </r>
    <r>
      <rPr>
        <b/>
        <sz val="10"/>
        <color rgb="FF0080FF"/>
        <rFont val="Consolas"/>
        <family val="3"/>
      </rPr>
      <t>IS</t>
    </r>
    <r>
      <rPr>
        <b/>
        <sz val="10"/>
        <color theme="1"/>
        <rFont val="Consolas"/>
        <family val="3"/>
      </rPr>
      <t xml:space="preserve"> </t>
    </r>
    <r>
      <rPr>
        <b/>
        <sz val="10"/>
        <color rgb="FFFF2800"/>
        <rFont val="Consolas"/>
        <family val="3"/>
      </rPr>
      <t>'sfa番号'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</si>
  <si>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sfa_project_name </t>
    </r>
    <r>
      <rPr>
        <b/>
        <sz val="10"/>
        <color rgb="FF0080FF"/>
        <rFont val="Consolas"/>
        <family val="3"/>
      </rPr>
      <t>IS</t>
    </r>
    <r>
      <rPr>
        <b/>
        <sz val="10"/>
        <color theme="1"/>
        <rFont val="Consolas"/>
        <family val="3"/>
      </rPr>
      <t xml:space="preserve"> </t>
    </r>
    <r>
      <rPr>
        <b/>
        <sz val="10"/>
        <color rgb="FFFF2800"/>
        <rFont val="Consolas"/>
        <family val="3"/>
      </rPr>
      <t>'sfa案件名'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</si>
  <si>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unified_company_code </t>
    </r>
    <r>
      <rPr>
        <b/>
        <sz val="10"/>
        <color rgb="FF0080FF"/>
        <rFont val="Consolas"/>
        <family val="3"/>
      </rPr>
      <t>IS</t>
    </r>
    <r>
      <rPr>
        <b/>
        <sz val="10"/>
        <color theme="1"/>
        <rFont val="Consolas"/>
        <family val="3"/>
      </rPr>
      <t xml:space="preserve"> </t>
    </r>
    <r>
      <rPr>
        <b/>
        <sz val="10"/>
        <color rgb="FFFF2800"/>
        <rFont val="Consolas"/>
        <family val="3"/>
      </rPr>
      <t>'統一企業コード'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</si>
  <si>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company_name </t>
    </r>
    <r>
      <rPr>
        <b/>
        <sz val="10"/>
        <color rgb="FF0080FF"/>
        <rFont val="Consolas"/>
        <family val="3"/>
      </rPr>
      <t>IS</t>
    </r>
    <r>
      <rPr>
        <b/>
        <sz val="10"/>
        <color theme="1"/>
        <rFont val="Consolas"/>
        <family val="3"/>
      </rPr>
      <t xml:space="preserve"> </t>
    </r>
    <r>
      <rPr>
        <b/>
        <sz val="10"/>
        <color rgb="FFFF2800"/>
        <rFont val="Consolas"/>
        <family val="3"/>
      </rPr>
      <t>'企業名'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</si>
  <si>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sales_approval_subject </t>
    </r>
    <r>
      <rPr>
        <b/>
        <sz val="10"/>
        <color rgb="FF0080FF"/>
        <rFont val="Consolas"/>
        <family val="3"/>
      </rPr>
      <t>IS</t>
    </r>
    <r>
      <rPr>
        <b/>
        <sz val="10"/>
        <color theme="1"/>
        <rFont val="Consolas"/>
        <family val="3"/>
      </rPr>
      <t xml:space="preserve"> </t>
    </r>
    <r>
      <rPr>
        <b/>
        <sz val="10"/>
        <color rgb="FFFF2800"/>
        <rFont val="Consolas"/>
        <family val="3"/>
      </rPr>
      <t>'営業決裁件名'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</si>
  <si>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sales_approval_number </t>
    </r>
    <r>
      <rPr>
        <b/>
        <sz val="10"/>
        <color rgb="FF0080FF"/>
        <rFont val="Consolas"/>
        <family val="3"/>
      </rPr>
      <t>IS</t>
    </r>
    <r>
      <rPr>
        <b/>
        <sz val="10"/>
        <color theme="1"/>
        <rFont val="Consolas"/>
        <family val="3"/>
      </rPr>
      <t xml:space="preserve"> </t>
    </r>
    <r>
      <rPr>
        <b/>
        <sz val="10"/>
        <color rgb="FFFF2800"/>
        <rFont val="Consolas"/>
        <family val="3"/>
      </rPr>
      <t>'営業決裁番号'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</si>
  <si>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distributor_code </t>
    </r>
    <r>
      <rPr>
        <b/>
        <sz val="10"/>
        <color rgb="FF0080FF"/>
        <rFont val="Consolas"/>
        <family val="3"/>
      </rPr>
      <t>IS</t>
    </r>
    <r>
      <rPr>
        <b/>
        <sz val="10"/>
        <color theme="1"/>
        <rFont val="Consolas"/>
        <family val="3"/>
      </rPr>
      <t xml:space="preserve"> </t>
    </r>
    <r>
      <rPr>
        <b/>
        <sz val="10"/>
        <color rgb="FFFF2800"/>
        <rFont val="Consolas"/>
        <family val="3"/>
      </rPr>
      <t>'代理店コード'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</si>
  <si>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consolidated_book_number </t>
    </r>
    <r>
      <rPr>
        <b/>
        <sz val="10"/>
        <color rgb="FF0080FF"/>
        <rFont val="Consolas"/>
        <family val="3"/>
      </rPr>
      <t>IS</t>
    </r>
    <r>
      <rPr>
        <b/>
        <sz val="10"/>
        <color theme="1"/>
        <rFont val="Consolas"/>
        <family val="3"/>
      </rPr>
      <t xml:space="preserve"> </t>
    </r>
    <r>
      <rPr>
        <b/>
        <sz val="10"/>
        <color rgb="FFFF2800"/>
        <rFont val="Consolas"/>
        <family val="3"/>
      </rPr>
      <t>'集約ブック番号'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</si>
  <si>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estimate_book_number </t>
    </r>
    <r>
      <rPr>
        <b/>
        <sz val="10"/>
        <color rgb="FF0080FF"/>
        <rFont val="Consolas"/>
        <family val="3"/>
      </rPr>
      <t>IS</t>
    </r>
    <r>
      <rPr>
        <b/>
        <sz val="10"/>
        <color theme="1"/>
        <rFont val="Consolas"/>
        <family val="3"/>
      </rPr>
      <t xml:space="preserve"> </t>
    </r>
    <r>
      <rPr>
        <b/>
        <sz val="10"/>
        <color rgb="FFFF2800"/>
        <rFont val="Consolas"/>
        <family val="3"/>
      </rPr>
      <t>'試算ブック番号'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</si>
  <si>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easy_estimate_number </t>
    </r>
    <r>
      <rPr>
        <b/>
        <sz val="10"/>
        <color rgb="FF0080FF"/>
        <rFont val="Consolas"/>
        <family val="3"/>
      </rPr>
      <t>IS</t>
    </r>
    <r>
      <rPr>
        <b/>
        <sz val="10"/>
        <color theme="1"/>
        <rFont val="Consolas"/>
        <family val="3"/>
      </rPr>
      <t xml:space="preserve"> </t>
    </r>
    <r>
      <rPr>
        <b/>
        <sz val="10"/>
        <color rgb="FFFF2800"/>
        <rFont val="Consolas"/>
        <family val="3"/>
      </rPr>
      <t>'かんたん見積番号'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</si>
  <si>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relative_contract_management_number </t>
    </r>
    <r>
      <rPr>
        <b/>
        <sz val="10"/>
        <color rgb="FF0080FF"/>
        <rFont val="Consolas"/>
        <family val="3"/>
      </rPr>
      <t>IS</t>
    </r>
    <r>
      <rPr>
        <b/>
        <sz val="10"/>
        <color theme="1"/>
        <rFont val="Consolas"/>
        <family val="3"/>
      </rPr>
      <t xml:space="preserve"> </t>
    </r>
    <r>
      <rPr>
        <b/>
        <sz val="10"/>
        <color rgb="FFFF2800"/>
        <rFont val="Consolas"/>
        <family val="3"/>
      </rPr>
      <t>'相対契約管理番号'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</si>
  <si>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approval_number_1 </t>
    </r>
    <r>
      <rPr>
        <b/>
        <sz val="10"/>
        <color rgb="FF0080FF"/>
        <rFont val="Consolas"/>
        <family val="3"/>
      </rPr>
      <t>IS</t>
    </r>
    <r>
      <rPr>
        <b/>
        <sz val="10"/>
        <color theme="1"/>
        <rFont val="Consolas"/>
        <family val="3"/>
      </rPr>
      <t xml:space="preserve"> </t>
    </r>
    <r>
      <rPr>
        <b/>
        <sz val="10"/>
        <color rgb="FFFF2800"/>
        <rFont val="Consolas"/>
        <family val="3"/>
      </rPr>
      <t>'決裁番号1'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</si>
  <si>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approval_number_2 </t>
    </r>
    <r>
      <rPr>
        <b/>
        <sz val="10"/>
        <color rgb="FF0080FF"/>
        <rFont val="Consolas"/>
        <family val="3"/>
      </rPr>
      <t>IS</t>
    </r>
    <r>
      <rPr>
        <b/>
        <sz val="10"/>
        <color theme="1"/>
        <rFont val="Consolas"/>
        <family val="3"/>
      </rPr>
      <t xml:space="preserve"> </t>
    </r>
    <r>
      <rPr>
        <b/>
        <sz val="10"/>
        <color rgb="FFFF2800"/>
        <rFont val="Consolas"/>
        <family val="3"/>
      </rPr>
      <t>'決裁番号2'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</si>
  <si>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approval_number_3 </t>
    </r>
    <r>
      <rPr>
        <b/>
        <sz val="10"/>
        <color rgb="FF0080FF"/>
        <rFont val="Consolas"/>
        <family val="3"/>
      </rPr>
      <t>IS</t>
    </r>
    <r>
      <rPr>
        <b/>
        <sz val="10"/>
        <color theme="1"/>
        <rFont val="Consolas"/>
        <family val="3"/>
      </rPr>
      <t xml:space="preserve"> </t>
    </r>
    <r>
      <rPr>
        <b/>
        <sz val="10"/>
        <color rgb="FFFF2800"/>
        <rFont val="Consolas"/>
        <family val="3"/>
      </rPr>
      <t>'決裁番号3'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</si>
  <si>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approval_number_4 </t>
    </r>
    <r>
      <rPr>
        <b/>
        <sz val="10"/>
        <color rgb="FF0080FF"/>
        <rFont val="Consolas"/>
        <family val="3"/>
      </rPr>
      <t>IS</t>
    </r>
    <r>
      <rPr>
        <b/>
        <sz val="10"/>
        <color theme="1"/>
        <rFont val="Consolas"/>
        <family val="3"/>
      </rPr>
      <t xml:space="preserve"> </t>
    </r>
    <r>
      <rPr>
        <b/>
        <sz val="10"/>
        <color rgb="FFFF2800"/>
        <rFont val="Consolas"/>
        <family val="3"/>
      </rPr>
      <t>'決裁番号4'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</si>
  <si>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approval_number_5 </t>
    </r>
    <r>
      <rPr>
        <b/>
        <sz val="10"/>
        <color rgb="FF0080FF"/>
        <rFont val="Consolas"/>
        <family val="3"/>
      </rPr>
      <t>IS</t>
    </r>
    <r>
      <rPr>
        <b/>
        <sz val="10"/>
        <color theme="1"/>
        <rFont val="Consolas"/>
        <family val="3"/>
      </rPr>
      <t xml:space="preserve"> </t>
    </r>
    <r>
      <rPr>
        <b/>
        <sz val="10"/>
        <color rgb="FFFF2800"/>
        <rFont val="Consolas"/>
        <family val="3"/>
      </rPr>
      <t>'決裁番号5'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</si>
  <si>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agency_code_1 </t>
    </r>
    <r>
      <rPr>
        <b/>
        <sz val="10"/>
        <color rgb="FF0080FF"/>
        <rFont val="Consolas"/>
        <family val="3"/>
      </rPr>
      <t>IS</t>
    </r>
    <r>
      <rPr>
        <b/>
        <sz val="10"/>
        <color theme="1"/>
        <rFont val="Consolas"/>
        <family val="3"/>
      </rPr>
      <t xml:space="preserve"> </t>
    </r>
    <r>
      <rPr>
        <b/>
        <sz val="10"/>
        <color rgb="FFFF2800"/>
        <rFont val="Consolas"/>
        <family val="3"/>
      </rPr>
      <t>'取次店コード1'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</si>
  <si>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agency_name </t>
    </r>
    <r>
      <rPr>
        <b/>
        <sz val="10"/>
        <color rgb="FF0080FF"/>
        <rFont val="Consolas"/>
        <family val="3"/>
      </rPr>
      <t>IS</t>
    </r>
    <r>
      <rPr>
        <b/>
        <sz val="10"/>
        <color theme="1"/>
        <rFont val="Consolas"/>
        <family val="3"/>
      </rPr>
      <t xml:space="preserve"> </t>
    </r>
    <r>
      <rPr>
        <b/>
        <sz val="10"/>
        <color rgb="FFFF2800"/>
        <rFont val="Consolas"/>
        <family val="3"/>
      </rPr>
      <t>'取次店名'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</si>
  <si>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sales_representative_1 </t>
    </r>
    <r>
      <rPr>
        <b/>
        <sz val="10"/>
        <color rgb="FF0080FF"/>
        <rFont val="Consolas"/>
        <family val="3"/>
      </rPr>
      <t>IS</t>
    </r>
    <r>
      <rPr>
        <b/>
        <sz val="10"/>
        <color theme="1"/>
        <rFont val="Consolas"/>
        <family val="3"/>
      </rPr>
      <t xml:space="preserve"> </t>
    </r>
    <r>
      <rPr>
        <b/>
        <sz val="10"/>
        <color rgb="FFFF2800"/>
        <rFont val="Consolas"/>
        <family val="3"/>
      </rPr>
      <t>'営業担当者1'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</si>
  <si>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telephone_number </t>
    </r>
    <r>
      <rPr>
        <b/>
        <sz val="10"/>
        <color rgb="FF0080FF"/>
        <rFont val="Consolas"/>
        <family val="3"/>
      </rPr>
      <t>IS</t>
    </r>
    <r>
      <rPr>
        <b/>
        <sz val="10"/>
        <color theme="1"/>
        <rFont val="Consolas"/>
        <family val="3"/>
      </rPr>
      <t xml:space="preserve"> </t>
    </r>
    <r>
      <rPr>
        <b/>
        <sz val="10"/>
        <color rgb="FFFF2800"/>
        <rFont val="Consolas"/>
        <family val="3"/>
      </rPr>
      <t>'電話番号'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</si>
  <si>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department_name </t>
    </r>
    <r>
      <rPr>
        <b/>
        <sz val="10"/>
        <color rgb="FF0080FF"/>
        <rFont val="Consolas"/>
        <family val="3"/>
      </rPr>
      <t>IS</t>
    </r>
    <r>
      <rPr>
        <b/>
        <sz val="10"/>
        <color theme="1"/>
        <rFont val="Consolas"/>
        <family val="3"/>
      </rPr>
      <t xml:space="preserve"> </t>
    </r>
    <r>
      <rPr>
        <b/>
        <sz val="10"/>
        <color rgb="FFFF2800"/>
        <rFont val="Consolas"/>
        <family val="3"/>
      </rPr>
      <t>'部署名'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</si>
  <si>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identity_verification_implementer_code </t>
    </r>
    <r>
      <rPr>
        <b/>
        <sz val="10"/>
        <color rgb="FF0080FF"/>
        <rFont val="Consolas"/>
        <family val="3"/>
      </rPr>
      <t>IS</t>
    </r>
    <r>
      <rPr>
        <b/>
        <sz val="10"/>
        <color theme="1"/>
        <rFont val="Consolas"/>
        <family val="3"/>
      </rPr>
      <t xml:space="preserve"> </t>
    </r>
    <r>
      <rPr>
        <b/>
        <sz val="10"/>
        <color rgb="FFFF2800"/>
        <rFont val="Consolas"/>
        <family val="3"/>
      </rPr>
      <t>'本人確認実施者コード'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</si>
  <si>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receptionist_code </t>
    </r>
    <r>
      <rPr>
        <b/>
        <sz val="10"/>
        <color rgb="FF0080FF"/>
        <rFont val="Consolas"/>
        <family val="3"/>
      </rPr>
      <t>IS</t>
    </r>
    <r>
      <rPr>
        <b/>
        <sz val="10"/>
        <color theme="1"/>
        <rFont val="Consolas"/>
        <family val="3"/>
      </rPr>
      <t xml:space="preserve"> </t>
    </r>
    <r>
      <rPr>
        <b/>
        <sz val="10"/>
        <color rgb="FFFF2800"/>
        <rFont val="Consolas"/>
        <family val="3"/>
      </rPr>
      <t>'受付担当者コード'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</si>
  <si>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applicant_name </t>
    </r>
    <r>
      <rPr>
        <b/>
        <sz val="10"/>
        <color rgb="FF0080FF"/>
        <rFont val="Consolas"/>
        <family val="3"/>
      </rPr>
      <t>IS</t>
    </r>
    <r>
      <rPr>
        <b/>
        <sz val="10"/>
        <color theme="1"/>
        <rFont val="Consolas"/>
        <family val="3"/>
      </rPr>
      <t xml:space="preserve"> </t>
    </r>
    <r>
      <rPr>
        <b/>
        <sz val="10"/>
        <color rgb="FFFF2800"/>
        <rFont val="Consolas"/>
        <family val="3"/>
      </rPr>
      <t>'申請者名'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</si>
  <si>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department_name_1 </t>
    </r>
    <r>
      <rPr>
        <b/>
        <sz val="10"/>
        <color rgb="FF0080FF"/>
        <rFont val="Consolas"/>
        <family val="3"/>
      </rPr>
      <t>IS</t>
    </r>
    <r>
      <rPr>
        <b/>
        <sz val="10"/>
        <color theme="1"/>
        <rFont val="Consolas"/>
        <family val="3"/>
      </rPr>
      <t xml:space="preserve"> </t>
    </r>
    <r>
      <rPr>
        <b/>
        <sz val="10"/>
        <color rgb="FFFF2800"/>
        <rFont val="Consolas"/>
        <family val="3"/>
      </rPr>
      <t>'部署名1'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</si>
  <si>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common_employee_number </t>
    </r>
    <r>
      <rPr>
        <b/>
        <sz val="10"/>
        <color rgb="FF0080FF"/>
        <rFont val="Consolas"/>
        <family val="3"/>
      </rPr>
      <t>IS</t>
    </r>
    <r>
      <rPr>
        <b/>
        <sz val="10"/>
        <color theme="1"/>
        <rFont val="Consolas"/>
        <family val="3"/>
      </rPr>
      <t xml:space="preserve"> </t>
    </r>
    <r>
      <rPr>
        <b/>
        <sz val="10"/>
        <color rgb="FFFF2800"/>
        <rFont val="Consolas"/>
        <family val="3"/>
      </rPr>
      <t>'共通社員番号'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</si>
  <si>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credit_application_number </t>
    </r>
    <r>
      <rPr>
        <b/>
        <sz val="10"/>
        <color rgb="FF0080FF"/>
        <rFont val="Consolas"/>
        <family val="3"/>
      </rPr>
      <t>IS</t>
    </r>
    <r>
      <rPr>
        <b/>
        <sz val="10"/>
        <color theme="1"/>
        <rFont val="Consolas"/>
        <family val="3"/>
      </rPr>
      <t xml:space="preserve"> </t>
    </r>
    <r>
      <rPr>
        <b/>
        <sz val="10"/>
        <color rgb="FFFF2800"/>
        <rFont val="Consolas"/>
        <family val="3"/>
      </rPr>
      <t>'与信申請番号'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</si>
  <si>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credit_response_number </t>
    </r>
    <r>
      <rPr>
        <b/>
        <sz val="10"/>
        <color rgb="FF0080FF"/>
        <rFont val="Consolas"/>
        <family val="3"/>
      </rPr>
      <t>IS</t>
    </r>
    <r>
      <rPr>
        <b/>
        <sz val="10"/>
        <color theme="1"/>
        <rFont val="Consolas"/>
        <family val="3"/>
      </rPr>
      <t xml:space="preserve"> </t>
    </r>
    <r>
      <rPr>
        <b/>
        <sz val="10"/>
        <color rgb="FFFF2800"/>
        <rFont val="Consolas"/>
        <family val="3"/>
      </rPr>
      <t>'与信回答番号'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</si>
  <si>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contractor_number </t>
    </r>
    <r>
      <rPr>
        <b/>
        <sz val="10"/>
        <color rgb="FF0080FF"/>
        <rFont val="Consolas"/>
        <family val="3"/>
      </rPr>
      <t>IS</t>
    </r>
    <r>
      <rPr>
        <b/>
        <sz val="10"/>
        <color theme="1"/>
        <rFont val="Consolas"/>
        <family val="3"/>
      </rPr>
      <t xml:space="preserve"> </t>
    </r>
    <r>
      <rPr>
        <b/>
        <sz val="10"/>
        <color rgb="FFFF2800"/>
        <rFont val="Consolas"/>
        <family val="3"/>
      </rPr>
      <t>'契約者番号'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</si>
  <si>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contractor_type </t>
    </r>
    <r>
      <rPr>
        <b/>
        <sz val="10"/>
        <color rgb="FF0080FF"/>
        <rFont val="Consolas"/>
        <family val="3"/>
      </rPr>
      <t>IS</t>
    </r>
    <r>
      <rPr>
        <b/>
        <sz val="10"/>
        <color theme="1"/>
        <rFont val="Consolas"/>
        <family val="3"/>
      </rPr>
      <t xml:space="preserve"> </t>
    </r>
    <r>
      <rPr>
        <b/>
        <sz val="10"/>
        <color rgb="FFFF2800"/>
        <rFont val="Consolas"/>
        <family val="3"/>
      </rPr>
      <t>'契約者タイプ'</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</si>
  <si>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corporate_status_position </t>
    </r>
    <r>
      <rPr>
        <b/>
        <sz val="10"/>
        <color rgb="FF0080FF"/>
        <rFont val="Consolas"/>
        <family val="3"/>
      </rPr>
      <t>IS</t>
    </r>
    <r>
      <rPr>
        <b/>
        <sz val="10"/>
        <color theme="1"/>
        <rFont val="Consolas"/>
        <family val="3"/>
      </rPr>
      <t xml:space="preserve"> </t>
    </r>
    <r>
      <rPr>
        <b/>
        <sz val="10"/>
        <color rgb="FFFF2800"/>
        <rFont val="Consolas"/>
        <family val="3"/>
      </rPr>
      <t>'法人格位置'</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</si>
  <si>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corporate_status </t>
    </r>
    <r>
      <rPr>
        <b/>
        <sz val="10"/>
        <color rgb="FF0080FF"/>
        <rFont val="Consolas"/>
        <family val="3"/>
      </rPr>
      <t>IS</t>
    </r>
    <r>
      <rPr>
        <b/>
        <sz val="10"/>
        <color theme="1"/>
        <rFont val="Consolas"/>
        <family val="3"/>
      </rPr>
      <t xml:space="preserve"> </t>
    </r>
    <r>
      <rPr>
        <b/>
        <sz val="10"/>
        <color rgb="FFFF2800"/>
        <rFont val="Consolas"/>
        <family val="3"/>
      </rPr>
      <t>'法人格'</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</si>
  <si>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contractor_name </t>
    </r>
    <r>
      <rPr>
        <b/>
        <sz val="10"/>
        <color rgb="FF0080FF"/>
        <rFont val="Consolas"/>
        <family val="3"/>
      </rPr>
      <t>IS</t>
    </r>
    <r>
      <rPr>
        <b/>
        <sz val="10"/>
        <color theme="1"/>
        <rFont val="Consolas"/>
        <family val="3"/>
      </rPr>
      <t xml:space="preserve"> </t>
    </r>
    <r>
      <rPr>
        <b/>
        <sz val="10"/>
        <color rgb="FFFF2800"/>
        <rFont val="Consolas"/>
        <family val="3"/>
      </rPr>
      <t>'契約者名'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</si>
  <si>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contractor_name_katakana </t>
    </r>
    <r>
      <rPr>
        <b/>
        <sz val="10"/>
        <color rgb="FF0080FF"/>
        <rFont val="Consolas"/>
        <family val="3"/>
      </rPr>
      <t>IS</t>
    </r>
    <r>
      <rPr>
        <b/>
        <sz val="10"/>
        <color theme="1"/>
        <rFont val="Consolas"/>
        <family val="3"/>
      </rPr>
      <t xml:space="preserve"> </t>
    </r>
    <r>
      <rPr>
        <b/>
        <sz val="10"/>
        <color rgb="FFFF2800"/>
        <rFont val="Consolas"/>
        <family val="3"/>
      </rPr>
      <t>'契約者名カナ'</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</si>
  <si>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corporate_type </t>
    </r>
    <r>
      <rPr>
        <b/>
        <sz val="10"/>
        <color rgb="FF0080FF"/>
        <rFont val="Consolas"/>
        <family val="3"/>
      </rPr>
      <t>IS</t>
    </r>
    <r>
      <rPr>
        <b/>
        <sz val="10"/>
        <color theme="1"/>
        <rFont val="Consolas"/>
        <family val="3"/>
      </rPr>
      <t xml:space="preserve"> </t>
    </r>
    <r>
      <rPr>
        <b/>
        <sz val="10"/>
        <color rgb="FFFF2800"/>
        <rFont val="Consolas"/>
        <family val="3"/>
      </rPr>
      <t>'法人タイプ'</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</si>
  <si>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deemed_corporate_approval_number </t>
    </r>
    <r>
      <rPr>
        <b/>
        <sz val="10"/>
        <color rgb="FF0080FF"/>
        <rFont val="Consolas"/>
        <family val="3"/>
      </rPr>
      <t>IS</t>
    </r>
    <r>
      <rPr>
        <b/>
        <sz val="10"/>
        <color theme="1"/>
        <rFont val="Consolas"/>
        <family val="3"/>
      </rPr>
      <t xml:space="preserve"> </t>
    </r>
    <r>
      <rPr>
        <b/>
        <sz val="10"/>
        <color rgb="FFFF2800"/>
        <rFont val="Consolas"/>
        <family val="3"/>
      </rPr>
      <t>'みなし法人用決裁番号'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</si>
  <si>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contact_person_name </t>
    </r>
    <r>
      <rPr>
        <b/>
        <sz val="10"/>
        <color rgb="FF0080FF"/>
        <rFont val="Consolas"/>
        <family val="3"/>
      </rPr>
      <t>IS</t>
    </r>
    <r>
      <rPr>
        <b/>
        <sz val="10"/>
        <color theme="1"/>
        <rFont val="Consolas"/>
        <family val="3"/>
      </rPr>
      <t xml:space="preserve"> </t>
    </r>
    <r>
      <rPr>
        <b/>
        <sz val="10"/>
        <color rgb="FFFF2800"/>
        <rFont val="Consolas"/>
        <family val="3"/>
      </rPr>
      <t>'担当者名'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</si>
  <si>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contact_person_name_katakana </t>
    </r>
    <r>
      <rPr>
        <b/>
        <sz val="10"/>
        <color rgb="FF0080FF"/>
        <rFont val="Consolas"/>
        <family val="3"/>
      </rPr>
      <t>IS</t>
    </r>
    <r>
      <rPr>
        <b/>
        <sz val="10"/>
        <color theme="1"/>
        <rFont val="Consolas"/>
        <family val="3"/>
      </rPr>
      <t xml:space="preserve"> </t>
    </r>
    <r>
      <rPr>
        <b/>
        <sz val="10"/>
        <color rgb="FFFF2800"/>
        <rFont val="Consolas"/>
        <family val="3"/>
      </rPr>
      <t>'担当者名カナ'</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</si>
  <si>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contact_person_department </t>
    </r>
    <r>
      <rPr>
        <b/>
        <sz val="10"/>
        <color rgb="FF0080FF"/>
        <rFont val="Consolas"/>
        <family val="3"/>
      </rPr>
      <t>IS</t>
    </r>
    <r>
      <rPr>
        <b/>
        <sz val="10"/>
        <color theme="1"/>
        <rFont val="Consolas"/>
        <family val="3"/>
      </rPr>
      <t xml:space="preserve"> </t>
    </r>
    <r>
      <rPr>
        <b/>
        <sz val="10"/>
        <color rgb="FFFF2800"/>
        <rFont val="Consolas"/>
        <family val="3"/>
      </rPr>
      <t>'担当者部署'</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</si>
  <si>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contract_change_confirmation_check </t>
    </r>
    <r>
      <rPr>
        <b/>
        <sz val="10"/>
        <color rgb="FF0080FF"/>
        <rFont val="Consolas"/>
        <family val="3"/>
      </rPr>
      <t>IS</t>
    </r>
    <r>
      <rPr>
        <b/>
        <sz val="10"/>
        <color theme="1"/>
        <rFont val="Consolas"/>
        <family val="3"/>
      </rPr>
      <t xml:space="preserve"> </t>
    </r>
    <r>
      <rPr>
        <b/>
        <sz val="10"/>
        <color rgb="FFFF2800"/>
        <rFont val="Consolas"/>
        <family val="3"/>
      </rPr>
      <t>'契変更確認チェック'</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</si>
  <si>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contractor_name_change_comment </t>
    </r>
    <r>
      <rPr>
        <b/>
        <sz val="10"/>
        <color rgb="FF0080FF"/>
        <rFont val="Consolas"/>
        <family val="3"/>
      </rPr>
      <t>IS</t>
    </r>
    <r>
      <rPr>
        <b/>
        <sz val="10"/>
        <color theme="1"/>
        <rFont val="Consolas"/>
        <family val="3"/>
      </rPr>
      <t xml:space="preserve"> </t>
    </r>
    <r>
      <rPr>
        <b/>
        <sz val="10"/>
        <color rgb="FFFF2800"/>
        <rFont val="Consolas"/>
        <family val="3"/>
      </rPr>
      <t>'契約者名変更コメント'</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</si>
  <si>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billing_number </t>
    </r>
    <r>
      <rPr>
        <b/>
        <sz val="10"/>
        <color rgb="FF0080FF"/>
        <rFont val="Consolas"/>
        <family val="3"/>
      </rPr>
      <t>IS</t>
    </r>
    <r>
      <rPr>
        <b/>
        <sz val="10"/>
        <color theme="1"/>
        <rFont val="Consolas"/>
        <family val="3"/>
      </rPr>
      <t xml:space="preserve"> </t>
    </r>
    <r>
      <rPr>
        <b/>
        <sz val="10"/>
        <color rgb="FFFF2800"/>
        <rFont val="Consolas"/>
        <family val="3"/>
      </rPr>
      <t>'請求先番号'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</si>
  <si>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corporate_entity_position_1 </t>
    </r>
    <r>
      <rPr>
        <b/>
        <sz val="10"/>
        <color rgb="FF0080FF"/>
        <rFont val="Consolas"/>
        <family val="3"/>
      </rPr>
      <t>IS</t>
    </r>
    <r>
      <rPr>
        <b/>
        <sz val="10"/>
        <color theme="1"/>
        <rFont val="Consolas"/>
        <family val="3"/>
      </rPr>
      <t xml:space="preserve"> </t>
    </r>
    <r>
      <rPr>
        <b/>
        <sz val="10"/>
        <color rgb="FFFF2800"/>
        <rFont val="Consolas"/>
        <family val="3"/>
      </rPr>
      <t>'法人格位置1'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</si>
  <si>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corporate_entity_1 </t>
    </r>
    <r>
      <rPr>
        <b/>
        <sz val="10"/>
        <color rgb="FF0080FF"/>
        <rFont val="Consolas"/>
        <family val="3"/>
      </rPr>
      <t>IS</t>
    </r>
    <r>
      <rPr>
        <b/>
        <sz val="10"/>
        <color theme="1"/>
        <rFont val="Consolas"/>
        <family val="3"/>
      </rPr>
      <t xml:space="preserve"> </t>
    </r>
    <r>
      <rPr>
        <b/>
        <sz val="10"/>
        <color rgb="FFFF2800"/>
        <rFont val="Consolas"/>
        <family val="3"/>
      </rPr>
      <t>'法人格1'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</si>
  <si>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billing_name </t>
    </r>
    <r>
      <rPr>
        <b/>
        <sz val="10"/>
        <color rgb="FF0080FF"/>
        <rFont val="Consolas"/>
        <family val="3"/>
      </rPr>
      <t>IS</t>
    </r>
    <r>
      <rPr>
        <b/>
        <sz val="10"/>
        <color theme="1"/>
        <rFont val="Consolas"/>
        <family val="3"/>
      </rPr>
      <t xml:space="preserve"> </t>
    </r>
    <r>
      <rPr>
        <b/>
        <sz val="10"/>
        <color rgb="FFFF2800"/>
        <rFont val="Consolas"/>
        <family val="3"/>
      </rPr>
      <t>'請求先名'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</si>
  <si>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billing_name_katakana </t>
    </r>
    <r>
      <rPr>
        <b/>
        <sz val="10"/>
        <color rgb="FF0080FF"/>
        <rFont val="Consolas"/>
        <family val="3"/>
      </rPr>
      <t>IS</t>
    </r>
    <r>
      <rPr>
        <b/>
        <sz val="10"/>
        <color theme="1"/>
        <rFont val="Consolas"/>
        <family val="3"/>
      </rPr>
      <t xml:space="preserve"> </t>
    </r>
    <r>
      <rPr>
        <b/>
        <sz val="10"/>
        <color rgb="FFFF2800"/>
        <rFont val="Consolas"/>
        <family val="3"/>
      </rPr>
      <t>'請求先名カナ'</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</si>
  <si>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billing_department_name </t>
    </r>
    <r>
      <rPr>
        <b/>
        <sz val="10"/>
        <color rgb="FF0080FF"/>
        <rFont val="Consolas"/>
        <family val="3"/>
      </rPr>
      <t>IS</t>
    </r>
    <r>
      <rPr>
        <b/>
        <sz val="10"/>
        <color theme="1"/>
        <rFont val="Consolas"/>
        <family val="3"/>
      </rPr>
      <t xml:space="preserve"> </t>
    </r>
    <r>
      <rPr>
        <b/>
        <sz val="10"/>
        <color rgb="FFFF2800"/>
        <rFont val="Consolas"/>
        <family val="3"/>
      </rPr>
      <t>'部門名'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</si>
  <si>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contact_person </t>
    </r>
    <r>
      <rPr>
        <b/>
        <sz val="10"/>
        <color rgb="FF0080FF"/>
        <rFont val="Consolas"/>
        <family val="3"/>
      </rPr>
      <t>IS</t>
    </r>
    <r>
      <rPr>
        <b/>
        <sz val="10"/>
        <color theme="1"/>
        <rFont val="Consolas"/>
        <family val="3"/>
      </rPr>
      <t xml:space="preserve"> </t>
    </r>
    <r>
      <rPr>
        <b/>
        <sz val="10"/>
        <color rgb="FFFF2800"/>
        <rFont val="Consolas"/>
        <family val="3"/>
      </rPr>
      <t>'担当者'</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</si>
  <si>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payment_method </t>
    </r>
    <r>
      <rPr>
        <b/>
        <sz val="10"/>
        <color rgb="FF0080FF"/>
        <rFont val="Consolas"/>
        <family val="3"/>
      </rPr>
      <t>IS</t>
    </r>
    <r>
      <rPr>
        <b/>
        <sz val="10"/>
        <color theme="1"/>
        <rFont val="Consolas"/>
        <family val="3"/>
      </rPr>
      <t xml:space="preserve"> </t>
    </r>
    <r>
      <rPr>
        <b/>
        <sz val="10"/>
        <color rgb="FFFF2800"/>
        <rFont val="Consolas"/>
        <family val="3"/>
      </rPr>
      <t>'支払方法'</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</si>
  <si>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invoice_type </t>
    </r>
    <r>
      <rPr>
        <b/>
        <sz val="10"/>
        <color rgb="FF0080FF"/>
        <rFont val="Consolas"/>
        <family val="3"/>
      </rPr>
      <t>IS</t>
    </r>
    <r>
      <rPr>
        <b/>
        <sz val="10"/>
        <color theme="1"/>
        <rFont val="Consolas"/>
        <family val="3"/>
      </rPr>
      <t xml:space="preserve"> </t>
    </r>
    <r>
      <rPr>
        <b/>
        <sz val="10"/>
        <color rgb="FFFF2800"/>
        <rFont val="Consolas"/>
        <family val="3"/>
      </rPr>
      <t>'請求書タイプ'</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</si>
  <si>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invoice_delivery </t>
    </r>
    <r>
      <rPr>
        <b/>
        <sz val="10"/>
        <color rgb="FF0080FF"/>
        <rFont val="Consolas"/>
        <family val="3"/>
      </rPr>
      <t>IS</t>
    </r>
    <r>
      <rPr>
        <b/>
        <sz val="10"/>
        <color theme="1"/>
        <rFont val="Consolas"/>
        <family val="3"/>
      </rPr>
      <t xml:space="preserve"> </t>
    </r>
    <r>
      <rPr>
        <b/>
        <sz val="10"/>
        <color rgb="FFFF2800"/>
        <rFont val="Consolas"/>
        <family val="3"/>
      </rPr>
      <t>'請求書送付'</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</si>
  <si>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last_4_digits </t>
    </r>
    <r>
      <rPr>
        <b/>
        <sz val="10"/>
        <color rgb="FF0080FF"/>
        <rFont val="Consolas"/>
        <family val="3"/>
      </rPr>
      <t>IS</t>
    </r>
    <r>
      <rPr>
        <b/>
        <sz val="10"/>
        <color theme="1"/>
        <rFont val="Consolas"/>
        <family val="3"/>
      </rPr>
      <t xml:space="preserve"> </t>
    </r>
    <r>
      <rPr>
        <b/>
        <sz val="10"/>
        <color rgb="FFFF2800"/>
        <rFont val="Consolas"/>
        <family val="3"/>
      </rPr>
      <t>'下4桁表示'</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</si>
  <si>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billing_group_information </t>
    </r>
    <r>
      <rPr>
        <b/>
        <sz val="10"/>
        <color rgb="FF0080FF"/>
        <rFont val="Consolas"/>
        <family val="3"/>
      </rPr>
      <t>IS</t>
    </r>
    <r>
      <rPr>
        <b/>
        <sz val="10"/>
        <color theme="1"/>
        <rFont val="Consolas"/>
        <family val="3"/>
      </rPr>
      <t xml:space="preserve"> </t>
    </r>
    <r>
      <rPr>
        <b/>
        <sz val="10"/>
        <color rgb="FFFF2800"/>
        <rFont val="Consolas"/>
        <family val="3"/>
      </rPr>
      <t>'請求群情報'</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</si>
  <si>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installment_payment_allowance_number </t>
    </r>
    <r>
      <rPr>
        <b/>
        <sz val="10"/>
        <color rgb="FF0080FF"/>
        <rFont val="Consolas"/>
        <family val="3"/>
      </rPr>
      <t>IS</t>
    </r>
    <r>
      <rPr>
        <b/>
        <sz val="10"/>
        <color theme="1"/>
        <rFont val="Consolas"/>
        <family val="3"/>
      </rPr>
      <t xml:space="preserve"> </t>
    </r>
    <r>
      <rPr>
        <b/>
        <sz val="10"/>
        <color rgb="FFFF2800"/>
        <rFont val="Consolas"/>
        <family val="3"/>
      </rPr>
      <t>'割賦許容番号'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</si>
  <si>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agency </t>
    </r>
    <r>
      <rPr>
        <b/>
        <sz val="10"/>
        <color rgb="FF0080FF"/>
        <rFont val="Consolas"/>
        <family val="3"/>
      </rPr>
      <t>IS</t>
    </r>
    <r>
      <rPr>
        <b/>
        <sz val="10"/>
        <color theme="1"/>
        <rFont val="Consolas"/>
        <family val="3"/>
      </rPr>
      <t xml:space="preserve"> </t>
    </r>
    <r>
      <rPr>
        <b/>
        <sz val="10"/>
        <color rgb="FFFF2800"/>
        <rFont val="Consolas"/>
        <family val="3"/>
      </rPr>
      <t>'代行業者'</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</si>
  <si>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corporate_multiple_line_discount </t>
    </r>
    <r>
      <rPr>
        <b/>
        <sz val="10"/>
        <color rgb="FF0080FF"/>
        <rFont val="Consolas"/>
        <family val="3"/>
      </rPr>
      <t>IS</t>
    </r>
    <r>
      <rPr>
        <b/>
        <sz val="10"/>
        <color theme="1"/>
        <rFont val="Consolas"/>
        <family val="3"/>
      </rPr>
      <t xml:space="preserve"> </t>
    </r>
    <r>
      <rPr>
        <b/>
        <sz val="10"/>
        <color rgb="FFFF2800"/>
        <rFont val="Consolas"/>
        <family val="3"/>
      </rPr>
      <t>'法人複数回線割引'</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</si>
  <si>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discount_rate </t>
    </r>
    <r>
      <rPr>
        <b/>
        <sz val="10"/>
        <color rgb="FF0080FF"/>
        <rFont val="Consolas"/>
        <family val="3"/>
      </rPr>
      <t>IS</t>
    </r>
    <r>
      <rPr>
        <b/>
        <sz val="10"/>
        <color theme="1"/>
        <rFont val="Consolas"/>
        <family val="3"/>
      </rPr>
      <t xml:space="preserve"> </t>
    </r>
    <r>
      <rPr>
        <b/>
        <sz val="10"/>
        <color rgb="FFFF2800"/>
        <rFont val="Consolas"/>
        <family val="3"/>
      </rPr>
      <t>'割引率'</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</si>
  <si>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discount_amount </t>
    </r>
    <r>
      <rPr>
        <b/>
        <sz val="10"/>
        <color rgb="FF0080FF"/>
        <rFont val="Consolas"/>
        <family val="3"/>
      </rPr>
      <t>IS</t>
    </r>
    <r>
      <rPr>
        <b/>
        <sz val="10"/>
        <color theme="1"/>
        <rFont val="Consolas"/>
        <family val="3"/>
      </rPr>
      <t xml:space="preserve"> </t>
    </r>
    <r>
      <rPr>
        <b/>
        <sz val="10"/>
        <color rgb="FFFF2800"/>
        <rFont val="Consolas"/>
        <family val="3"/>
      </rPr>
      <t>'割引額'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</si>
  <si>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number_of_discount_months </t>
    </r>
    <r>
      <rPr>
        <b/>
        <sz val="10"/>
        <color rgb="FF0080FF"/>
        <rFont val="Consolas"/>
        <family val="3"/>
      </rPr>
      <t>IS</t>
    </r>
    <r>
      <rPr>
        <b/>
        <sz val="10"/>
        <color theme="1"/>
        <rFont val="Consolas"/>
        <family val="3"/>
      </rPr>
      <t xml:space="preserve"> </t>
    </r>
    <r>
      <rPr>
        <b/>
        <sz val="10"/>
        <color rgb="FFFF2800"/>
        <rFont val="Consolas"/>
        <family val="3"/>
      </rPr>
      <t>'割引月数'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</si>
  <si>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fee_type </t>
    </r>
    <r>
      <rPr>
        <b/>
        <sz val="10"/>
        <color rgb="FF0080FF"/>
        <rFont val="Consolas"/>
        <family val="3"/>
      </rPr>
      <t>IS</t>
    </r>
    <r>
      <rPr>
        <b/>
        <sz val="10"/>
        <color theme="1"/>
        <rFont val="Consolas"/>
        <family val="3"/>
      </rPr>
      <t xml:space="preserve"> </t>
    </r>
    <r>
      <rPr>
        <b/>
        <sz val="10"/>
        <color rgb="FFFF2800"/>
        <rFont val="Consolas"/>
        <family val="3"/>
      </rPr>
      <t>'手数料種別'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</si>
  <si>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bulk_invoice_discount </t>
    </r>
    <r>
      <rPr>
        <b/>
        <sz val="10"/>
        <color rgb="FF0080FF"/>
        <rFont val="Consolas"/>
        <family val="3"/>
      </rPr>
      <t>IS</t>
    </r>
    <r>
      <rPr>
        <b/>
        <sz val="10"/>
        <color theme="1"/>
        <rFont val="Consolas"/>
        <family val="3"/>
      </rPr>
      <t xml:space="preserve"> </t>
    </r>
    <r>
      <rPr>
        <b/>
        <sz val="10"/>
        <color rgb="FFFF2800"/>
        <rFont val="Consolas"/>
        <family val="3"/>
      </rPr>
      <t>'請求書一括割引'</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</si>
  <si>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discount_rate_1 </t>
    </r>
    <r>
      <rPr>
        <b/>
        <sz val="10"/>
        <color rgb="FF0080FF"/>
        <rFont val="Consolas"/>
        <family val="3"/>
      </rPr>
      <t>IS</t>
    </r>
    <r>
      <rPr>
        <b/>
        <sz val="10"/>
        <color theme="1"/>
        <rFont val="Consolas"/>
        <family val="3"/>
      </rPr>
      <t xml:space="preserve"> </t>
    </r>
    <r>
      <rPr>
        <b/>
        <sz val="10"/>
        <color rgb="FFFF2800"/>
        <rFont val="Consolas"/>
        <family val="3"/>
      </rPr>
      <t>'割引率1'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</si>
  <si>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discount_amount_1 </t>
    </r>
    <r>
      <rPr>
        <b/>
        <sz val="10"/>
        <color rgb="FF0080FF"/>
        <rFont val="Consolas"/>
        <family val="3"/>
      </rPr>
      <t>IS</t>
    </r>
    <r>
      <rPr>
        <b/>
        <sz val="10"/>
        <color theme="1"/>
        <rFont val="Consolas"/>
        <family val="3"/>
      </rPr>
      <t xml:space="preserve"> </t>
    </r>
    <r>
      <rPr>
        <b/>
        <sz val="10"/>
        <color rgb="FFFF2800"/>
        <rFont val="Consolas"/>
        <family val="3"/>
      </rPr>
      <t>'割引額1'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</si>
  <si>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number_of_discount_months_1 </t>
    </r>
    <r>
      <rPr>
        <b/>
        <sz val="10"/>
        <color rgb="FF0080FF"/>
        <rFont val="Consolas"/>
        <family val="3"/>
      </rPr>
      <t>IS</t>
    </r>
    <r>
      <rPr>
        <b/>
        <sz val="10"/>
        <color theme="1"/>
        <rFont val="Consolas"/>
        <family val="3"/>
      </rPr>
      <t xml:space="preserve"> </t>
    </r>
    <r>
      <rPr>
        <b/>
        <sz val="10"/>
        <color rgb="FFFF2800"/>
        <rFont val="Consolas"/>
        <family val="3"/>
      </rPr>
      <t>'割引月数1'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</si>
  <si>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fee_type_1 </t>
    </r>
    <r>
      <rPr>
        <b/>
        <sz val="10"/>
        <color rgb="FF0080FF"/>
        <rFont val="Consolas"/>
        <family val="3"/>
      </rPr>
      <t>IS</t>
    </r>
    <r>
      <rPr>
        <b/>
        <sz val="10"/>
        <color theme="1"/>
        <rFont val="Consolas"/>
        <family val="3"/>
      </rPr>
      <t xml:space="preserve"> </t>
    </r>
    <r>
      <rPr>
        <b/>
        <sz val="10"/>
        <color rgb="FFFF2800"/>
        <rFont val="Consolas"/>
        <family val="3"/>
      </rPr>
      <t>'手数料種別1'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</si>
  <si>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number_s_corporate_multiple_line_discount </t>
    </r>
    <r>
      <rPr>
        <b/>
        <sz val="10"/>
        <color rgb="FF0080FF"/>
        <rFont val="Consolas"/>
        <family val="3"/>
      </rPr>
      <t>IS</t>
    </r>
    <r>
      <rPr>
        <b/>
        <sz val="10"/>
        <color theme="1"/>
        <rFont val="Consolas"/>
        <family val="3"/>
      </rPr>
      <t xml:space="preserve"> </t>
    </r>
    <r>
      <rPr>
        <b/>
        <sz val="10"/>
        <color rgb="FFFF2800"/>
        <rFont val="Consolas"/>
        <family val="3"/>
      </rPr>
      <t>'s番法人複数回線割引'</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</si>
  <si>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discount_rate_2 </t>
    </r>
    <r>
      <rPr>
        <b/>
        <sz val="10"/>
        <color rgb="FF0080FF"/>
        <rFont val="Consolas"/>
        <family val="3"/>
      </rPr>
      <t>IS</t>
    </r>
    <r>
      <rPr>
        <b/>
        <sz val="10"/>
        <color theme="1"/>
        <rFont val="Consolas"/>
        <family val="3"/>
      </rPr>
      <t xml:space="preserve"> </t>
    </r>
    <r>
      <rPr>
        <b/>
        <sz val="10"/>
        <color rgb="FFFF2800"/>
        <rFont val="Consolas"/>
        <family val="3"/>
      </rPr>
      <t>'割引率2'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</si>
  <si>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discount_amount_2 </t>
    </r>
    <r>
      <rPr>
        <b/>
        <sz val="10"/>
        <color rgb="FF0080FF"/>
        <rFont val="Consolas"/>
        <family val="3"/>
      </rPr>
      <t>IS</t>
    </r>
    <r>
      <rPr>
        <b/>
        <sz val="10"/>
        <color theme="1"/>
        <rFont val="Consolas"/>
        <family val="3"/>
      </rPr>
      <t xml:space="preserve"> </t>
    </r>
    <r>
      <rPr>
        <b/>
        <sz val="10"/>
        <color rgb="FFFF2800"/>
        <rFont val="Consolas"/>
        <family val="3"/>
      </rPr>
      <t>'割引額2'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</si>
  <si>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number_of_discount_months_2 </t>
    </r>
    <r>
      <rPr>
        <b/>
        <sz val="10"/>
        <color rgb="FF0080FF"/>
        <rFont val="Consolas"/>
        <family val="3"/>
      </rPr>
      <t>IS</t>
    </r>
    <r>
      <rPr>
        <b/>
        <sz val="10"/>
        <color theme="1"/>
        <rFont val="Consolas"/>
        <family val="3"/>
      </rPr>
      <t xml:space="preserve"> </t>
    </r>
    <r>
      <rPr>
        <b/>
        <sz val="10"/>
        <color rgb="FFFF2800"/>
        <rFont val="Consolas"/>
        <family val="3"/>
      </rPr>
      <t>'割引月数2'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</si>
  <si>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fee_type_2 </t>
    </r>
    <r>
      <rPr>
        <b/>
        <sz val="10"/>
        <color rgb="FF0080FF"/>
        <rFont val="Consolas"/>
        <family val="3"/>
      </rPr>
      <t>IS</t>
    </r>
    <r>
      <rPr>
        <b/>
        <sz val="10"/>
        <color theme="1"/>
        <rFont val="Consolas"/>
        <family val="3"/>
      </rPr>
      <t xml:space="preserve"> </t>
    </r>
    <r>
      <rPr>
        <b/>
        <sz val="10"/>
        <color rgb="FFFF2800"/>
        <rFont val="Consolas"/>
        <family val="3"/>
      </rPr>
      <t>'手数料種別2'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</si>
  <si>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s_number_large_call_discount </t>
    </r>
    <r>
      <rPr>
        <b/>
        <sz val="10"/>
        <color rgb="FF0080FF"/>
        <rFont val="Consolas"/>
        <family val="3"/>
      </rPr>
      <t>IS</t>
    </r>
    <r>
      <rPr>
        <b/>
        <sz val="10"/>
        <color theme="1"/>
        <rFont val="Consolas"/>
        <family val="3"/>
      </rPr>
      <t xml:space="preserve"> </t>
    </r>
    <r>
      <rPr>
        <b/>
        <sz val="10"/>
        <color rgb="FFFF2800"/>
        <rFont val="Consolas"/>
        <family val="3"/>
      </rPr>
      <t>'s番大口通話料割引'</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</si>
  <si>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discount_rate_3 </t>
    </r>
    <r>
      <rPr>
        <b/>
        <sz val="10"/>
        <color rgb="FF0080FF"/>
        <rFont val="Consolas"/>
        <family val="3"/>
      </rPr>
      <t>IS</t>
    </r>
    <r>
      <rPr>
        <b/>
        <sz val="10"/>
        <color theme="1"/>
        <rFont val="Consolas"/>
        <family val="3"/>
      </rPr>
      <t xml:space="preserve"> </t>
    </r>
    <r>
      <rPr>
        <b/>
        <sz val="10"/>
        <color rgb="FFFF2800"/>
        <rFont val="Consolas"/>
        <family val="3"/>
      </rPr>
      <t>'割引率3'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</si>
  <si>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discount_amount_3 </t>
    </r>
    <r>
      <rPr>
        <b/>
        <sz val="10"/>
        <color rgb="FF0080FF"/>
        <rFont val="Consolas"/>
        <family val="3"/>
      </rPr>
      <t>IS</t>
    </r>
    <r>
      <rPr>
        <b/>
        <sz val="10"/>
        <color theme="1"/>
        <rFont val="Consolas"/>
        <family val="3"/>
      </rPr>
      <t xml:space="preserve"> </t>
    </r>
    <r>
      <rPr>
        <b/>
        <sz val="10"/>
        <color rgb="FFFF2800"/>
        <rFont val="Consolas"/>
        <family val="3"/>
      </rPr>
      <t>'割引額3'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</si>
  <si>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number_of_discount_months_3 </t>
    </r>
    <r>
      <rPr>
        <b/>
        <sz val="10"/>
        <color rgb="FF0080FF"/>
        <rFont val="Consolas"/>
        <family val="3"/>
      </rPr>
      <t>IS</t>
    </r>
    <r>
      <rPr>
        <b/>
        <sz val="10"/>
        <color theme="1"/>
        <rFont val="Consolas"/>
        <family val="3"/>
      </rPr>
      <t xml:space="preserve"> </t>
    </r>
    <r>
      <rPr>
        <b/>
        <sz val="10"/>
        <color rgb="FFFF2800"/>
        <rFont val="Consolas"/>
        <family val="3"/>
      </rPr>
      <t>'割引月数3'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</si>
  <si>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fee_type_3 </t>
    </r>
    <r>
      <rPr>
        <b/>
        <sz val="10"/>
        <color rgb="FF0080FF"/>
        <rFont val="Consolas"/>
        <family val="3"/>
      </rPr>
      <t>IS</t>
    </r>
    <r>
      <rPr>
        <b/>
        <sz val="10"/>
        <color theme="1"/>
        <rFont val="Consolas"/>
        <family val="3"/>
      </rPr>
      <t xml:space="preserve"> </t>
    </r>
    <r>
      <rPr>
        <b/>
        <sz val="10"/>
        <color rgb="FFFF2800"/>
        <rFont val="Consolas"/>
        <family val="3"/>
      </rPr>
      <t>'手数料種別3'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</si>
  <si>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share </t>
    </r>
    <r>
      <rPr>
        <b/>
        <sz val="10"/>
        <color rgb="FF0080FF"/>
        <rFont val="Consolas"/>
        <family val="3"/>
      </rPr>
      <t>IS</t>
    </r>
    <r>
      <rPr>
        <b/>
        <sz val="10"/>
        <color theme="1"/>
        <rFont val="Consolas"/>
        <family val="3"/>
      </rPr>
      <t xml:space="preserve"> </t>
    </r>
    <r>
      <rPr>
        <b/>
        <sz val="10"/>
        <color rgb="FFFF2800"/>
        <rFont val="Consolas"/>
        <family val="3"/>
      </rPr>
      <t>'シェア'</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</si>
  <si>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discount_rate_4 </t>
    </r>
    <r>
      <rPr>
        <b/>
        <sz val="10"/>
        <color rgb="FF0080FF"/>
        <rFont val="Consolas"/>
        <family val="3"/>
      </rPr>
      <t>IS</t>
    </r>
    <r>
      <rPr>
        <b/>
        <sz val="10"/>
        <color theme="1"/>
        <rFont val="Consolas"/>
        <family val="3"/>
      </rPr>
      <t xml:space="preserve"> </t>
    </r>
    <r>
      <rPr>
        <b/>
        <sz val="10"/>
        <color rgb="FFFF2800"/>
        <rFont val="Consolas"/>
        <family val="3"/>
      </rPr>
      <t>'割引率4'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</si>
  <si>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discount_amount_4 </t>
    </r>
    <r>
      <rPr>
        <b/>
        <sz val="10"/>
        <color rgb="FF0080FF"/>
        <rFont val="Consolas"/>
        <family val="3"/>
      </rPr>
      <t>IS</t>
    </r>
    <r>
      <rPr>
        <b/>
        <sz val="10"/>
        <color theme="1"/>
        <rFont val="Consolas"/>
        <family val="3"/>
      </rPr>
      <t xml:space="preserve"> </t>
    </r>
    <r>
      <rPr>
        <b/>
        <sz val="10"/>
        <color rgb="FFFF2800"/>
        <rFont val="Consolas"/>
        <family val="3"/>
      </rPr>
      <t>'割引額4'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</si>
  <si>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number_of_discount_months_4 </t>
    </r>
    <r>
      <rPr>
        <b/>
        <sz val="10"/>
        <color rgb="FF0080FF"/>
        <rFont val="Consolas"/>
        <family val="3"/>
      </rPr>
      <t>IS</t>
    </r>
    <r>
      <rPr>
        <b/>
        <sz val="10"/>
        <color theme="1"/>
        <rFont val="Consolas"/>
        <family val="3"/>
      </rPr>
      <t xml:space="preserve"> </t>
    </r>
    <r>
      <rPr>
        <b/>
        <sz val="10"/>
        <color rgb="FFFF2800"/>
        <rFont val="Consolas"/>
        <family val="3"/>
      </rPr>
      <t>'割引月数4'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</si>
  <si>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fee_type_4 </t>
    </r>
    <r>
      <rPr>
        <b/>
        <sz val="10"/>
        <color rgb="FF0080FF"/>
        <rFont val="Consolas"/>
        <family val="3"/>
      </rPr>
      <t>IS</t>
    </r>
    <r>
      <rPr>
        <b/>
        <sz val="10"/>
        <color theme="1"/>
        <rFont val="Consolas"/>
        <family val="3"/>
      </rPr>
      <t xml:space="preserve"> </t>
    </r>
    <r>
      <rPr>
        <b/>
        <sz val="10"/>
        <color rgb="FFFF2800"/>
        <rFont val="Consolas"/>
        <family val="3"/>
      </rPr>
      <t>'手数料種別4'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</si>
  <si>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billing_address_shipping_address_category </t>
    </r>
    <r>
      <rPr>
        <b/>
        <sz val="10"/>
        <color rgb="FF0080FF"/>
        <rFont val="Consolas"/>
        <family val="3"/>
      </rPr>
      <t>IS</t>
    </r>
    <r>
      <rPr>
        <b/>
        <sz val="10"/>
        <color theme="1"/>
        <rFont val="Consolas"/>
        <family val="3"/>
      </rPr>
      <t xml:space="preserve"> </t>
    </r>
    <r>
      <rPr>
        <b/>
        <sz val="10"/>
        <color rgb="FFFF2800"/>
        <rFont val="Consolas"/>
        <family val="3"/>
      </rPr>
      <t>'請求先送付先区分'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</si>
  <si>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shipping_address </t>
    </r>
    <r>
      <rPr>
        <b/>
        <sz val="10"/>
        <color rgb="FF0080FF"/>
        <rFont val="Consolas"/>
        <family val="3"/>
      </rPr>
      <t>IS</t>
    </r>
    <r>
      <rPr>
        <b/>
        <sz val="10"/>
        <color theme="1"/>
        <rFont val="Consolas"/>
        <family val="3"/>
      </rPr>
      <t xml:space="preserve"> </t>
    </r>
    <r>
      <rPr>
        <b/>
        <sz val="10"/>
        <color rgb="FFFF2800"/>
        <rFont val="Consolas"/>
        <family val="3"/>
      </rPr>
      <t>'送付先宛名'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</si>
  <si>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invoice_customization </t>
    </r>
    <r>
      <rPr>
        <b/>
        <sz val="10"/>
        <color rgb="FF0080FF"/>
        <rFont val="Consolas"/>
        <family val="3"/>
      </rPr>
      <t>IS</t>
    </r>
    <r>
      <rPr>
        <b/>
        <sz val="10"/>
        <color theme="1"/>
        <rFont val="Consolas"/>
        <family val="3"/>
      </rPr>
      <t xml:space="preserve"> </t>
    </r>
    <r>
      <rPr>
        <b/>
        <sz val="10"/>
        <color rgb="FFFF2800"/>
        <rFont val="Consolas"/>
        <family val="3"/>
      </rPr>
      <t>'請求書カスタマイズ'</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</si>
  <si>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billing_address_category </t>
    </r>
    <r>
      <rPr>
        <b/>
        <sz val="10"/>
        <color rgb="FF0080FF"/>
        <rFont val="Consolas"/>
        <family val="3"/>
      </rPr>
      <t>IS</t>
    </r>
    <r>
      <rPr>
        <b/>
        <sz val="10"/>
        <color theme="1"/>
        <rFont val="Consolas"/>
        <family val="3"/>
      </rPr>
      <t xml:space="preserve"> </t>
    </r>
    <r>
      <rPr>
        <b/>
        <sz val="10"/>
        <color rgb="FFFF2800"/>
        <rFont val="Consolas"/>
        <family val="3"/>
      </rPr>
      <t>'請求書送付区分'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</si>
  <si>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shipping_address_1 </t>
    </r>
    <r>
      <rPr>
        <b/>
        <sz val="10"/>
        <color rgb="FF0080FF"/>
        <rFont val="Consolas"/>
        <family val="3"/>
      </rPr>
      <t>IS</t>
    </r>
    <r>
      <rPr>
        <b/>
        <sz val="10"/>
        <color theme="1"/>
        <rFont val="Consolas"/>
        <family val="3"/>
      </rPr>
      <t xml:space="preserve"> </t>
    </r>
    <r>
      <rPr>
        <b/>
        <sz val="10"/>
        <color rgb="FFFF2800"/>
        <rFont val="Consolas"/>
        <family val="3"/>
      </rPr>
      <t>'送付先宛名1'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</si>
  <si>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invoice_customization_1 </t>
    </r>
    <r>
      <rPr>
        <b/>
        <sz val="10"/>
        <color rgb="FF0080FF"/>
        <rFont val="Consolas"/>
        <family val="3"/>
      </rPr>
      <t>IS</t>
    </r>
    <r>
      <rPr>
        <b/>
        <sz val="10"/>
        <color theme="1"/>
        <rFont val="Consolas"/>
        <family val="3"/>
      </rPr>
      <t xml:space="preserve"> </t>
    </r>
    <r>
      <rPr>
        <b/>
        <sz val="10"/>
        <color rgb="FFFF2800"/>
        <rFont val="Consolas"/>
        <family val="3"/>
      </rPr>
      <t>'請求書カスタマイズ1'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</si>
  <si>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special_agreement_start_date </t>
    </r>
    <r>
      <rPr>
        <b/>
        <sz val="10"/>
        <color rgb="FF0080FF"/>
        <rFont val="Consolas"/>
        <family val="3"/>
      </rPr>
      <t>IS</t>
    </r>
    <r>
      <rPr>
        <b/>
        <sz val="10"/>
        <color theme="1"/>
        <rFont val="Consolas"/>
        <family val="3"/>
      </rPr>
      <t xml:space="preserve"> </t>
    </r>
    <r>
      <rPr>
        <b/>
        <sz val="10"/>
        <color rgb="FFFF2800"/>
        <rFont val="Consolas"/>
        <family val="3"/>
      </rPr>
      <t>'特約開始年月日'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</si>
  <si>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special_agreement_period </t>
    </r>
    <r>
      <rPr>
        <b/>
        <sz val="10"/>
        <color rgb="FF0080FF"/>
        <rFont val="Consolas"/>
        <family val="3"/>
      </rPr>
      <t>IS</t>
    </r>
    <r>
      <rPr>
        <b/>
        <sz val="10"/>
        <color theme="1"/>
        <rFont val="Consolas"/>
        <family val="3"/>
      </rPr>
      <t xml:space="preserve"> </t>
    </r>
    <r>
      <rPr>
        <b/>
        <sz val="10"/>
        <color rgb="FFFF2800"/>
        <rFont val="Consolas"/>
        <family val="3"/>
      </rPr>
      <t>'特約期間'</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</si>
  <si>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contract_period_in_months </t>
    </r>
    <r>
      <rPr>
        <b/>
        <sz val="10"/>
        <color rgb="FF0080FF"/>
        <rFont val="Consolas"/>
        <family val="3"/>
      </rPr>
      <t>IS</t>
    </r>
    <r>
      <rPr>
        <b/>
        <sz val="10"/>
        <color theme="1"/>
        <rFont val="Consolas"/>
        <family val="3"/>
      </rPr>
      <t xml:space="preserve"> </t>
    </r>
    <r>
      <rPr>
        <b/>
        <sz val="10"/>
        <color rgb="FFFF2800"/>
        <rFont val="Consolas"/>
        <family val="3"/>
      </rPr>
      <t>'契約期間月数'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</si>
  <si>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period_after_automatic_renewal </t>
    </r>
    <r>
      <rPr>
        <b/>
        <sz val="10"/>
        <color rgb="FF0080FF"/>
        <rFont val="Consolas"/>
        <family val="3"/>
      </rPr>
      <t>IS</t>
    </r>
    <r>
      <rPr>
        <b/>
        <sz val="10"/>
        <color theme="1"/>
        <rFont val="Consolas"/>
        <family val="3"/>
      </rPr>
      <t xml:space="preserve"> </t>
    </r>
    <r>
      <rPr>
        <b/>
        <sz val="10"/>
        <color rgb="FFFF2800"/>
        <rFont val="Consolas"/>
        <family val="3"/>
      </rPr>
      <t>'自動更新後の期間'</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</si>
  <si>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initial_rental_period </t>
    </r>
    <r>
      <rPr>
        <b/>
        <sz val="10"/>
        <color rgb="FF0080FF"/>
        <rFont val="Consolas"/>
        <family val="3"/>
      </rPr>
      <t>IS</t>
    </r>
    <r>
      <rPr>
        <b/>
        <sz val="10"/>
        <color theme="1"/>
        <rFont val="Consolas"/>
        <family val="3"/>
      </rPr>
      <t xml:space="preserve"> </t>
    </r>
    <r>
      <rPr>
        <b/>
        <sz val="10"/>
        <color rgb="FFFF2800"/>
        <rFont val="Consolas"/>
        <family val="3"/>
      </rPr>
      <t>'初期レンタル期間'</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</si>
  <si>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used_rental_start_date </t>
    </r>
    <r>
      <rPr>
        <b/>
        <sz val="10"/>
        <color rgb="FF0080FF"/>
        <rFont val="Consolas"/>
        <family val="3"/>
      </rPr>
      <t>IS</t>
    </r>
    <r>
      <rPr>
        <b/>
        <sz val="10"/>
        <color theme="1"/>
        <rFont val="Consolas"/>
        <family val="3"/>
      </rPr>
      <t xml:space="preserve"> </t>
    </r>
    <r>
      <rPr>
        <b/>
        <sz val="10"/>
        <color rgb="FFFF2800"/>
        <rFont val="Consolas"/>
        <family val="3"/>
      </rPr>
      <t>'中古レンタル開始日'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</si>
  <si>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used_rental_end_date </t>
    </r>
    <r>
      <rPr>
        <b/>
        <sz val="10"/>
        <color rgb="FF0080FF"/>
        <rFont val="Consolas"/>
        <family val="3"/>
      </rPr>
      <t>IS</t>
    </r>
    <r>
      <rPr>
        <b/>
        <sz val="10"/>
        <color theme="1"/>
        <rFont val="Consolas"/>
        <family val="3"/>
      </rPr>
      <t xml:space="preserve"> </t>
    </r>
    <r>
      <rPr>
        <b/>
        <sz val="10"/>
        <color rgb="FFFF2800"/>
        <rFont val="Consolas"/>
        <family val="3"/>
      </rPr>
      <t>'中古レンタル終了日'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</si>
  <si>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maximum_number_of_lines_applicable_to_the_special_agreement </t>
    </r>
    <r>
      <rPr>
        <b/>
        <sz val="10"/>
        <color rgb="FF0080FF"/>
        <rFont val="Consolas"/>
        <family val="3"/>
      </rPr>
      <t>IS</t>
    </r>
    <r>
      <rPr>
        <b/>
        <sz val="10"/>
        <color theme="1"/>
        <rFont val="Consolas"/>
        <family val="3"/>
      </rPr>
      <t xml:space="preserve"> </t>
    </r>
    <r>
      <rPr>
        <b/>
        <sz val="10"/>
        <color rgb="FFFF2800"/>
        <rFont val="Consolas"/>
        <family val="3"/>
      </rPr>
      <t>'特約適用上限回線数'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</si>
  <si>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number_of_lines </t>
    </r>
    <r>
      <rPr>
        <b/>
        <sz val="10"/>
        <color rgb="FF0080FF"/>
        <rFont val="Consolas"/>
        <family val="3"/>
      </rPr>
      <t>IS</t>
    </r>
    <r>
      <rPr>
        <b/>
        <sz val="10"/>
        <color theme="1"/>
        <rFont val="Consolas"/>
        <family val="3"/>
      </rPr>
      <t xml:space="preserve"> </t>
    </r>
    <r>
      <rPr>
        <b/>
        <sz val="10"/>
        <color rgb="FFFF2800"/>
        <rFont val="Consolas"/>
        <family val="3"/>
      </rPr>
      <t>'回線数'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</si>
  <si>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warehouse_type </t>
    </r>
    <r>
      <rPr>
        <b/>
        <sz val="10"/>
        <color rgb="FF0080FF"/>
        <rFont val="Consolas"/>
        <family val="3"/>
      </rPr>
      <t>IS</t>
    </r>
    <r>
      <rPr>
        <b/>
        <sz val="10"/>
        <color theme="1"/>
        <rFont val="Consolas"/>
        <family val="3"/>
      </rPr>
      <t xml:space="preserve"> </t>
    </r>
    <r>
      <rPr>
        <b/>
        <sz val="10"/>
        <color rgb="FFFF2800"/>
        <rFont val="Consolas"/>
        <family val="3"/>
      </rPr>
      <t>'倉庫種別'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</si>
  <si>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request_for_incomplete_report_creation </t>
    </r>
    <r>
      <rPr>
        <b/>
        <sz val="10"/>
        <color rgb="FF0080FF"/>
        <rFont val="Consolas"/>
        <family val="3"/>
      </rPr>
      <t>IS</t>
    </r>
    <r>
      <rPr>
        <b/>
        <sz val="10"/>
        <color theme="1"/>
        <rFont val="Consolas"/>
        <family val="3"/>
      </rPr>
      <t xml:space="preserve"> </t>
    </r>
    <r>
      <rPr>
        <b/>
        <sz val="10"/>
        <color rgb="FFFF2800"/>
        <rFont val="Consolas"/>
        <family val="3"/>
      </rPr>
      <t>'非完結帳票作成依頼'</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</si>
  <si>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gisun_registration_not_possible </t>
    </r>
    <r>
      <rPr>
        <b/>
        <sz val="10"/>
        <color rgb="FF0080FF"/>
        <rFont val="Consolas"/>
        <family val="3"/>
      </rPr>
      <t>IS</t>
    </r>
    <r>
      <rPr>
        <b/>
        <sz val="10"/>
        <color theme="1"/>
        <rFont val="Consolas"/>
        <family val="3"/>
      </rPr>
      <t xml:space="preserve"> </t>
    </r>
    <r>
      <rPr>
        <b/>
        <sz val="10"/>
        <color rgb="FFFF2800"/>
        <rFont val="Consolas"/>
        <family val="3"/>
      </rPr>
      <t>'gisun登録不可'</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</si>
  <si>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replacement_type </t>
    </r>
    <r>
      <rPr>
        <b/>
        <sz val="10"/>
        <color rgb="FF0080FF"/>
        <rFont val="Consolas"/>
        <family val="3"/>
      </rPr>
      <t>IS</t>
    </r>
    <r>
      <rPr>
        <b/>
        <sz val="10"/>
        <color theme="1"/>
        <rFont val="Consolas"/>
        <family val="3"/>
      </rPr>
      <t xml:space="preserve"> </t>
    </r>
    <r>
      <rPr>
        <b/>
        <sz val="10"/>
        <color rgb="FFFF2800"/>
        <rFont val="Consolas"/>
        <family val="3"/>
      </rPr>
      <t>'交換種別'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</si>
  <si>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inventory_type </t>
    </r>
    <r>
      <rPr>
        <b/>
        <sz val="10"/>
        <color rgb="FF0080FF"/>
        <rFont val="Consolas"/>
        <family val="3"/>
      </rPr>
      <t>IS</t>
    </r>
    <r>
      <rPr>
        <b/>
        <sz val="10"/>
        <color theme="1"/>
        <rFont val="Consolas"/>
        <family val="3"/>
      </rPr>
      <t xml:space="preserve"> </t>
    </r>
    <r>
      <rPr>
        <b/>
        <sz val="10"/>
        <color rgb="FFFF2800"/>
        <rFont val="Consolas"/>
        <family val="3"/>
      </rPr>
      <t>'在庫種別'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</si>
  <si>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sales_office </t>
    </r>
    <r>
      <rPr>
        <b/>
        <sz val="10"/>
        <color rgb="FF0080FF"/>
        <rFont val="Consolas"/>
        <family val="3"/>
      </rPr>
      <t>IS</t>
    </r>
    <r>
      <rPr>
        <b/>
        <sz val="10"/>
        <color theme="1"/>
        <rFont val="Consolas"/>
        <family val="3"/>
      </rPr>
      <t xml:space="preserve"> </t>
    </r>
    <r>
      <rPr>
        <b/>
        <sz val="10"/>
        <color rgb="FFFF2800"/>
        <rFont val="Consolas"/>
        <family val="3"/>
      </rPr>
      <t>'営業所'</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</si>
  <si>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declaration_details </t>
    </r>
    <r>
      <rPr>
        <b/>
        <sz val="10"/>
        <color rgb="FF0080FF"/>
        <rFont val="Consolas"/>
        <family val="3"/>
      </rPr>
      <t>IS</t>
    </r>
    <r>
      <rPr>
        <b/>
        <sz val="10"/>
        <color theme="1"/>
        <rFont val="Consolas"/>
        <family val="3"/>
      </rPr>
      <t xml:space="preserve"> </t>
    </r>
    <r>
      <rPr>
        <b/>
        <sz val="10"/>
        <color rgb="FFFF2800"/>
        <rFont val="Consolas"/>
        <family val="3"/>
      </rPr>
      <t>'申告内容'</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</si>
  <si>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usim_type </t>
    </r>
    <r>
      <rPr>
        <b/>
        <sz val="10"/>
        <color rgb="FF0080FF"/>
        <rFont val="Consolas"/>
        <family val="3"/>
      </rPr>
      <t>IS</t>
    </r>
    <r>
      <rPr>
        <b/>
        <sz val="10"/>
        <color theme="1"/>
        <rFont val="Consolas"/>
        <family val="3"/>
      </rPr>
      <t xml:space="preserve"> </t>
    </r>
    <r>
      <rPr>
        <b/>
        <sz val="10"/>
        <color rgb="FFFF2800"/>
        <rFont val="Consolas"/>
        <family val="3"/>
      </rPr>
      <t>'usim種別'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</si>
  <si>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other_usim_types </t>
    </r>
    <r>
      <rPr>
        <b/>
        <sz val="10"/>
        <color rgb="FF0080FF"/>
        <rFont val="Consolas"/>
        <family val="3"/>
      </rPr>
      <t>IS</t>
    </r>
    <r>
      <rPr>
        <b/>
        <sz val="10"/>
        <color theme="1"/>
        <rFont val="Consolas"/>
        <family val="3"/>
      </rPr>
      <t xml:space="preserve"> </t>
    </r>
    <r>
      <rPr>
        <b/>
        <sz val="10"/>
        <color rgb="FFFF2800"/>
        <rFont val="Consolas"/>
        <family val="3"/>
      </rPr>
      <t>'usim種別その他'</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</si>
  <si>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quantity </t>
    </r>
    <r>
      <rPr>
        <b/>
        <sz val="10"/>
        <color rgb="FF0080FF"/>
        <rFont val="Consolas"/>
        <family val="3"/>
      </rPr>
      <t>IS</t>
    </r>
    <r>
      <rPr>
        <b/>
        <sz val="10"/>
        <color theme="1"/>
        <rFont val="Consolas"/>
        <family val="3"/>
      </rPr>
      <t xml:space="preserve"> </t>
    </r>
    <r>
      <rPr>
        <b/>
        <sz val="10"/>
        <color rgb="FFFF2800"/>
        <rFont val="Consolas"/>
        <family val="3"/>
      </rPr>
      <t>'台数'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</si>
  <si>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wo_specific_usim </t>
    </r>
    <r>
      <rPr>
        <b/>
        <sz val="10"/>
        <color rgb="FF0080FF"/>
        <rFont val="Consolas"/>
        <family val="3"/>
      </rPr>
      <t>IS</t>
    </r>
    <r>
      <rPr>
        <b/>
        <sz val="10"/>
        <color theme="1"/>
        <rFont val="Consolas"/>
        <family val="3"/>
      </rPr>
      <t xml:space="preserve"> </t>
    </r>
    <r>
      <rPr>
        <b/>
        <sz val="10"/>
        <color rgb="FFFF2800"/>
        <rFont val="Consolas"/>
        <family val="3"/>
      </rPr>
      <t>'wo専用usim'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</si>
  <si>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estimate_template_version </t>
    </r>
    <r>
      <rPr>
        <b/>
        <sz val="10"/>
        <color rgb="FF0080FF"/>
        <rFont val="Consolas"/>
        <family val="3"/>
      </rPr>
      <t>IS</t>
    </r>
    <r>
      <rPr>
        <b/>
        <sz val="10"/>
        <color theme="1"/>
        <rFont val="Consolas"/>
        <family val="3"/>
      </rPr>
      <t xml:space="preserve"> </t>
    </r>
    <r>
      <rPr>
        <b/>
        <sz val="10"/>
        <color rgb="FFFF2800"/>
        <rFont val="Consolas"/>
        <family val="3"/>
      </rPr>
      <t>'試算テンプレートver'</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</si>
  <si>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approval_date </t>
    </r>
    <r>
      <rPr>
        <b/>
        <sz val="10"/>
        <color rgb="FF0080FF"/>
        <rFont val="Consolas"/>
        <family val="3"/>
      </rPr>
      <t>IS</t>
    </r>
    <r>
      <rPr>
        <b/>
        <sz val="10"/>
        <color theme="1"/>
        <rFont val="Consolas"/>
        <family val="3"/>
      </rPr>
      <t xml:space="preserve"> </t>
    </r>
    <r>
      <rPr>
        <b/>
        <sz val="10"/>
        <color rgb="FFFF2800"/>
        <rFont val="Consolas"/>
        <family val="3"/>
      </rPr>
      <t>'決裁承認日'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</si>
  <si>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original_estimate_number </t>
    </r>
    <r>
      <rPr>
        <b/>
        <sz val="10"/>
        <color rgb="FF0080FF"/>
        <rFont val="Consolas"/>
        <family val="3"/>
      </rPr>
      <t>IS</t>
    </r>
    <r>
      <rPr>
        <b/>
        <sz val="10"/>
        <color theme="1"/>
        <rFont val="Consolas"/>
        <family val="3"/>
      </rPr>
      <t xml:space="preserve"> </t>
    </r>
    <r>
      <rPr>
        <b/>
        <sz val="10"/>
        <color rgb="FFFF2800"/>
        <rFont val="Consolas"/>
        <family val="3"/>
      </rPr>
      <t>'起票元試算番号'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</si>
  <si>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copy_entry_number </t>
    </r>
    <r>
      <rPr>
        <b/>
        <sz val="10"/>
        <color rgb="FF0080FF"/>
        <rFont val="Consolas"/>
        <family val="3"/>
      </rPr>
      <t>IS</t>
    </r>
    <r>
      <rPr>
        <b/>
        <sz val="10"/>
        <color theme="1"/>
        <rFont val="Consolas"/>
        <family val="3"/>
      </rPr>
      <t xml:space="preserve"> </t>
    </r>
    <r>
      <rPr>
        <b/>
        <sz val="10"/>
        <color rgb="FFFF2800"/>
        <rFont val="Consolas"/>
        <family val="3"/>
      </rPr>
      <t>'コピー元エントリ番号'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</si>
  <si>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minimum_number_of_lines </t>
    </r>
    <r>
      <rPr>
        <b/>
        <sz val="10"/>
        <color rgb="FF0080FF"/>
        <rFont val="Consolas"/>
        <family val="3"/>
      </rPr>
      <t>IS</t>
    </r>
    <r>
      <rPr>
        <b/>
        <sz val="10"/>
        <color theme="1"/>
        <rFont val="Consolas"/>
        <family val="3"/>
      </rPr>
      <t xml:space="preserve"> </t>
    </r>
    <r>
      <rPr>
        <b/>
        <sz val="10"/>
        <color rgb="FFFF2800"/>
        <rFont val="Consolas"/>
        <family val="3"/>
      </rPr>
      <t>'最低利用回線数'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</si>
  <si>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device_binding_amount </t>
    </r>
    <r>
      <rPr>
        <b/>
        <sz val="10"/>
        <color rgb="FF0080FF"/>
        <rFont val="Consolas"/>
        <family val="3"/>
      </rPr>
      <t>IS</t>
    </r>
    <r>
      <rPr>
        <b/>
        <sz val="10"/>
        <color theme="1"/>
        <rFont val="Consolas"/>
        <family val="3"/>
      </rPr>
      <t xml:space="preserve"> </t>
    </r>
    <r>
      <rPr>
        <b/>
        <sz val="10"/>
        <color rgb="FFFF2800"/>
        <rFont val="Consolas"/>
        <family val="3"/>
      </rPr>
      <t>'端末縛り金額'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</si>
  <si>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device_binding_period </t>
    </r>
    <r>
      <rPr>
        <b/>
        <sz val="10"/>
        <color rgb="FF0080FF"/>
        <rFont val="Consolas"/>
        <family val="3"/>
      </rPr>
      <t>IS</t>
    </r>
    <r>
      <rPr>
        <b/>
        <sz val="10"/>
        <color theme="1"/>
        <rFont val="Consolas"/>
        <family val="3"/>
      </rPr>
      <t xml:space="preserve"> </t>
    </r>
    <r>
      <rPr>
        <b/>
        <sz val="10"/>
        <color rgb="FFFF2800"/>
        <rFont val="Consolas"/>
        <family val="3"/>
      </rPr>
      <t>'端末縛り期間'</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</si>
  <si>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international_rm_discount_specification </t>
    </r>
    <r>
      <rPr>
        <b/>
        <sz val="10"/>
        <color rgb="FF0080FF"/>
        <rFont val="Consolas"/>
        <family val="3"/>
      </rPr>
      <t>IS</t>
    </r>
    <r>
      <rPr>
        <b/>
        <sz val="10"/>
        <color theme="1"/>
        <rFont val="Consolas"/>
        <family val="3"/>
      </rPr>
      <t xml:space="preserve"> </t>
    </r>
    <r>
      <rPr>
        <b/>
        <sz val="10"/>
        <color rgb="FFFF2800"/>
        <rFont val="Consolas"/>
        <family val="3"/>
      </rPr>
      <t>'国際rm値引指定有無'</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</si>
  <si>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international_rm_discount_specification_discount_rate </t>
    </r>
    <r>
      <rPr>
        <b/>
        <sz val="10"/>
        <color rgb="FF0080FF"/>
        <rFont val="Consolas"/>
        <family val="3"/>
      </rPr>
      <t>IS</t>
    </r>
    <r>
      <rPr>
        <b/>
        <sz val="10"/>
        <color theme="1"/>
        <rFont val="Consolas"/>
        <family val="3"/>
      </rPr>
      <t xml:space="preserve"> </t>
    </r>
    <r>
      <rPr>
        <b/>
        <sz val="10"/>
        <color rgb="FFFF2800"/>
        <rFont val="Consolas"/>
        <family val="3"/>
      </rPr>
      <t>'国際rm値引指定割引率'</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</si>
  <si>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plan_binding_1 </t>
    </r>
    <r>
      <rPr>
        <b/>
        <sz val="10"/>
        <color rgb="FF0080FF"/>
        <rFont val="Consolas"/>
        <family val="3"/>
      </rPr>
      <t>IS</t>
    </r>
    <r>
      <rPr>
        <b/>
        <sz val="10"/>
        <color theme="1"/>
        <rFont val="Consolas"/>
        <family val="3"/>
      </rPr>
      <t xml:space="preserve"> </t>
    </r>
    <r>
      <rPr>
        <b/>
        <sz val="10"/>
        <color rgb="FFFF2800"/>
        <rFont val="Consolas"/>
        <family val="3"/>
      </rPr>
      <t>'プラン縛り1'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</si>
  <si>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plan_binding_2 </t>
    </r>
    <r>
      <rPr>
        <b/>
        <sz val="10"/>
        <color rgb="FF0080FF"/>
        <rFont val="Consolas"/>
        <family val="3"/>
      </rPr>
      <t>IS</t>
    </r>
    <r>
      <rPr>
        <b/>
        <sz val="10"/>
        <color theme="1"/>
        <rFont val="Consolas"/>
        <family val="3"/>
      </rPr>
      <t xml:space="preserve"> </t>
    </r>
    <r>
      <rPr>
        <b/>
        <sz val="10"/>
        <color rgb="FFFF2800"/>
        <rFont val="Consolas"/>
        <family val="3"/>
      </rPr>
      <t>'プラン縛り2'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</si>
  <si>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plan_binding_3 </t>
    </r>
    <r>
      <rPr>
        <b/>
        <sz val="10"/>
        <color rgb="FF0080FF"/>
        <rFont val="Consolas"/>
        <family val="3"/>
      </rPr>
      <t>IS</t>
    </r>
    <r>
      <rPr>
        <b/>
        <sz val="10"/>
        <color theme="1"/>
        <rFont val="Consolas"/>
        <family val="3"/>
      </rPr>
      <t xml:space="preserve"> </t>
    </r>
    <r>
      <rPr>
        <b/>
        <sz val="10"/>
        <color rgb="FFFF2800"/>
        <rFont val="Consolas"/>
        <family val="3"/>
      </rPr>
      <t>'プラン縛り3'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</si>
  <si>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plan_binding_4 </t>
    </r>
    <r>
      <rPr>
        <b/>
        <sz val="10"/>
        <color rgb="FF0080FF"/>
        <rFont val="Consolas"/>
        <family val="3"/>
      </rPr>
      <t>IS</t>
    </r>
    <r>
      <rPr>
        <b/>
        <sz val="10"/>
        <color theme="1"/>
        <rFont val="Consolas"/>
        <family val="3"/>
      </rPr>
      <t xml:space="preserve"> </t>
    </r>
    <r>
      <rPr>
        <b/>
        <sz val="10"/>
        <color rgb="FFFF2800"/>
        <rFont val="Consolas"/>
        <family val="3"/>
      </rPr>
      <t>'プラン縛り4'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</si>
  <si>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plan_binding_5 </t>
    </r>
    <r>
      <rPr>
        <b/>
        <sz val="10"/>
        <color rgb="FF0080FF"/>
        <rFont val="Consolas"/>
        <family val="3"/>
      </rPr>
      <t>IS</t>
    </r>
    <r>
      <rPr>
        <b/>
        <sz val="10"/>
        <color theme="1"/>
        <rFont val="Consolas"/>
        <family val="3"/>
      </rPr>
      <t xml:space="preserve"> </t>
    </r>
    <r>
      <rPr>
        <b/>
        <sz val="10"/>
        <color rgb="FFFF2800"/>
        <rFont val="Consolas"/>
        <family val="3"/>
      </rPr>
      <t>'プラン縛り5'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</si>
  <si>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plan_binding_6 </t>
    </r>
    <r>
      <rPr>
        <b/>
        <sz val="10"/>
        <color rgb="FF0080FF"/>
        <rFont val="Consolas"/>
        <family val="3"/>
      </rPr>
      <t>IS</t>
    </r>
    <r>
      <rPr>
        <b/>
        <sz val="10"/>
        <color theme="1"/>
        <rFont val="Consolas"/>
        <family val="3"/>
      </rPr>
      <t xml:space="preserve"> </t>
    </r>
    <r>
      <rPr>
        <b/>
        <sz val="10"/>
        <color rgb="FFFF2800"/>
        <rFont val="Consolas"/>
        <family val="3"/>
      </rPr>
      <t>'プラン縛り6'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</si>
  <si>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plan_restriction_7 </t>
    </r>
    <r>
      <rPr>
        <b/>
        <sz val="10"/>
        <color rgb="FF0080FF"/>
        <rFont val="Consolas"/>
        <family val="3"/>
      </rPr>
      <t>IS</t>
    </r>
    <r>
      <rPr>
        <b/>
        <sz val="10"/>
        <color theme="1"/>
        <rFont val="Consolas"/>
        <family val="3"/>
      </rPr>
      <t xml:space="preserve"> </t>
    </r>
    <r>
      <rPr>
        <b/>
        <sz val="10"/>
        <color rgb="FFFF2800"/>
        <rFont val="Consolas"/>
        <family val="3"/>
      </rPr>
      <t>'プラン縛り7'</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</si>
  <si>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plan_restriction_8 </t>
    </r>
    <r>
      <rPr>
        <b/>
        <sz val="10"/>
        <color rgb="FF0080FF"/>
        <rFont val="Consolas"/>
        <family val="3"/>
      </rPr>
      <t>IS</t>
    </r>
    <r>
      <rPr>
        <b/>
        <sz val="10"/>
        <color theme="1"/>
        <rFont val="Consolas"/>
        <family val="3"/>
      </rPr>
      <t xml:space="preserve"> </t>
    </r>
    <r>
      <rPr>
        <b/>
        <sz val="10"/>
        <color rgb="FFFF2800"/>
        <rFont val="Consolas"/>
        <family val="3"/>
      </rPr>
      <t>'プラン縛り8'</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</si>
  <si>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plan_restriction_9 </t>
    </r>
    <r>
      <rPr>
        <b/>
        <sz val="10"/>
        <color rgb="FF0080FF"/>
        <rFont val="Consolas"/>
        <family val="3"/>
      </rPr>
      <t>IS</t>
    </r>
    <r>
      <rPr>
        <b/>
        <sz val="10"/>
        <color theme="1"/>
        <rFont val="Consolas"/>
        <family val="3"/>
      </rPr>
      <t xml:space="preserve"> </t>
    </r>
    <r>
      <rPr>
        <b/>
        <sz val="10"/>
        <color rgb="FFFF2800"/>
        <rFont val="Consolas"/>
        <family val="3"/>
      </rPr>
      <t>'プラン縛り9'</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</si>
  <si>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plan_restriction_10 </t>
    </r>
    <r>
      <rPr>
        <b/>
        <sz val="10"/>
        <color rgb="FF0080FF"/>
        <rFont val="Consolas"/>
        <family val="3"/>
      </rPr>
      <t>IS</t>
    </r>
    <r>
      <rPr>
        <b/>
        <sz val="10"/>
        <color theme="1"/>
        <rFont val="Consolas"/>
        <family val="3"/>
      </rPr>
      <t xml:space="preserve"> </t>
    </r>
    <r>
      <rPr>
        <b/>
        <sz val="10"/>
        <color rgb="FFFF2800"/>
        <rFont val="Consolas"/>
        <family val="3"/>
      </rPr>
      <t>'プラン縛り10'</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</si>
  <si>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plan_restriction_11 </t>
    </r>
    <r>
      <rPr>
        <b/>
        <sz val="10"/>
        <color rgb="FF0080FF"/>
        <rFont val="Consolas"/>
        <family val="3"/>
      </rPr>
      <t>IS</t>
    </r>
    <r>
      <rPr>
        <b/>
        <sz val="10"/>
        <color theme="1"/>
        <rFont val="Consolas"/>
        <family val="3"/>
      </rPr>
      <t xml:space="preserve"> </t>
    </r>
    <r>
      <rPr>
        <b/>
        <sz val="10"/>
        <color rgb="FFFF2800"/>
        <rFont val="Consolas"/>
        <family val="3"/>
      </rPr>
      <t>'プラン縛り11'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</si>
  <si>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plan_restriction_12 </t>
    </r>
    <r>
      <rPr>
        <b/>
        <sz val="10"/>
        <color rgb="FF0080FF"/>
        <rFont val="Consolas"/>
        <family val="3"/>
      </rPr>
      <t>IS</t>
    </r>
    <r>
      <rPr>
        <b/>
        <sz val="10"/>
        <color theme="1"/>
        <rFont val="Consolas"/>
        <family val="3"/>
      </rPr>
      <t xml:space="preserve"> </t>
    </r>
    <r>
      <rPr>
        <b/>
        <sz val="10"/>
        <color rgb="FFFF2800"/>
        <rFont val="Consolas"/>
        <family val="3"/>
      </rPr>
      <t>'プラン縛り12'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</si>
  <si>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percentage_plan_1 </t>
    </r>
    <r>
      <rPr>
        <b/>
        <sz val="10"/>
        <color rgb="FF0080FF"/>
        <rFont val="Consolas"/>
        <family val="3"/>
      </rPr>
      <t>IS</t>
    </r>
    <r>
      <rPr>
        <b/>
        <sz val="10"/>
        <color theme="1"/>
        <rFont val="Consolas"/>
        <family val="3"/>
      </rPr>
      <t xml:space="preserve"> </t>
    </r>
    <r>
      <rPr>
        <b/>
        <sz val="10"/>
        <color rgb="FFFF2800"/>
        <rFont val="Consolas"/>
        <family val="3"/>
      </rPr>
      <t>'比率指定プラン1'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</si>
  <si>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plan_ratio_1 </t>
    </r>
    <r>
      <rPr>
        <b/>
        <sz val="10"/>
        <color rgb="FF0080FF"/>
        <rFont val="Consolas"/>
        <family val="3"/>
      </rPr>
      <t>IS</t>
    </r>
    <r>
      <rPr>
        <b/>
        <sz val="10"/>
        <color theme="1"/>
        <rFont val="Consolas"/>
        <family val="3"/>
      </rPr>
      <t xml:space="preserve"> </t>
    </r>
    <r>
      <rPr>
        <b/>
        <sz val="10"/>
        <color rgb="FFFF2800"/>
        <rFont val="Consolas"/>
        <family val="3"/>
      </rPr>
      <t>'プラン比率1'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</si>
  <si>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percentage_plan_2 </t>
    </r>
    <r>
      <rPr>
        <b/>
        <sz val="10"/>
        <color rgb="FF0080FF"/>
        <rFont val="Consolas"/>
        <family val="3"/>
      </rPr>
      <t>IS</t>
    </r>
    <r>
      <rPr>
        <b/>
        <sz val="10"/>
        <color theme="1"/>
        <rFont val="Consolas"/>
        <family val="3"/>
      </rPr>
      <t xml:space="preserve"> </t>
    </r>
    <r>
      <rPr>
        <b/>
        <sz val="10"/>
        <color rgb="FFFF2800"/>
        <rFont val="Consolas"/>
        <family val="3"/>
      </rPr>
      <t>'比率指定プラン2'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</si>
  <si>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plan_ratio_2 </t>
    </r>
    <r>
      <rPr>
        <b/>
        <sz val="10"/>
        <color rgb="FF0080FF"/>
        <rFont val="Consolas"/>
        <family val="3"/>
      </rPr>
      <t>IS</t>
    </r>
    <r>
      <rPr>
        <b/>
        <sz val="10"/>
        <color theme="1"/>
        <rFont val="Consolas"/>
        <family val="3"/>
      </rPr>
      <t xml:space="preserve"> </t>
    </r>
    <r>
      <rPr>
        <b/>
        <sz val="10"/>
        <color rgb="FFFF2800"/>
        <rFont val="Consolas"/>
        <family val="3"/>
      </rPr>
      <t>'プラン比率2'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</si>
  <si>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percentage_plan_3 </t>
    </r>
    <r>
      <rPr>
        <b/>
        <sz val="10"/>
        <color rgb="FF0080FF"/>
        <rFont val="Consolas"/>
        <family val="3"/>
      </rPr>
      <t>IS</t>
    </r>
    <r>
      <rPr>
        <b/>
        <sz val="10"/>
        <color theme="1"/>
        <rFont val="Consolas"/>
        <family val="3"/>
      </rPr>
      <t xml:space="preserve"> </t>
    </r>
    <r>
      <rPr>
        <b/>
        <sz val="10"/>
        <color rgb="FFFF2800"/>
        <rFont val="Consolas"/>
        <family val="3"/>
      </rPr>
      <t>'比率指定プラン3'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</si>
  <si>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plan_ratio_3 </t>
    </r>
    <r>
      <rPr>
        <b/>
        <sz val="10"/>
        <color rgb="FF0080FF"/>
        <rFont val="Consolas"/>
        <family val="3"/>
      </rPr>
      <t>IS</t>
    </r>
    <r>
      <rPr>
        <b/>
        <sz val="10"/>
        <color theme="1"/>
        <rFont val="Consolas"/>
        <family val="3"/>
      </rPr>
      <t xml:space="preserve"> </t>
    </r>
    <r>
      <rPr>
        <b/>
        <sz val="10"/>
        <color rgb="FFFF2800"/>
        <rFont val="Consolas"/>
        <family val="3"/>
      </rPr>
      <t>'プラン比率3'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</si>
  <si>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percentage_plan_4 </t>
    </r>
    <r>
      <rPr>
        <b/>
        <sz val="10"/>
        <color rgb="FF0080FF"/>
        <rFont val="Consolas"/>
        <family val="3"/>
      </rPr>
      <t>IS</t>
    </r>
    <r>
      <rPr>
        <b/>
        <sz val="10"/>
        <color theme="1"/>
        <rFont val="Consolas"/>
        <family val="3"/>
      </rPr>
      <t xml:space="preserve"> </t>
    </r>
    <r>
      <rPr>
        <b/>
        <sz val="10"/>
        <color rgb="FFFF2800"/>
        <rFont val="Consolas"/>
        <family val="3"/>
      </rPr>
      <t>'比率指定プラン4'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</si>
  <si>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plan_ratio_4 </t>
    </r>
    <r>
      <rPr>
        <b/>
        <sz val="10"/>
        <color rgb="FF0080FF"/>
        <rFont val="Consolas"/>
        <family val="3"/>
      </rPr>
      <t>IS</t>
    </r>
    <r>
      <rPr>
        <b/>
        <sz val="10"/>
        <color theme="1"/>
        <rFont val="Consolas"/>
        <family val="3"/>
      </rPr>
      <t xml:space="preserve"> </t>
    </r>
    <r>
      <rPr>
        <b/>
        <sz val="10"/>
        <color rgb="FFFF2800"/>
        <rFont val="Consolas"/>
        <family val="3"/>
      </rPr>
      <t>'プラン比率4'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</si>
  <si>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required_op_category_1 </t>
    </r>
    <r>
      <rPr>
        <b/>
        <sz val="10"/>
        <color rgb="FF0080FF"/>
        <rFont val="Consolas"/>
        <family val="3"/>
      </rPr>
      <t>IS</t>
    </r>
    <r>
      <rPr>
        <b/>
        <sz val="10"/>
        <color theme="1"/>
        <rFont val="Consolas"/>
        <family val="3"/>
      </rPr>
      <t xml:space="preserve"> </t>
    </r>
    <r>
      <rPr>
        <b/>
        <sz val="10"/>
        <color rgb="FFFF2800"/>
        <rFont val="Consolas"/>
        <family val="3"/>
      </rPr>
      <t>'必須opカテゴリ1'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</si>
  <si>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required_op_1 </t>
    </r>
    <r>
      <rPr>
        <b/>
        <sz val="10"/>
        <color rgb="FF0080FF"/>
        <rFont val="Consolas"/>
        <family val="3"/>
      </rPr>
      <t>IS</t>
    </r>
    <r>
      <rPr>
        <b/>
        <sz val="10"/>
        <color theme="1"/>
        <rFont val="Consolas"/>
        <family val="3"/>
      </rPr>
      <t xml:space="preserve"> </t>
    </r>
    <r>
      <rPr>
        <b/>
        <sz val="10"/>
        <color rgb="FFFF2800"/>
        <rFont val="Consolas"/>
        <family val="3"/>
      </rPr>
      <t>'必須op1'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</si>
  <si>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required_op_category_2 </t>
    </r>
    <r>
      <rPr>
        <b/>
        <sz val="10"/>
        <color rgb="FF0080FF"/>
        <rFont val="Consolas"/>
        <family val="3"/>
      </rPr>
      <t>IS</t>
    </r>
    <r>
      <rPr>
        <b/>
        <sz val="10"/>
        <color theme="1"/>
        <rFont val="Consolas"/>
        <family val="3"/>
      </rPr>
      <t xml:space="preserve"> </t>
    </r>
    <r>
      <rPr>
        <b/>
        <sz val="10"/>
        <color rgb="FFFF2800"/>
        <rFont val="Consolas"/>
        <family val="3"/>
      </rPr>
      <t>'必須opカテゴリ2'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</si>
  <si>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required_op_2 </t>
    </r>
    <r>
      <rPr>
        <b/>
        <sz val="10"/>
        <color rgb="FF0080FF"/>
        <rFont val="Consolas"/>
        <family val="3"/>
      </rPr>
      <t>IS</t>
    </r>
    <r>
      <rPr>
        <b/>
        <sz val="10"/>
        <color theme="1"/>
        <rFont val="Consolas"/>
        <family val="3"/>
      </rPr>
      <t xml:space="preserve"> </t>
    </r>
    <r>
      <rPr>
        <b/>
        <sz val="10"/>
        <color rgb="FFFF2800"/>
        <rFont val="Consolas"/>
        <family val="3"/>
      </rPr>
      <t>'必須op2'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</si>
  <si>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required_op_category_3 </t>
    </r>
    <r>
      <rPr>
        <b/>
        <sz val="10"/>
        <color rgb="FF0080FF"/>
        <rFont val="Consolas"/>
        <family val="3"/>
      </rPr>
      <t>IS</t>
    </r>
    <r>
      <rPr>
        <b/>
        <sz val="10"/>
        <color theme="1"/>
        <rFont val="Consolas"/>
        <family val="3"/>
      </rPr>
      <t xml:space="preserve"> </t>
    </r>
    <r>
      <rPr>
        <b/>
        <sz val="10"/>
        <color rgb="FFFF2800"/>
        <rFont val="Consolas"/>
        <family val="3"/>
      </rPr>
      <t>'必須opカテゴリ3'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</si>
  <si>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required_op_3 </t>
    </r>
    <r>
      <rPr>
        <b/>
        <sz val="10"/>
        <color rgb="FF0080FF"/>
        <rFont val="Consolas"/>
        <family val="3"/>
      </rPr>
      <t>IS</t>
    </r>
    <r>
      <rPr>
        <b/>
        <sz val="10"/>
        <color theme="1"/>
        <rFont val="Consolas"/>
        <family val="3"/>
      </rPr>
      <t xml:space="preserve"> </t>
    </r>
    <r>
      <rPr>
        <b/>
        <sz val="10"/>
        <color rgb="FFFF2800"/>
        <rFont val="Consolas"/>
        <family val="3"/>
      </rPr>
      <t>'必須op3'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</si>
  <si>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required_op_category_4 </t>
    </r>
    <r>
      <rPr>
        <b/>
        <sz val="10"/>
        <color rgb="FF0080FF"/>
        <rFont val="Consolas"/>
        <family val="3"/>
      </rPr>
      <t>IS</t>
    </r>
    <r>
      <rPr>
        <b/>
        <sz val="10"/>
        <color theme="1"/>
        <rFont val="Consolas"/>
        <family val="3"/>
      </rPr>
      <t xml:space="preserve"> </t>
    </r>
    <r>
      <rPr>
        <b/>
        <sz val="10"/>
        <color rgb="FFFF2800"/>
        <rFont val="Consolas"/>
        <family val="3"/>
      </rPr>
      <t>'必須opカテゴリ4'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</si>
  <si>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required_op_4 </t>
    </r>
    <r>
      <rPr>
        <b/>
        <sz val="10"/>
        <color rgb="FF0080FF"/>
        <rFont val="Consolas"/>
        <family val="3"/>
      </rPr>
      <t>IS</t>
    </r>
    <r>
      <rPr>
        <b/>
        <sz val="10"/>
        <color theme="1"/>
        <rFont val="Consolas"/>
        <family val="3"/>
      </rPr>
      <t xml:space="preserve"> </t>
    </r>
    <r>
      <rPr>
        <b/>
        <sz val="10"/>
        <color rgb="FFFF2800"/>
        <rFont val="Consolas"/>
        <family val="3"/>
      </rPr>
      <t>'必須op4'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</si>
  <si>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percentage_op_category_1 </t>
    </r>
    <r>
      <rPr>
        <b/>
        <sz val="10"/>
        <color rgb="FF0080FF"/>
        <rFont val="Consolas"/>
        <family val="3"/>
      </rPr>
      <t>IS</t>
    </r>
    <r>
      <rPr>
        <b/>
        <sz val="10"/>
        <color theme="1"/>
        <rFont val="Consolas"/>
        <family val="3"/>
      </rPr>
      <t xml:space="preserve"> </t>
    </r>
    <r>
      <rPr>
        <b/>
        <sz val="10"/>
        <color rgb="FFFF2800"/>
        <rFont val="Consolas"/>
        <family val="3"/>
      </rPr>
      <t>'比率指定opカテゴリ1'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</si>
  <si>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percentage_op_1 </t>
    </r>
    <r>
      <rPr>
        <b/>
        <sz val="10"/>
        <color rgb="FF0080FF"/>
        <rFont val="Consolas"/>
        <family val="3"/>
      </rPr>
      <t>IS</t>
    </r>
    <r>
      <rPr>
        <b/>
        <sz val="10"/>
        <color theme="1"/>
        <rFont val="Consolas"/>
        <family val="3"/>
      </rPr>
      <t xml:space="preserve"> </t>
    </r>
    <r>
      <rPr>
        <b/>
        <sz val="10"/>
        <color rgb="FFFF2800"/>
        <rFont val="Consolas"/>
        <family val="3"/>
      </rPr>
      <t>'比率指定op1'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</si>
  <si>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op_ratio_1 </t>
    </r>
    <r>
      <rPr>
        <b/>
        <sz val="10"/>
        <color rgb="FF0080FF"/>
        <rFont val="Consolas"/>
        <family val="3"/>
      </rPr>
      <t>IS</t>
    </r>
    <r>
      <rPr>
        <b/>
        <sz val="10"/>
        <color theme="1"/>
        <rFont val="Consolas"/>
        <family val="3"/>
      </rPr>
      <t xml:space="preserve"> </t>
    </r>
    <r>
      <rPr>
        <b/>
        <sz val="10"/>
        <color rgb="FFFF2800"/>
        <rFont val="Consolas"/>
        <family val="3"/>
      </rPr>
      <t>'op比率1'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</si>
  <si>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percentage_op_category_2 </t>
    </r>
    <r>
      <rPr>
        <b/>
        <sz val="10"/>
        <color rgb="FF0080FF"/>
        <rFont val="Consolas"/>
        <family val="3"/>
      </rPr>
      <t>IS</t>
    </r>
    <r>
      <rPr>
        <b/>
        <sz val="10"/>
        <color theme="1"/>
        <rFont val="Consolas"/>
        <family val="3"/>
      </rPr>
      <t xml:space="preserve"> </t>
    </r>
    <r>
      <rPr>
        <b/>
        <sz val="10"/>
        <color rgb="FFFF2800"/>
        <rFont val="Consolas"/>
        <family val="3"/>
      </rPr>
      <t>'比率指定opカテゴリ2'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</si>
  <si>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percentage_op_2 </t>
    </r>
    <r>
      <rPr>
        <b/>
        <sz val="10"/>
        <color rgb="FF0080FF"/>
        <rFont val="Consolas"/>
        <family val="3"/>
      </rPr>
      <t>IS</t>
    </r>
    <r>
      <rPr>
        <b/>
        <sz val="10"/>
        <color theme="1"/>
        <rFont val="Consolas"/>
        <family val="3"/>
      </rPr>
      <t xml:space="preserve"> </t>
    </r>
    <r>
      <rPr>
        <b/>
        <sz val="10"/>
        <color rgb="FFFF2800"/>
        <rFont val="Consolas"/>
        <family val="3"/>
      </rPr>
      <t>'比率指定op2'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</si>
  <si>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op_ratio_2 </t>
    </r>
    <r>
      <rPr>
        <b/>
        <sz val="10"/>
        <color rgb="FF0080FF"/>
        <rFont val="Consolas"/>
        <family val="3"/>
      </rPr>
      <t>IS</t>
    </r>
    <r>
      <rPr>
        <b/>
        <sz val="10"/>
        <color theme="1"/>
        <rFont val="Consolas"/>
        <family val="3"/>
      </rPr>
      <t xml:space="preserve"> </t>
    </r>
    <r>
      <rPr>
        <b/>
        <sz val="10"/>
        <color rgb="FFFF2800"/>
        <rFont val="Consolas"/>
        <family val="3"/>
      </rPr>
      <t>'op比率2'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</si>
  <si>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percentage_op_category_3 </t>
    </r>
    <r>
      <rPr>
        <b/>
        <sz val="10"/>
        <color rgb="FF0080FF"/>
        <rFont val="Consolas"/>
        <family val="3"/>
      </rPr>
      <t>IS</t>
    </r>
    <r>
      <rPr>
        <b/>
        <sz val="10"/>
        <color theme="1"/>
        <rFont val="Consolas"/>
        <family val="3"/>
      </rPr>
      <t xml:space="preserve"> </t>
    </r>
    <r>
      <rPr>
        <b/>
        <sz val="10"/>
        <color rgb="FFFF2800"/>
        <rFont val="Consolas"/>
        <family val="3"/>
      </rPr>
      <t>'比率指定opカテゴリ3'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</si>
  <si>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percentage_op_3 </t>
    </r>
    <r>
      <rPr>
        <b/>
        <sz val="10"/>
        <color rgb="FF0080FF"/>
        <rFont val="Consolas"/>
        <family val="3"/>
      </rPr>
      <t>IS</t>
    </r>
    <r>
      <rPr>
        <b/>
        <sz val="10"/>
        <color theme="1"/>
        <rFont val="Consolas"/>
        <family val="3"/>
      </rPr>
      <t xml:space="preserve"> </t>
    </r>
    <r>
      <rPr>
        <b/>
        <sz val="10"/>
        <color rgb="FFFF2800"/>
        <rFont val="Consolas"/>
        <family val="3"/>
      </rPr>
      <t>'比率指定op3'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</si>
  <si>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op_ratio_3 </t>
    </r>
    <r>
      <rPr>
        <b/>
        <sz val="10"/>
        <color rgb="FF0080FF"/>
        <rFont val="Consolas"/>
        <family val="3"/>
      </rPr>
      <t>IS</t>
    </r>
    <r>
      <rPr>
        <b/>
        <sz val="10"/>
        <color theme="1"/>
        <rFont val="Consolas"/>
        <family val="3"/>
      </rPr>
      <t xml:space="preserve"> </t>
    </r>
    <r>
      <rPr>
        <b/>
        <sz val="10"/>
        <color rgb="FFFF2800"/>
        <rFont val="Consolas"/>
        <family val="3"/>
      </rPr>
      <t>'op比率3'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</si>
  <si>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percentage_op_category_4 </t>
    </r>
    <r>
      <rPr>
        <b/>
        <sz val="10"/>
        <color rgb="FF0080FF"/>
        <rFont val="Consolas"/>
        <family val="3"/>
      </rPr>
      <t>IS</t>
    </r>
    <r>
      <rPr>
        <b/>
        <sz val="10"/>
        <color theme="1"/>
        <rFont val="Consolas"/>
        <family val="3"/>
      </rPr>
      <t xml:space="preserve"> </t>
    </r>
    <r>
      <rPr>
        <b/>
        <sz val="10"/>
        <color rgb="FFFF2800"/>
        <rFont val="Consolas"/>
        <family val="3"/>
      </rPr>
      <t>'比率指定opカテゴリ4'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</si>
  <si>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percentage_op_4 </t>
    </r>
    <r>
      <rPr>
        <b/>
        <sz val="10"/>
        <color rgb="FF0080FF"/>
        <rFont val="Consolas"/>
        <family val="3"/>
      </rPr>
      <t>IS</t>
    </r>
    <r>
      <rPr>
        <b/>
        <sz val="10"/>
        <color theme="1"/>
        <rFont val="Consolas"/>
        <family val="3"/>
      </rPr>
      <t xml:space="preserve"> </t>
    </r>
    <r>
      <rPr>
        <b/>
        <sz val="10"/>
        <color rgb="FFFF2800"/>
        <rFont val="Consolas"/>
        <family val="3"/>
      </rPr>
      <t>'比率指定op4'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</si>
  <si>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op_ratio_4 </t>
    </r>
    <r>
      <rPr>
        <b/>
        <sz val="10"/>
        <color rgb="FF0080FF"/>
        <rFont val="Consolas"/>
        <family val="3"/>
      </rPr>
      <t>IS</t>
    </r>
    <r>
      <rPr>
        <b/>
        <sz val="10"/>
        <color theme="1"/>
        <rFont val="Consolas"/>
        <family val="3"/>
      </rPr>
      <t xml:space="preserve"> </t>
    </r>
    <r>
      <rPr>
        <b/>
        <sz val="10"/>
        <color rgb="FFFF2800"/>
        <rFont val="Consolas"/>
        <family val="3"/>
      </rPr>
      <t>'op比率4'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</si>
  <si>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other_options_1 </t>
    </r>
    <r>
      <rPr>
        <b/>
        <sz val="10"/>
        <color rgb="FF0080FF"/>
        <rFont val="Consolas"/>
        <family val="3"/>
      </rPr>
      <t>IS</t>
    </r>
    <r>
      <rPr>
        <b/>
        <sz val="10"/>
        <color theme="1"/>
        <rFont val="Consolas"/>
        <family val="3"/>
      </rPr>
      <t xml:space="preserve"> </t>
    </r>
    <r>
      <rPr>
        <b/>
        <sz val="10"/>
        <color rgb="FFFF2800"/>
        <rFont val="Consolas"/>
        <family val="3"/>
      </rPr>
      <t>'その他指定1'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</si>
  <si>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other_options_2 </t>
    </r>
    <r>
      <rPr>
        <b/>
        <sz val="10"/>
        <color rgb="FF0080FF"/>
        <rFont val="Consolas"/>
        <family val="3"/>
      </rPr>
      <t>IS</t>
    </r>
    <r>
      <rPr>
        <b/>
        <sz val="10"/>
        <color theme="1"/>
        <rFont val="Consolas"/>
        <family val="3"/>
      </rPr>
      <t xml:space="preserve"> </t>
    </r>
    <r>
      <rPr>
        <b/>
        <sz val="10"/>
        <color rgb="FFFF2800"/>
        <rFont val="Consolas"/>
        <family val="3"/>
      </rPr>
      <t>'その他指定2'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</si>
  <si>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other_options_3 </t>
    </r>
    <r>
      <rPr>
        <b/>
        <sz val="10"/>
        <color rgb="FF0080FF"/>
        <rFont val="Consolas"/>
        <family val="3"/>
      </rPr>
      <t>IS</t>
    </r>
    <r>
      <rPr>
        <b/>
        <sz val="10"/>
        <color theme="1"/>
        <rFont val="Consolas"/>
        <family val="3"/>
      </rPr>
      <t xml:space="preserve"> </t>
    </r>
    <r>
      <rPr>
        <b/>
        <sz val="10"/>
        <color rgb="FFFF2800"/>
        <rFont val="Consolas"/>
        <family val="3"/>
      </rPr>
      <t>'その他指定3'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</si>
  <si>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other_options_4 </t>
    </r>
    <r>
      <rPr>
        <b/>
        <sz val="10"/>
        <color rgb="FF0080FF"/>
        <rFont val="Consolas"/>
        <family val="3"/>
      </rPr>
      <t>IS</t>
    </r>
    <r>
      <rPr>
        <b/>
        <sz val="10"/>
        <color theme="1"/>
        <rFont val="Consolas"/>
        <family val="3"/>
      </rPr>
      <t xml:space="preserve"> </t>
    </r>
    <r>
      <rPr>
        <b/>
        <sz val="10"/>
        <color rgb="FFFF2800"/>
        <rFont val="Consolas"/>
        <family val="3"/>
      </rPr>
      <t>'その他指定4'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</si>
  <si>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other_options_5 </t>
    </r>
    <r>
      <rPr>
        <b/>
        <sz val="10"/>
        <color rgb="FF0080FF"/>
        <rFont val="Consolas"/>
        <family val="3"/>
      </rPr>
      <t>IS</t>
    </r>
    <r>
      <rPr>
        <b/>
        <sz val="10"/>
        <color theme="1"/>
        <rFont val="Consolas"/>
        <family val="3"/>
      </rPr>
      <t xml:space="preserve"> </t>
    </r>
    <r>
      <rPr>
        <b/>
        <sz val="10"/>
        <color rgb="FFFF2800"/>
        <rFont val="Consolas"/>
        <family val="3"/>
      </rPr>
      <t>'その他指定5'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</si>
  <si>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other_options_6 </t>
    </r>
    <r>
      <rPr>
        <b/>
        <sz val="10"/>
        <color rgb="FF0080FF"/>
        <rFont val="Consolas"/>
        <family val="3"/>
      </rPr>
      <t>IS</t>
    </r>
    <r>
      <rPr>
        <b/>
        <sz val="10"/>
        <color theme="1"/>
        <rFont val="Consolas"/>
        <family val="3"/>
      </rPr>
      <t xml:space="preserve"> </t>
    </r>
    <r>
      <rPr>
        <b/>
        <sz val="10"/>
        <color rgb="FFFF2800"/>
        <rFont val="Consolas"/>
        <family val="3"/>
      </rPr>
      <t>'その他指定6'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</si>
  <si>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other_options_7 </t>
    </r>
    <r>
      <rPr>
        <b/>
        <sz val="10"/>
        <color rgb="FF0080FF"/>
        <rFont val="Consolas"/>
        <family val="3"/>
      </rPr>
      <t>IS</t>
    </r>
    <r>
      <rPr>
        <b/>
        <sz val="10"/>
        <color theme="1"/>
        <rFont val="Consolas"/>
        <family val="3"/>
      </rPr>
      <t xml:space="preserve"> </t>
    </r>
    <r>
      <rPr>
        <b/>
        <sz val="10"/>
        <color rgb="FFFF2800"/>
        <rFont val="Consolas"/>
        <family val="3"/>
      </rPr>
      <t>'その他指定7'</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</si>
  <si>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other_options_8 </t>
    </r>
    <r>
      <rPr>
        <b/>
        <sz val="10"/>
        <color rgb="FF0080FF"/>
        <rFont val="Consolas"/>
        <family val="3"/>
      </rPr>
      <t>IS</t>
    </r>
    <r>
      <rPr>
        <b/>
        <sz val="10"/>
        <color theme="1"/>
        <rFont val="Consolas"/>
        <family val="3"/>
      </rPr>
      <t xml:space="preserve"> </t>
    </r>
    <r>
      <rPr>
        <b/>
        <sz val="10"/>
        <color rgb="FFFF2800"/>
        <rFont val="Consolas"/>
        <family val="3"/>
      </rPr>
      <t>'その他指定8'</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</si>
  <si>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additional_information </t>
    </r>
    <r>
      <rPr>
        <b/>
        <sz val="10"/>
        <color rgb="FF0080FF"/>
        <rFont val="Consolas"/>
        <family val="3"/>
      </rPr>
      <t>IS</t>
    </r>
    <r>
      <rPr>
        <b/>
        <sz val="10"/>
        <color theme="1"/>
        <rFont val="Consolas"/>
        <family val="3"/>
      </rPr>
      <t xml:space="preserve"> </t>
    </r>
    <r>
      <rPr>
        <b/>
        <sz val="10"/>
        <color rgb="FFFF2800"/>
        <rFont val="Consolas"/>
        <family val="3"/>
      </rPr>
      <t>'補足'</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</si>
  <si>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channel </t>
    </r>
    <r>
      <rPr>
        <b/>
        <sz val="10"/>
        <color rgb="FF0080FF"/>
        <rFont val="Consolas"/>
        <family val="3"/>
      </rPr>
      <t>IS</t>
    </r>
    <r>
      <rPr>
        <b/>
        <sz val="10"/>
        <color theme="1"/>
        <rFont val="Consolas"/>
        <family val="3"/>
      </rPr>
      <t xml:space="preserve"> </t>
    </r>
    <r>
      <rPr>
        <b/>
        <sz val="10"/>
        <color rgb="FFFF2800"/>
        <rFont val="Consolas"/>
        <family val="3"/>
      </rPr>
      <t>'チャネル'</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</si>
  <si>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estimated_status </t>
    </r>
    <r>
      <rPr>
        <b/>
        <sz val="10"/>
        <color rgb="FF0080FF"/>
        <rFont val="Consolas"/>
        <family val="3"/>
      </rPr>
      <t>IS</t>
    </r>
    <r>
      <rPr>
        <b/>
        <sz val="10"/>
        <color theme="1"/>
        <rFont val="Consolas"/>
        <family val="3"/>
      </rPr>
      <t xml:space="preserve"> </t>
    </r>
    <r>
      <rPr>
        <b/>
        <sz val="10"/>
        <color rgb="FFFF2800"/>
        <rFont val="Consolas"/>
        <family val="3"/>
      </rPr>
      <t>'試算ステータス'</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</si>
  <si>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rental_used_start_date </t>
    </r>
    <r>
      <rPr>
        <b/>
        <sz val="10"/>
        <color rgb="FF0080FF"/>
        <rFont val="Consolas"/>
        <family val="3"/>
      </rPr>
      <t>IS</t>
    </r>
    <r>
      <rPr>
        <b/>
        <sz val="10"/>
        <color theme="1"/>
        <rFont val="Consolas"/>
        <family val="3"/>
      </rPr>
      <t xml:space="preserve"> </t>
    </r>
    <r>
      <rPr>
        <b/>
        <sz val="10"/>
        <color rgb="FFFF2800"/>
        <rFont val="Consolas"/>
        <family val="3"/>
      </rPr>
      <t>'rental_中古_開始年月日'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</si>
  <si>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bfs_entry_information</t>
    </r>
    <r>
      <rPr>
        <b/>
        <sz val="10"/>
        <color rgb="FF808080"/>
        <rFont val="Consolas"/>
        <family val="3"/>
      </rPr>
      <t>.</t>
    </r>
    <r>
      <rPr>
        <b/>
        <sz val="10"/>
        <color theme="1"/>
        <rFont val="Consolas"/>
        <family val="3"/>
      </rPr>
      <t xml:space="preserve">rental_used_period_months </t>
    </r>
    <r>
      <rPr>
        <b/>
        <sz val="10"/>
        <color rgb="FF0080FF"/>
        <rFont val="Consolas"/>
        <family val="3"/>
      </rPr>
      <t>IS</t>
    </r>
    <r>
      <rPr>
        <b/>
        <sz val="10"/>
        <color theme="1"/>
        <rFont val="Consolas"/>
        <family val="3"/>
      </rPr>
      <t xml:space="preserve"> </t>
    </r>
    <r>
      <rPr>
        <b/>
        <sz val="10"/>
        <color rgb="FFFF2800"/>
        <rFont val="Consolas"/>
        <family val="3"/>
      </rPr>
      <t>'rental_中古_期間_ヶ月'</t>
    </r>
    <r>
      <rPr>
        <b/>
        <sz val="10"/>
        <color rgb="FF808080"/>
        <rFont val="Consolas"/>
        <family val="3"/>
      </rPr>
      <t>;</t>
    </r>
  </si>
  <si>
    <t>b_hjn_rms_契約基本情報</t>
    <phoneticPr fontId="2"/>
  </si>
  <si>
    <t>V004566</t>
  </si>
  <si>
    <t>rms_contract_basic_information</t>
    <phoneticPr fontId="2"/>
  </si>
  <si>
    <t>オーダー番号毎に、納品先、契約内容、支払い方法等の情報を持つ</t>
  </si>
  <si>
    <r>
      <t>DROP</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EXISTS</t>
    </r>
    <r>
      <rPr>
        <b/>
        <sz val="10"/>
        <color theme="1"/>
        <rFont val="Consolas"/>
        <family val="3"/>
      </rPr>
      <t xml:space="preserve"> rms_contract_basic_information </t>
    </r>
    <r>
      <rPr>
        <b/>
        <sz val="10"/>
        <color rgb="FF0080FF"/>
        <rFont val="Consolas"/>
        <family val="3"/>
      </rPr>
      <t>CASCADE</t>
    </r>
    <r>
      <rPr>
        <b/>
        <sz val="10"/>
        <color rgb="FF808080"/>
        <rFont val="Consolas"/>
        <family val="3"/>
      </rPr>
      <t>;</t>
    </r>
    <r>
      <rPr>
        <b/>
        <sz val="10"/>
        <color theme="1"/>
        <rFont val="Consolas"/>
        <family val="3"/>
      </rPr>
      <t xml:space="preserve"> </t>
    </r>
  </si>
  <si>
    <r>
      <t>CREATE</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NOT</t>
    </r>
    <r>
      <rPr>
        <b/>
        <sz val="10"/>
        <color theme="1"/>
        <rFont val="Consolas"/>
        <family val="3"/>
      </rPr>
      <t xml:space="preserve"> </t>
    </r>
    <r>
      <rPr>
        <b/>
        <sz val="10"/>
        <color rgb="FF0080FF"/>
        <rFont val="Consolas"/>
        <family val="3"/>
      </rPr>
      <t>EXISTS</t>
    </r>
    <r>
      <rPr>
        <b/>
        <sz val="10"/>
        <color theme="1"/>
        <rFont val="Consolas"/>
        <family val="3"/>
      </rPr>
      <t xml:space="preserve"> rms_contract_basic_information </t>
    </r>
    <r>
      <rPr>
        <b/>
        <sz val="10"/>
        <color rgb="FF808080"/>
        <rFont val="Consolas"/>
        <family val="3"/>
      </rPr>
      <t>(</t>
    </r>
    <r>
      <rPr>
        <b/>
        <sz val="10"/>
        <color theme="1"/>
        <rFont val="Consolas"/>
        <family val="3"/>
      </rPr>
      <t xml:space="preserve"> </t>
    </r>
  </si>
  <si>
    <t>order_number</t>
  </si>
  <si>
    <r>
      <t xml:space="preserve">order_number </t>
    </r>
    <r>
      <rPr>
        <b/>
        <sz val="10"/>
        <color rgb="FF0080FF"/>
        <rFont val="Consolas"/>
        <family val="3"/>
      </rPr>
      <t>VARCHAR</t>
    </r>
    <r>
      <rPr>
        <b/>
        <sz val="10"/>
        <color rgb="FF808080"/>
        <rFont val="Consolas"/>
        <family val="3"/>
      </rPr>
      <t>(</t>
    </r>
    <r>
      <rPr>
        <b/>
        <sz val="10"/>
        <color rgb="FFFF2800"/>
        <rFont val="Consolas"/>
        <family val="3"/>
      </rPr>
      <t>48</t>
    </r>
    <r>
      <rPr>
        <b/>
        <sz val="10"/>
        <color rgb="FF808080"/>
        <rFont val="Consolas"/>
        <family val="3"/>
      </rPr>
      <t>),</t>
    </r>
  </si>
  <si>
    <t>オーダ明細行番号</t>
  </si>
  <si>
    <t>1～999で指定可能</t>
  </si>
  <si>
    <t>order_detail_line_number</t>
  </si>
  <si>
    <r>
      <t xml:space="preserve">order_detail_line_number </t>
    </r>
    <r>
      <rPr>
        <b/>
        <sz val="10"/>
        <color rgb="FF0080FF"/>
        <rFont val="Consolas"/>
        <family val="3"/>
      </rPr>
      <t>VARCHAR</t>
    </r>
    <r>
      <rPr>
        <b/>
        <sz val="10"/>
        <color rgb="FF808080"/>
        <rFont val="Consolas"/>
        <family val="3"/>
      </rPr>
      <t>(</t>
    </r>
    <r>
      <rPr>
        <b/>
        <sz val="10"/>
        <color rgb="FFFF2800"/>
        <rFont val="Consolas"/>
        <family val="3"/>
      </rPr>
      <t>9</t>
    </r>
    <r>
      <rPr>
        <b/>
        <sz val="10"/>
        <color rgb="FF808080"/>
        <rFont val="Consolas"/>
        <family val="3"/>
      </rPr>
      <t>),</t>
    </r>
  </si>
  <si>
    <t>g3オーダ番号</t>
  </si>
  <si>
    <t>UK</t>
  </si>
  <si>
    <t>g3_order_number</t>
  </si>
  <si>
    <r>
      <t xml:space="preserve">g3_order_number </t>
    </r>
    <r>
      <rPr>
        <b/>
        <sz val="10"/>
        <color rgb="FF0080FF"/>
        <rFont val="Consolas"/>
        <family val="3"/>
      </rPr>
      <t>VARCHAR</t>
    </r>
    <r>
      <rPr>
        <b/>
        <sz val="10"/>
        <color rgb="FF808080"/>
        <rFont val="Consolas"/>
        <family val="3"/>
      </rPr>
      <t>(</t>
    </r>
    <r>
      <rPr>
        <b/>
        <sz val="10"/>
        <color rgb="FFFF2800"/>
        <rFont val="Consolas"/>
        <family val="3"/>
      </rPr>
      <t>48</t>
    </r>
    <r>
      <rPr>
        <b/>
        <sz val="10"/>
        <color rgb="FF808080"/>
        <rFont val="Consolas"/>
        <family val="3"/>
      </rPr>
      <t>),</t>
    </r>
  </si>
  <si>
    <t>g3オーダ回線コード</t>
  </si>
  <si>
    <t>UK。 G3のグリッド画面の行番号に相当</t>
  </si>
  <si>
    <t>g3_order_line_code</t>
  </si>
  <si>
    <r>
      <t xml:space="preserve">g3_order_line_code </t>
    </r>
    <r>
      <rPr>
        <b/>
        <sz val="10"/>
        <color rgb="FF0080FF"/>
        <rFont val="Consolas"/>
        <family val="3"/>
      </rPr>
      <t>VARCHAR</t>
    </r>
    <r>
      <rPr>
        <b/>
        <sz val="10"/>
        <color rgb="FF808080"/>
        <rFont val="Consolas"/>
        <family val="3"/>
      </rPr>
      <t>(</t>
    </r>
    <r>
      <rPr>
        <b/>
        <sz val="10"/>
        <color rgb="FFFF2800"/>
        <rFont val="Consolas"/>
        <family val="3"/>
      </rPr>
      <t>48</t>
    </r>
    <r>
      <rPr>
        <b/>
        <sz val="10"/>
        <color rgb="FF808080"/>
        <rFont val="Consolas"/>
        <family val="3"/>
      </rPr>
      <t>),</t>
    </r>
  </si>
  <si>
    <t>ssharp</t>
  </si>
  <si>
    <r>
      <t xml:space="preserve">ssharp </t>
    </r>
    <r>
      <rPr>
        <b/>
        <sz val="10"/>
        <color rgb="FF0080FF"/>
        <rFont val="Consolas"/>
        <family val="3"/>
      </rPr>
      <t>VARCHAR</t>
    </r>
    <r>
      <rPr>
        <b/>
        <sz val="10"/>
        <color rgb="FF808080"/>
        <rFont val="Consolas"/>
        <family val="3"/>
      </rPr>
      <t>(</t>
    </r>
    <r>
      <rPr>
        <b/>
        <sz val="10"/>
        <color rgb="FFFF2800"/>
        <rFont val="Consolas"/>
        <family val="3"/>
      </rPr>
      <t>30</t>
    </r>
    <r>
      <rPr>
        <b/>
        <sz val="10"/>
        <color rgb="FF808080"/>
        <rFont val="Consolas"/>
        <family val="3"/>
      </rPr>
      <t>),</t>
    </r>
  </si>
  <si>
    <t>洗替処理にてB#を更新</t>
  </si>
  <si>
    <t>bsharp</t>
  </si>
  <si>
    <r>
      <t xml:space="preserve">bsharp </t>
    </r>
    <r>
      <rPr>
        <b/>
        <sz val="10"/>
        <color rgb="FF0080FF"/>
        <rFont val="Consolas"/>
        <family val="3"/>
      </rPr>
      <t>VARCHAR</t>
    </r>
    <r>
      <rPr>
        <b/>
        <sz val="10"/>
        <color rgb="FF808080"/>
        <rFont val="Consolas"/>
        <family val="3"/>
      </rPr>
      <t>(</t>
    </r>
    <r>
      <rPr>
        <b/>
        <sz val="10"/>
        <color rgb="FFFF2800"/>
        <rFont val="Consolas"/>
        <family val="3"/>
      </rPr>
      <t>30</t>
    </r>
    <r>
      <rPr>
        <b/>
        <sz val="10"/>
        <color rgb="FF808080"/>
        <rFont val="Consolas"/>
        <family val="3"/>
      </rPr>
      <t>),</t>
    </r>
  </si>
  <si>
    <t>機種契約s#</t>
  </si>
  <si>
    <t>ハイフンの場合　回線契約のみ nullの場合　新規、MNP等、開通前(COPから機種情報が払い出される前)</t>
  </si>
  <si>
    <t>model_contract_ssharp</t>
  </si>
  <si>
    <r>
      <t xml:space="preserve">model_contract_ssharp </t>
    </r>
    <r>
      <rPr>
        <b/>
        <sz val="10"/>
        <color rgb="FF0080FF"/>
        <rFont val="Consolas"/>
        <family val="3"/>
      </rPr>
      <t>VARCHAR</t>
    </r>
    <r>
      <rPr>
        <b/>
        <sz val="10"/>
        <color rgb="FF808080"/>
        <rFont val="Consolas"/>
        <family val="3"/>
      </rPr>
      <t>(</t>
    </r>
    <r>
      <rPr>
        <b/>
        <sz val="10"/>
        <color rgb="FFFF2800"/>
        <rFont val="Consolas"/>
        <family val="3"/>
      </rPr>
      <t>30</t>
    </r>
    <r>
      <rPr>
        <b/>
        <sz val="10"/>
        <color rgb="FF808080"/>
        <rFont val="Consolas"/>
        <family val="3"/>
      </rPr>
      <t>),</t>
    </r>
  </si>
  <si>
    <t>機種契約b#</t>
  </si>
  <si>
    <t>model_contract_bsharp</t>
  </si>
  <si>
    <r>
      <t xml:space="preserve">model_contract_bsharp </t>
    </r>
    <r>
      <rPr>
        <b/>
        <sz val="10"/>
        <color rgb="FF0080FF"/>
        <rFont val="Consolas"/>
        <family val="3"/>
      </rPr>
      <t>VARCHAR</t>
    </r>
    <r>
      <rPr>
        <b/>
        <sz val="10"/>
        <color rgb="FF808080"/>
        <rFont val="Consolas"/>
        <family val="3"/>
      </rPr>
      <t>(</t>
    </r>
    <r>
      <rPr>
        <b/>
        <sz val="10"/>
        <color rgb="FFFF2800"/>
        <rFont val="Consolas"/>
        <family val="3"/>
      </rPr>
      <t>30</t>
    </r>
    <r>
      <rPr>
        <b/>
        <sz val="10"/>
        <color rgb="FF808080"/>
        <rFont val="Consolas"/>
        <family val="3"/>
      </rPr>
      <t>),</t>
    </r>
  </si>
  <si>
    <t>群番号</t>
  </si>
  <si>
    <t>毎回、BC洗替によりセット。 10：10群 20：20群 30：30群 70：70群 80：業務用 90：VPNグループ用</t>
  </si>
  <si>
    <t>group_number</t>
  </si>
  <si>
    <r>
      <t xml:space="preserve">group_number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</si>
  <si>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カタログ品目コード</t>
  </si>
  <si>
    <t>コード変換はカタログ品目マスタ参照</t>
  </si>
  <si>
    <t>catalog_item_code</t>
  </si>
  <si>
    <r>
      <t xml:space="preserve">catalog_item_code </t>
    </r>
    <r>
      <rPr>
        <b/>
        <sz val="10"/>
        <color rgb="FF0080FF"/>
        <rFont val="Consolas"/>
        <family val="3"/>
      </rPr>
      <t>VARCHAR</t>
    </r>
    <r>
      <rPr>
        <b/>
        <sz val="10"/>
        <color rgb="FF808080"/>
        <rFont val="Consolas"/>
        <family val="3"/>
      </rPr>
      <t>(</t>
    </r>
    <r>
      <rPr>
        <b/>
        <sz val="10"/>
        <color rgb="FFFF2800"/>
        <rFont val="Consolas"/>
        <family val="3"/>
      </rPr>
      <t>45</t>
    </r>
    <r>
      <rPr>
        <b/>
        <sz val="10"/>
        <color rgb="FF808080"/>
        <rFont val="Consolas"/>
        <family val="3"/>
      </rPr>
      <t>),</t>
    </r>
  </si>
  <si>
    <t>カタログ品目コード名</t>
  </si>
  <si>
    <t>カタログ品目マスタ[品目略称]</t>
  </si>
  <si>
    <t>catalog_item_code_name</t>
  </si>
  <si>
    <r>
      <t xml:space="preserve">catalog_item_code_name </t>
    </r>
    <r>
      <rPr>
        <b/>
        <sz val="10"/>
        <color rgb="FF0080FF"/>
        <rFont val="Consolas"/>
        <family val="3"/>
      </rPr>
      <t>VARCHAR</t>
    </r>
    <r>
      <rPr>
        <b/>
        <sz val="10"/>
        <color rgb="FF808080"/>
        <rFont val="Consolas"/>
        <family val="3"/>
      </rPr>
      <t>(</t>
    </r>
    <r>
      <rPr>
        <b/>
        <sz val="10"/>
        <color rgb="FFFF2800"/>
        <rFont val="Consolas"/>
        <family val="3"/>
      </rPr>
      <t>450</t>
    </r>
    <r>
      <rPr>
        <b/>
        <sz val="10"/>
        <color rgb="FF808080"/>
        <rFont val="Consolas"/>
        <family val="3"/>
      </rPr>
      <t>),</t>
    </r>
  </si>
  <si>
    <t>変換後カタログ品目cd</t>
  </si>
  <si>
    <t>converted_catalog_item_cd</t>
  </si>
  <si>
    <r>
      <t xml:space="preserve">converted_catalog_item_cd </t>
    </r>
    <r>
      <rPr>
        <b/>
        <sz val="10"/>
        <color rgb="FF0080FF"/>
        <rFont val="Consolas"/>
        <family val="3"/>
      </rPr>
      <t>VARCHAR</t>
    </r>
    <r>
      <rPr>
        <b/>
        <sz val="10"/>
        <color rgb="FF808080"/>
        <rFont val="Consolas"/>
        <family val="3"/>
      </rPr>
      <t>(</t>
    </r>
    <r>
      <rPr>
        <b/>
        <sz val="10"/>
        <color rgb="FFFF2800"/>
        <rFont val="Consolas"/>
        <family val="3"/>
      </rPr>
      <t>45</t>
    </r>
    <r>
      <rPr>
        <b/>
        <sz val="10"/>
        <color rgb="FF808080"/>
        <rFont val="Consolas"/>
        <family val="3"/>
      </rPr>
      <t>),</t>
    </r>
  </si>
  <si>
    <t>変換後catalogs品目cd名</t>
  </si>
  <si>
    <t>converted_catalog_item_cd_name</t>
  </si>
  <si>
    <r>
      <t xml:space="preserve">converted_catalog_item_cd_name </t>
    </r>
    <r>
      <rPr>
        <b/>
        <sz val="10"/>
        <color rgb="FF0080FF"/>
        <rFont val="Consolas"/>
        <family val="3"/>
      </rPr>
      <t>VARCHAR</t>
    </r>
    <r>
      <rPr>
        <b/>
        <sz val="10"/>
        <color rgb="FF808080"/>
        <rFont val="Consolas"/>
        <family val="3"/>
      </rPr>
      <t>(</t>
    </r>
    <r>
      <rPr>
        <b/>
        <sz val="10"/>
        <color rgb="FFFF2800"/>
        <rFont val="Consolas"/>
        <family val="3"/>
      </rPr>
      <t>450</t>
    </r>
    <r>
      <rPr>
        <b/>
        <sz val="10"/>
        <color rgb="FF808080"/>
        <rFont val="Consolas"/>
        <family val="3"/>
      </rPr>
      <t>),</t>
    </r>
  </si>
  <si>
    <t>色</t>
  </si>
  <si>
    <t>UTF全角。 画面では利用しない。</t>
  </si>
  <si>
    <t>color</t>
  </si>
  <si>
    <r>
      <t xml:space="preserve">color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</si>
  <si>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旧移動機販売方法</t>
  </si>
  <si>
    <t>0：請求書支払い 1：通話料同時請求 2：無償 3：割賦 4：通常 5：代引き 6：レンタル</t>
  </si>
  <si>
    <t>old_mobile_device_sales_method</t>
  </si>
  <si>
    <r>
      <t xml:space="preserve">old_mobile_device_sales_method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</si>
  <si>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納品先社名</t>
  </si>
  <si>
    <t>UTF全角</t>
  </si>
  <si>
    <t>delivery_company_name</t>
  </si>
  <si>
    <r>
      <t xml:space="preserve">delivery_company_name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</si>
  <si>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納品先部署名</t>
  </si>
  <si>
    <t>delivery_department_name</t>
  </si>
  <si>
    <r>
      <t xml:space="preserve">delivery_department_name </t>
    </r>
    <r>
      <rPr>
        <b/>
        <sz val="10"/>
        <color rgb="FF0080FF"/>
        <rFont val="Consolas"/>
        <family val="3"/>
      </rPr>
      <t>VARCHAR</t>
    </r>
    <r>
      <rPr>
        <b/>
        <sz val="10"/>
        <color rgb="FF808080"/>
        <rFont val="Consolas"/>
        <family val="3"/>
      </rPr>
      <t>(</t>
    </r>
    <r>
      <rPr>
        <b/>
        <sz val="10"/>
        <color rgb="FFFF2800"/>
        <rFont val="Consolas"/>
        <family val="3"/>
      </rPr>
      <t>270</t>
    </r>
    <r>
      <rPr>
        <b/>
        <sz val="10"/>
        <color rgb="FF808080"/>
        <rFont val="Consolas"/>
        <family val="3"/>
      </rPr>
      <t>),</t>
    </r>
  </si>
  <si>
    <t>納品先ご担当者名</t>
  </si>
  <si>
    <t>delivery_contact_name</t>
  </si>
  <si>
    <r>
      <t xml:space="preserve">delivery_contact_name </t>
    </r>
    <r>
      <rPr>
        <b/>
        <sz val="10"/>
        <color rgb="FF0080FF"/>
        <rFont val="Consolas"/>
        <family val="3"/>
      </rPr>
      <t>VARCHAR</t>
    </r>
    <r>
      <rPr>
        <b/>
        <sz val="10"/>
        <color rgb="FF808080"/>
        <rFont val="Consolas"/>
        <family val="3"/>
      </rPr>
      <t>(</t>
    </r>
    <r>
      <rPr>
        <b/>
        <sz val="10"/>
        <color rgb="FFFF2800"/>
        <rFont val="Consolas"/>
        <family val="3"/>
      </rPr>
      <t>270</t>
    </r>
    <r>
      <rPr>
        <b/>
        <sz val="10"/>
        <color rgb="FF808080"/>
        <rFont val="Consolas"/>
        <family val="3"/>
      </rPr>
      <t>),</t>
    </r>
  </si>
  <si>
    <t>納品先ご担当者名カナ</t>
  </si>
  <si>
    <t>delivery_contact_name_kana</t>
  </si>
  <si>
    <r>
      <t xml:space="preserve">delivery_contact_name_kana </t>
    </r>
    <r>
      <rPr>
        <b/>
        <sz val="10"/>
        <color rgb="FF0080FF"/>
        <rFont val="Consolas"/>
        <family val="3"/>
      </rPr>
      <t>VARCHAR</t>
    </r>
    <r>
      <rPr>
        <b/>
        <sz val="10"/>
        <color rgb="FF808080"/>
        <rFont val="Consolas"/>
        <family val="3"/>
      </rPr>
      <t>(</t>
    </r>
    <r>
      <rPr>
        <b/>
        <sz val="10"/>
        <color rgb="FFFF2800"/>
        <rFont val="Consolas"/>
        <family val="3"/>
      </rPr>
      <t>540</t>
    </r>
    <r>
      <rPr>
        <b/>
        <sz val="10"/>
        <color rgb="FF808080"/>
        <rFont val="Consolas"/>
        <family val="3"/>
      </rPr>
      <t>),</t>
    </r>
  </si>
  <si>
    <t>納品先郵便番号</t>
  </si>
  <si>
    <t>delivery_postal_code</t>
  </si>
  <si>
    <r>
      <t xml:space="preserve">delivery_postal_code </t>
    </r>
    <r>
      <rPr>
        <b/>
        <sz val="10"/>
        <color rgb="FF0080FF"/>
        <rFont val="Consolas"/>
        <family val="3"/>
      </rPr>
      <t>VARCHAR</t>
    </r>
    <r>
      <rPr>
        <b/>
        <sz val="10"/>
        <color rgb="FF808080"/>
        <rFont val="Consolas"/>
        <family val="3"/>
      </rPr>
      <t>(</t>
    </r>
    <r>
      <rPr>
        <b/>
        <sz val="10"/>
        <color rgb="FFFF2800"/>
        <rFont val="Consolas"/>
        <family val="3"/>
      </rPr>
      <t>21</t>
    </r>
    <r>
      <rPr>
        <b/>
        <sz val="10"/>
        <color rgb="FF808080"/>
        <rFont val="Consolas"/>
        <family val="3"/>
      </rPr>
      <t>),</t>
    </r>
  </si>
  <si>
    <t>納品先都道府県</t>
  </si>
  <si>
    <t>delivery_prefecture</t>
  </si>
  <si>
    <r>
      <t xml:space="preserve">delivery_prefecture </t>
    </r>
    <r>
      <rPr>
        <b/>
        <sz val="10"/>
        <color rgb="FF0080FF"/>
        <rFont val="Consolas"/>
        <family val="3"/>
      </rPr>
      <t>VARCHAR</t>
    </r>
    <r>
      <rPr>
        <b/>
        <sz val="10"/>
        <color rgb="FF808080"/>
        <rFont val="Consolas"/>
        <family val="3"/>
      </rPr>
      <t>(</t>
    </r>
    <r>
      <rPr>
        <b/>
        <sz val="10"/>
        <color rgb="FFFF2800"/>
        <rFont val="Consolas"/>
        <family val="3"/>
      </rPr>
      <t>90</t>
    </r>
    <r>
      <rPr>
        <b/>
        <sz val="10"/>
        <color rgb="FF808080"/>
        <rFont val="Consolas"/>
        <family val="3"/>
      </rPr>
      <t>),</t>
    </r>
  </si>
  <si>
    <t>納品先市区郡町村</t>
  </si>
  <si>
    <t>delivery_address_city</t>
  </si>
  <si>
    <r>
      <t xml:space="preserve">delivery_address_city </t>
    </r>
    <r>
      <rPr>
        <b/>
        <sz val="10"/>
        <color rgb="FF0080FF"/>
        <rFont val="Consolas"/>
        <family val="3"/>
      </rPr>
      <t>VARCHAR</t>
    </r>
    <r>
      <rPr>
        <b/>
        <sz val="10"/>
        <color rgb="FF808080"/>
        <rFont val="Consolas"/>
        <family val="3"/>
      </rPr>
      <t>(</t>
    </r>
    <r>
      <rPr>
        <b/>
        <sz val="10"/>
        <color rgb="FFFF2800"/>
        <rFont val="Consolas"/>
        <family val="3"/>
      </rPr>
      <t>720</t>
    </r>
    <r>
      <rPr>
        <b/>
        <sz val="10"/>
        <color rgb="FF808080"/>
        <rFont val="Consolas"/>
        <family val="3"/>
      </rPr>
      <t>),</t>
    </r>
  </si>
  <si>
    <t>納品先通称大字</t>
  </si>
  <si>
    <t>delivery_address_oaza</t>
  </si>
  <si>
    <r>
      <t xml:space="preserve">delivery_address_oaza </t>
    </r>
    <r>
      <rPr>
        <b/>
        <sz val="10"/>
        <color rgb="FF0080FF"/>
        <rFont val="Consolas"/>
        <family val="3"/>
      </rPr>
      <t>VARCHAR</t>
    </r>
    <r>
      <rPr>
        <b/>
        <sz val="10"/>
        <color rgb="FF808080"/>
        <rFont val="Consolas"/>
        <family val="3"/>
      </rPr>
      <t>(</t>
    </r>
    <r>
      <rPr>
        <b/>
        <sz val="10"/>
        <color rgb="FFFF2800"/>
        <rFont val="Consolas"/>
        <family val="3"/>
      </rPr>
      <t>720</t>
    </r>
    <r>
      <rPr>
        <b/>
        <sz val="10"/>
        <color rgb="FF808080"/>
        <rFont val="Consolas"/>
        <family val="3"/>
      </rPr>
      <t>),</t>
    </r>
  </si>
  <si>
    <t>納品先丁目字等</t>
    <phoneticPr fontId="2"/>
  </si>
  <si>
    <t>delivery_address_block</t>
  </si>
  <si>
    <r>
      <t xml:space="preserve">delivery_address_block </t>
    </r>
    <r>
      <rPr>
        <b/>
        <sz val="10"/>
        <color rgb="FF0080FF"/>
        <rFont val="Consolas"/>
        <family val="3"/>
      </rPr>
      <t>VARCHAR</t>
    </r>
    <r>
      <rPr>
        <b/>
        <sz val="10"/>
        <color rgb="FF808080"/>
        <rFont val="Consolas"/>
        <family val="3"/>
      </rPr>
      <t>(</t>
    </r>
    <r>
      <rPr>
        <b/>
        <sz val="10"/>
        <color rgb="FFFF2800"/>
        <rFont val="Consolas"/>
        <family val="3"/>
      </rPr>
      <t>720</t>
    </r>
    <r>
      <rPr>
        <b/>
        <sz val="10"/>
        <color rgb="FF808080"/>
        <rFont val="Consolas"/>
        <family val="3"/>
      </rPr>
      <t>),</t>
    </r>
  </si>
  <si>
    <t>納品先番地</t>
  </si>
  <si>
    <t>delivery_address_street</t>
  </si>
  <si>
    <r>
      <t xml:space="preserve">delivery_address_street </t>
    </r>
    <r>
      <rPr>
        <b/>
        <sz val="10"/>
        <color rgb="FF0080FF"/>
        <rFont val="Consolas"/>
        <family val="3"/>
      </rPr>
      <t>VARCHAR</t>
    </r>
    <r>
      <rPr>
        <b/>
        <sz val="10"/>
        <color rgb="FF808080"/>
        <rFont val="Consolas"/>
        <family val="3"/>
      </rPr>
      <t>(</t>
    </r>
    <r>
      <rPr>
        <b/>
        <sz val="10"/>
        <color rgb="FFFF2800"/>
        <rFont val="Consolas"/>
        <family val="3"/>
      </rPr>
      <t>720</t>
    </r>
    <r>
      <rPr>
        <b/>
        <sz val="10"/>
        <color rgb="FF808080"/>
        <rFont val="Consolas"/>
        <family val="3"/>
      </rPr>
      <t>),</t>
    </r>
  </si>
  <si>
    <t>納品先_部屋no</t>
  </si>
  <si>
    <t>delivery_room_no</t>
  </si>
  <si>
    <r>
      <t xml:space="preserve">delivery_room_no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</si>
  <si>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納品先電話番号</t>
  </si>
  <si>
    <t>delivery_phone_number</t>
  </si>
  <si>
    <r>
      <t xml:space="preserve">delivery_phone_number </t>
    </r>
    <r>
      <rPr>
        <b/>
        <sz val="10"/>
        <color rgb="FF0080FF"/>
        <rFont val="Consolas"/>
        <family val="3"/>
      </rPr>
      <t>VARCHAR</t>
    </r>
    <r>
      <rPr>
        <b/>
        <sz val="10"/>
        <color rgb="FF808080"/>
        <rFont val="Consolas"/>
        <family val="3"/>
      </rPr>
      <t>(</t>
    </r>
    <r>
      <rPr>
        <b/>
        <sz val="10"/>
        <color rgb="FFFF2800"/>
        <rFont val="Consolas"/>
        <family val="3"/>
      </rPr>
      <t>117</t>
    </r>
    <r>
      <rPr>
        <b/>
        <sz val="10"/>
        <color rgb="FF808080"/>
        <rFont val="Consolas"/>
        <family val="3"/>
      </rPr>
      <t>),</t>
    </r>
  </si>
  <si>
    <t>回線契約ステータス</t>
  </si>
  <si>
    <t>コード変換はコードマスタ「大区分コード：106」参照</t>
  </si>
  <si>
    <t>line_contract_status</t>
  </si>
  <si>
    <r>
      <t xml:space="preserve">line_contract_status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</si>
  <si>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回線契約ステータス名</t>
  </si>
  <si>
    <t>コードマスタの[内容]　「大区分コード：106」</t>
  </si>
  <si>
    <t>line_contract_status_name</t>
  </si>
  <si>
    <r>
      <t xml:space="preserve">line_contract_status_name </t>
    </r>
    <r>
      <rPr>
        <b/>
        <sz val="10"/>
        <color rgb="FF0080FF"/>
        <rFont val="Consolas"/>
        <family val="3"/>
      </rPr>
      <t>VARCHAR</t>
    </r>
    <r>
      <rPr>
        <b/>
        <sz val="10"/>
        <color rgb="FF808080"/>
        <rFont val="Consolas"/>
        <family val="3"/>
      </rPr>
      <t>(</t>
    </r>
    <r>
      <rPr>
        <b/>
        <sz val="10"/>
        <color rgb="FFFF2800"/>
        <rFont val="Consolas"/>
        <family val="3"/>
      </rPr>
      <t>300</t>
    </r>
    <r>
      <rPr>
        <b/>
        <sz val="10"/>
        <color rgb="FF808080"/>
        <rFont val="Consolas"/>
        <family val="3"/>
      </rPr>
      <t>),</t>
    </r>
  </si>
  <si>
    <t>利用期間</t>
  </si>
  <si>
    <t>単位：ヶ月</t>
  </si>
  <si>
    <t>usage_period</t>
  </si>
  <si>
    <r>
      <t xml:space="preserve">usage_period </t>
    </r>
    <r>
      <rPr>
        <b/>
        <sz val="10"/>
        <color rgb="FF0080FF"/>
        <rFont val="Consolas"/>
        <family val="3"/>
      </rPr>
      <t>DECIMAL</t>
    </r>
    <r>
      <rPr>
        <b/>
        <sz val="10"/>
        <color rgb="FF808080"/>
        <rFont val="Consolas"/>
        <family val="3"/>
      </rPr>
      <t>(</t>
    </r>
    <r>
      <rPr>
        <b/>
        <sz val="10"/>
        <color rgb="FFFF2800"/>
        <rFont val="Consolas"/>
        <family val="3"/>
      </rPr>
      <t>9</t>
    </r>
    <r>
      <rPr>
        <b/>
        <sz val="10"/>
        <color rgb="FF808080"/>
        <rFont val="Consolas"/>
        <family val="3"/>
      </rPr>
      <t>),</t>
    </r>
  </si>
  <si>
    <t>充当ポイント</t>
  </si>
  <si>
    <t>レンタル登録事務手数料に対する充当ポイント。 ※オーダ確定時の情報</t>
  </si>
  <si>
    <t>allocation_points</t>
  </si>
  <si>
    <r>
      <t xml:space="preserve">allocation_points </t>
    </r>
    <r>
      <rPr>
        <b/>
        <sz val="10"/>
        <color rgb="FF0080FF"/>
        <rFont val="Consolas"/>
        <family val="3"/>
      </rPr>
      <t>DECIMAL</t>
    </r>
    <r>
      <rPr>
        <b/>
        <sz val="10"/>
        <color rgb="FF808080"/>
        <rFont val="Consolas"/>
        <family val="3"/>
      </rPr>
      <t>(</t>
    </r>
    <r>
      <rPr>
        <b/>
        <sz val="10"/>
        <color rgb="FFFF2800"/>
        <rFont val="Consolas"/>
        <family val="3"/>
      </rPr>
      <t>30</t>
    </r>
    <r>
      <rPr>
        <b/>
        <sz val="10"/>
        <color rgb="FF808080"/>
        <rFont val="Consolas"/>
        <family val="3"/>
      </rPr>
      <t>),</t>
    </r>
  </si>
  <si>
    <t>契約ステータス</t>
  </si>
  <si>
    <t>コード変換はコードマスタ「大区分コード：107」参照</t>
  </si>
  <si>
    <t>contract_status</t>
  </si>
  <si>
    <r>
      <t xml:space="preserve">contract_status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</si>
  <si>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契約ステータス名</t>
  </si>
  <si>
    <t>コードマスタの[内容]　「大区分コード：107」</t>
  </si>
  <si>
    <t>contract_status_name</t>
  </si>
  <si>
    <r>
      <t xml:space="preserve">contract_status_name </t>
    </r>
    <r>
      <rPr>
        <b/>
        <sz val="10"/>
        <color rgb="FF0080FF"/>
        <rFont val="Consolas"/>
        <family val="3"/>
      </rPr>
      <t>VARCHAR</t>
    </r>
    <r>
      <rPr>
        <b/>
        <sz val="10"/>
        <color rgb="FF808080"/>
        <rFont val="Consolas"/>
        <family val="3"/>
      </rPr>
      <t>(</t>
    </r>
    <r>
      <rPr>
        <b/>
        <sz val="10"/>
        <color rgb="FFFF2800"/>
        <rFont val="Consolas"/>
        <family val="3"/>
      </rPr>
      <t>300</t>
    </r>
    <r>
      <rPr>
        <b/>
        <sz val="10"/>
        <color rgb="FF808080"/>
        <rFont val="Consolas"/>
        <family val="3"/>
      </rPr>
      <t>),</t>
    </r>
  </si>
  <si>
    <t>契約開始日</t>
  </si>
  <si>
    <t>YYYYMMDD形式</t>
  </si>
  <si>
    <t>contract_start_date</t>
  </si>
  <si>
    <r>
      <t xml:space="preserve">contract_start_date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</si>
  <si>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契約終了日</t>
  </si>
  <si>
    <t>contract_end_date</t>
  </si>
  <si>
    <r>
      <t xml:space="preserve">contract_end_date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</si>
  <si>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契約月数</t>
  </si>
  <si>
    <t>当面は「24ヶ月」のみ。 ※出荷指示のIFにてデフォルトで「24ヶ月」をセットする。</t>
  </si>
  <si>
    <t>contract_months</t>
  </si>
  <si>
    <r>
      <t xml:space="preserve">contract_months </t>
    </r>
    <r>
      <rPr>
        <b/>
        <sz val="10"/>
        <color rgb="FF0080FF"/>
        <rFont val="Consolas"/>
        <family val="3"/>
      </rPr>
      <t>DECIMAL</t>
    </r>
    <r>
      <rPr>
        <b/>
        <sz val="10"/>
        <color rgb="FF808080"/>
        <rFont val="Consolas"/>
        <family val="3"/>
      </rPr>
      <t>(</t>
    </r>
    <r>
      <rPr>
        <b/>
        <sz val="10"/>
        <color rgb="FFFF2800"/>
        <rFont val="Consolas"/>
        <family val="3"/>
      </rPr>
      <t>6</t>
    </r>
    <r>
      <rPr>
        <b/>
        <sz val="10"/>
        <color rgb="FF808080"/>
        <rFont val="Consolas"/>
        <family val="3"/>
      </rPr>
      <t>),</t>
    </r>
  </si>
  <si>
    <t>生成種別</t>
  </si>
  <si>
    <t>コード変換はコードマスタ「大区分コード：109」参照</t>
  </si>
  <si>
    <r>
      <t xml:space="preserve">generation_type </t>
    </r>
    <r>
      <rPr>
        <b/>
        <sz val="10"/>
        <color rgb="FF0080FF"/>
        <rFont val="Consolas"/>
        <family val="3"/>
      </rPr>
      <t>VARCHAR</t>
    </r>
    <r>
      <rPr>
        <b/>
        <sz val="10"/>
        <color rgb="FF808080"/>
        <rFont val="Consolas"/>
        <family val="3"/>
      </rPr>
      <t>(</t>
    </r>
    <r>
      <rPr>
        <b/>
        <sz val="10"/>
        <color rgb="FFFF2800"/>
        <rFont val="Consolas"/>
        <family val="3"/>
      </rPr>
      <t>9</t>
    </r>
    <r>
      <rPr>
        <b/>
        <sz val="10"/>
        <color rgb="FF808080"/>
        <rFont val="Consolas"/>
        <family val="3"/>
      </rPr>
      <t>),</t>
    </r>
  </si>
  <si>
    <t>生成種別名</t>
  </si>
  <si>
    <t>コードマスタの[内容]　「大区分コード：109」</t>
  </si>
  <si>
    <t>generation_type_name</t>
  </si>
  <si>
    <r>
      <t xml:space="preserve">generation_type_name </t>
    </r>
    <r>
      <rPr>
        <b/>
        <sz val="10"/>
        <color rgb="FF0080FF"/>
        <rFont val="Consolas"/>
        <family val="3"/>
      </rPr>
      <t>VARCHAR</t>
    </r>
    <r>
      <rPr>
        <b/>
        <sz val="10"/>
        <color rgb="FF808080"/>
        <rFont val="Consolas"/>
        <family val="3"/>
      </rPr>
      <t>(</t>
    </r>
    <r>
      <rPr>
        <b/>
        <sz val="10"/>
        <color rgb="FFFF2800"/>
        <rFont val="Consolas"/>
        <family val="3"/>
      </rPr>
      <t>300</t>
    </r>
    <r>
      <rPr>
        <b/>
        <sz val="10"/>
        <color rgb="FF808080"/>
        <rFont val="Consolas"/>
        <family val="3"/>
      </rPr>
      <t>),</t>
    </r>
  </si>
  <si>
    <t>解約種別</t>
  </si>
  <si>
    <t>コード変換はコードマスタ「大区分コード：110」参照</t>
  </si>
  <si>
    <t>cancellation_type</t>
  </si>
  <si>
    <r>
      <t xml:space="preserve">cancellation_type </t>
    </r>
    <r>
      <rPr>
        <b/>
        <sz val="10"/>
        <color rgb="FF0080FF"/>
        <rFont val="Consolas"/>
        <family val="3"/>
      </rPr>
      <t>VARCHAR</t>
    </r>
    <r>
      <rPr>
        <b/>
        <sz val="10"/>
        <color rgb="FF808080"/>
        <rFont val="Consolas"/>
        <family val="3"/>
      </rPr>
      <t>(</t>
    </r>
    <r>
      <rPr>
        <b/>
        <sz val="10"/>
        <color rgb="FFFF2800"/>
        <rFont val="Consolas"/>
        <family val="3"/>
      </rPr>
      <t>9</t>
    </r>
    <r>
      <rPr>
        <b/>
        <sz val="10"/>
        <color rgb="FF808080"/>
        <rFont val="Consolas"/>
        <family val="3"/>
      </rPr>
      <t>),</t>
    </r>
  </si>
  <si>
    <t>解約種別名</t>
  </si>
  <si>
    <t>コードマスタの[内容]　「大区分コード：110」</t>
  </si>
  <si>
    <t>cancellation_type_name</t>
  </si>
  <si>
    <r>
      <t xml:space="preserve">cancellation_type_name </t>
    </r>
    <r>
      <rPr>
        <b/>
        <sz val="10"/>
        <color rgb="FF0080FF"/>
        <rFont val="Consolas"/>
        <family val="3"/>
      </rPr>
      <t>VARCHAR</t>
    </r>
    <r>
      <rPr>
        <b/>
        <sz val="10"/>
        <color rgb="FF808080"/>
        <rFont val="Consolas"/>
        <family val="3"/>
      </rPr>
      <t>(</t>
    </r>
    <r>
      <rPr>
        <b/>
        <sz val="10"/>
        <color rgb="FFFF2800"/>
        <rFont val="Consolas"/>
        <family val="3"/>
      </rPr>
      <t>300</t>
    </r>
    <r>
      <rPr>
        <b/>
        <sz val="10"/>
        <color rgb="FF808080"/>
        <rFont val="Consolas"/>
        <family val="3"/>
      </rPr>
      <t>),</t>
    </r>
  </si>
  <si>
    <t>解約日</t>
  </si>
  <si>
    <t>cancellation_date</t>
    <phoneticPr fontId="2"/>
  </si>
  <si>
    <r>
      <t xml:space="preserve">cancellation_date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</si>
  <si>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g3解約時オーダ番号</t>
  </si>
  <si>
    <t>買い増し／解約オーダに基づく自動解約のトリガーとなったオーダ番号</t>
  </si>
  <si>
    <t>g3_cancellation_order_number</t>
  </si>
  <si>
    <r>
      <t xml:space="preserve">g3_cancellation_order_number </t>
    </r>
    <r>
      <rPr>
        <b/>
        <sz val="10"/>
        <color rgb="FF0080FF"/>
        <rFont val="Consolas"/>
        <family val="3"/>
      </rPr>
      <t>VARCHAR</t>
    </r>
    <r>
      <rPr>
        <b/>
        <sz val="10"/>
        <color rgb="FF808080"/>
        <rFont val="Consolas"/>
        <family val="3"/>
      </rPr>
      <t>(</t>
    </r>
    <r>
      <rPr>
        <b/>
        <sz val="10"/>
        <color rgb="FFFF2800"/>
        <rFont val="Consolas"/>
        <family val="3"/>
      </rPr>
      <t>48</t>
    </r>
    <r>
      <rPr>
        <b/>
        <sz val="10"/>
        <color rgb="FF808080"/>
        <rFont val="Consolas"/>
        <family val="3"/>
      </rPr>
      <t>),</t>
    </r>
  </si>
  <si>
    <t>キャンセル日</t>
  </si>
  <si>
    <t>order_cancellation_date</t>
    <phoneticPr fontId="2"/>
  </si>
  <si>
    <r>
      <t xml:space="preserve">order_cancellation_date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</si>
  <si>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移動機出荷有無</t>
  </si>
  <si>
    <t>すべて「Ｙ」のはず。 1：出荷有(Y) 0：出荷無(N)</t>
  </si>
  <si>
    <t>mobile_device_shipped_flg</t>
    <phoneticPr fontId="2"/>
  </si>
  <si>
    <r>
      <t xml:space="preserve">mobile_device_shipped_flg </t>
    </r>
    <r>
      <rPr>
        <b/>
        <sz val="10"/>
        <color rgb="FF0080FF"/>
        <rFont val="Consolas"/>
        <family val="3"/>
      </rPr>
      <t>VARCHAR</t>
    </r>
    <r>
      <rPr>
        <b/>
        <sz val="10"/>
        <color rgb="FF808080"/>
        <rFont val="Consolas"/>
        <family val="3"/>
      </rPr>
      <t>(</t>
    </r>
    <r>
      <rPr>
        <b/>
        <sz val="10"/>
        <color rgb="FFFF2800"/>
        <rFont val="Consolas"/>
        <family val="3"/>
      </rPr>
      <t>3</t>
    </r>
    <r>
      <rPr>
        <b/>
        <sz val="10"/>
        <color rgb="FF808080"/>
        <rFont val="Consolas"/>
        <family val="3"/>
      </rPr>
      <t>),</t>
    </r>
  </si>
  <si>
    <t>移動機出荷有無名</t>
  </si>
  <si>
    <t>↑の日本語名</t>
  </si>
  <si>
    <t>mobile_device_shipped</t>
    <phoneticPr fontId="2"/>
  </si>
  <si>
    <r>
      <t xml:space="preserve">mobile_device_shipped </t>
    </r>
    <r>
      <rPr>
        <b/>
        <sz val="10"/>
        <color rgb="FF0080FF"/>
        <rFont val="Consolas"/>
        <family val="3"/>
      </rPr>
      <t>VARCHAR</t>
    </r>
    <r>
      <rPr>
        <b/>
        <sz val="10"/>
        <color rgb="FF808080"/>
        <rFont val="Consolas"/>
        <family val="3"/>
      </rPr>
      <t>(</t>
    </r>
    <r>
      <rPr>
        <b/>
        <sz val="10"/>
        <color rgb="FFFF2800"/>
        <rFont val="Consolas"/>
        <family val="3"/>
      </rPr>
      <t>3</t>
    </r>
    <r>
      <rPr>
        <b/>
        <sz val="10"/>
        <color rgb="FF808080"/>
        <rFont val="Consolas"/>
        <family val="3"/>
      </rPr>
      <t>),</t>
    </r>
  </si>
  <si>
    <t>usim出荷有無</t>
  </si>
  <si>
    <t>処理分岐判定用（出荷指示のＩＦ受信時にセットする） 1：出荷有 0：出荷無</t>
  </si>
  <si>
    <t>usim_shipped_flg</t>
    <phoneticPr fontId="2"/>
  </si>
  <si>
    <r>
      <t xml:space="preserve">usim_shipped_flg </t>
    </r>
    <r>
      <rPr>
        <b/>
        <sz val="10"/>
        <color rgb="FF0080FF"/>
        <rFont val="Consolas"/>
        <family val="3"/>
      </rPr>
      <t>VARCHAR</t>
    </r>
    <r>
      <rPr>
        <b/>
        <sz val="10"/>
        <color rgb="FF808080"/>
        <rFont val="Consolas"/>
        <family val="3"/>
      </rPr>
      <t>(</t>
    </r>
    <r>
      <rPr>
        <b/>
        <sz val="10"/>
        <color rgb="FFFF2800"/>
        <rFont val="Consolas"/>
        <family val="3"/>
      </rPr>
      <t>3</t>
    </r>
    <r>
      <rPr>
        <b/>
        <sz val="10"/>
        <color rgb="FF808080"/>
        <rFont val="Consolas"/>
        <family val="3"/>
      </rPr>
      <t>),</t>
    </r>
  </si>
  <si>
    <t>usim出荷有無名</t>
  </si>
  <si>
    <t>usim_shipped</t>
  </si>
  <si>
    <r>
      <t xml:space="preserve">usim_shipped </t>
    </r>
    <r>
      <rPr>
        <b/>
        <sz val="10"/>
        <color rgb="FF0080FF"/>
        <rFont val="Consolas"/>
        <family val="3"/>
      </rPr>
      <t>VARCHAR</t>
    </r>
    <r>
      <rPr>
        <b/>
        <sz val="10"/>
        <color rgb="FF808080"/>
        <rFont val="Consolas"/>
        <family val="3"/>
      </rPr>
      <t>(</t>
    </r>
    <r>
      <rPr>
        <b/>
        <sz val="10"/>
        <color rgb="FFFF2800"/>
        <rFont val="Consolas"/>
        <family val="3"/>
      </rPr>
      <t>3</t>
    </r>
    <r>
      <rPr>
        <b/>
        <sz val="10"/>
        <color rgb="FF808080"/>
        <rFont val="Consolas"/>
        <family val="3"/>
      </rPr>
      <t>),</t>
    </r>
  </si>
  <si>
    <t>倉庫出荷日</t>
  </si>
  <si>
    <t>warehouse_shipment_date</t>
  </si>
  <si>
    <r>
      <t xml:space="preserve">warehouse_shipment_date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</si>
  <si>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g3出荷取込日</t>
  </si>
  <si>
    <t>g3_shipment_import_date</t>
  </si>
  <si>
    <r>
      <t xml:space="preserve">g3_shipment_import_date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</si>
  <si>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回線開通日</t>
  </si>
  <si>
    <t>line_activation_date</t>
  </si>
  <si>
    <r>
      <t xml:space="preserve">line_activation_date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</si>
  <si>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毎回、BC洗替によりセット。 P_Mの支払方法、申込解除時等スペースの場合あり。</t>
  </si>
  <si>
    <r>
      <t xml:space="preserve">payment_method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</si>
  <si>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クレジット会社コード</t>
  </si>
  <si>
    <t>毎回、BC洗替によりセット。 P_Mのクレジット会社コード、支払方法が「04：クレジット」の場合のみ設定する。 申込解除時等スペースの場合あり。</t>
  </si>
  <si>
    <t>credit_card_company_code</t>
  </si>
  <si>
    <r>
      <t xml:space="preserve">credit_card_company_code </t>
    </r>
    <r>
      <rPr>
        <b/>
        <sz val="10"/>
        <color rgb="FF0080FF"/>
        <rFont val="Consolas"/>
        <family val="3"/>
      </rPr>
      <t>VARCHAR</t>
    </r>
    <r>
      <rPr>
        <b/>
        <sz val="10"/>
        <color rgb="FF808080"/>
        <rFont val="Consolas"/>
        <family val="3"/>
      </rPr>
      <t>(</t>
    </r>
    <r>
      <rPr>
        <b/>
        <sz val="10"/>
        <color rgb="FFFF2800"/>
        <rFont val="Consolas"/>
        <family val="3"/>
      </rPr>
      <t>15</t>
    </r>
    <r>
      <rPr>
        <b/>
        <sz val="10"/>
        <color rgb="FF808080"/>
        <rFont val="Consolas"/>
        <family val="3"/>
      </rPr>
      <t>),</t>
    </r>
  </si>
  <si>
    <t>bc情報更新</t>
  </si>
  <si>
    <t>YYYYMMDD形式。 群番号、支払方法、クレジット会社コードを更新都度でセット。</t>
  </si>
  <si>
    <t>bc_information_update</t>
  </si>
  <si>
    <r>
      <t xml:space="preserve">bc_information_update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</si>
  <si>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bc情報_b#_msn変換日</t>
  </si>
  <si>
    <t>YYYYMMDD形式。 B#/MSNを更新都度でセット。</t>
  </si>
  <si>
    <t>bc_information_bsharp_msn_conversion_date</t>
  </si>
  <si>
    <r>
      <t xml:space="preserve">bc_information_bsharp_msn_conversion_date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</si>
  <si>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bc情報_解約変換日</t>
  </si>
  <si>
    <t>bc_information_cancellation_conversion_date</t>
  </si>
  <si>
    <r>
      <t xml:space="preserve">bc_information_cancellation_conversion_date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</si>
  <si>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登録日</t>
  </si>
  <si>
    <t>初回登録時に現在日付をセット</t>
  </si>
  <si>
    <t>registration_date</t>
  </si>
  <si>
    <r>
      <t xml:space="preserve">registration_date </t>
    </r>
    <r>
      <rPr>
        <b/>
        <sz val="10"/>
        <color rgb="FF0080FF"/>
        <rFont val="Consolas"/>
        <family val="3"/>
      </rPr>
      <t>VARCHAR</t>
    </r>
    <r>
      <rPr>
        <b/>
        <sz val="10"/>
        <color rgb="FF808080"/>
        <rFont val="Consolas"/>
        <family val="3"/>
      </rPr>
      <t>(</t>
    </r>
    <r>
      <rPr>
        <b/>
        <sz val="10"/>
        <color rgb="FFFF2800"/>
        <rFont val="Consolas"/>
        <family val="3"/>
      </rPr>
      <t>69</t>
    </r>
    <r>
      <rPr>
        <b/>
        <sz val="10"/>
        <color rgb="FF808080"/>
        <rFont val="Consolas"/>
        <family val="3"/>
      </rPr>
      <t>),</t>
    </r>
  </si>
  <si>
    <t>登録ユーザ</t>
  </si>
  <si>
    <t>初回登録時に担当者コード又はプログラムIDをセット。</t>
  </si>
  <si>
    <t>registered_user</t>
  </si>
  <si>
    <r>
      <t xml:space="preserve">registered_user </t>
    </r>
    <r>
      <rPr>
        <b/>
        <sz val="10"/>
        <color rgb="FF0080FF"/>
        <rFont val="Consolas"/>
        <family val="3"/>
      </rPr>
      <t>VARCHAR</t>
    </r>
    <r>
      <rPr>
        <b/>
        <sz val="10"/>
        <color rgb="FF808080"/>
        <rFont val="Consolas"/>
        <family val="3"/>
      </rPr>
      <t>(</t>
    </r>
    <r>
      <rPr>
        <b/>
        <sz val="10"/>
        <color rgb="FFFF2800"/>
        <rFont val="Consolas"/>
        <family val="3"/>
      </rPr>
      <t>96</t>
    </r>
    <r>
      <rPr>
        <b/>
        <sz val="10"/>
        <color rgb="FF808080"/>
        <rFont val="Consolas"/>
        <family val="3"/>
      </rPr>
      <t>),</t>
    </r>
  </si>
  <si>
    <t>初回登録時及び更新時に現在日付をセット</t>
  </si>
  <si>
    <t>update_date</t>
  </si>
  <si>
    <r>
      <t xml:space="preserve">update_date </t>
    </r>
    <r>
      <rPr>
        <b/>
        <sz val="10"/>
        <color rgb="FF0080FF"/>
        <rFont val="Consolas"/>
        <family val="3"/>
      </rPr>
      <t>VARCHAR</t>
    </r>
    <r>
      <rPr>
        <b/>
        <sz val="10"/>
        <color rgb="FF808080"/>
        <rFont val="Consolas"/>
        <family val="3"/>
      </rPr>
      <t>(</t>
    </r>
    <r>
      <rPr>
        <b/>
        <sz val="10"/>
        <color rgb="FFFF2800"/>
        <rFont val="Consolas"/>
        <family val="3"/>
      </rPr>
      <t>69</t>
    </r>
    <r>
      <rPr>
        <b/>
        <sz val="10"/>
        <color rgb="FF808080"/>
        <rFont val="Consolas"/>
        <family val="3"/>
      </rPr>
      <t>),</t>
    </r>
  </si>
  <si>
    <t>更新ユーザ</t>
  </si>
  <si>
    <t>初回登録時及び更新時に担当者コード又はプログラムIDをセット。</t>
  </si>
  <si>
    <t>updated_user</t>
  </si>
  <si>
    <r>
      <t xml:space="preserve">updated_user </t>
    </r>
    <r>
      <rPr>
        <b/>
        <sz val="10"/>
        <color rgb="FF0080FF"/>
        <rFont val="Consolas"/>
        <family val="3"/>
      </rPr>
      <t>VARCHAR</t>
    </r>
    <r>
      <rPr>
        <b/>
        <sz val="10"/>
        <color rgb="FF808080"/>
        <rFont val="Consolas"/>
        <family val="3"/>
      </rPr>
      <t>(</t>
    </r>
    <r>
      <rPr>
        <b/>
        <sz val="10"/>
        <color rgb="FFFF2800"/>
        <rFont val="Consolas"/>
        <family val="3"/>
      </rPr>
      <t>96</t>
    </r>
    <r>
      <rPr>
        <b/>
        <sz val="10"/>
        <color rgb="FF808080"/>
        <rFont val="Consolas"/>
        <family val="3"/>
      </rPr>
      <t>),</t>
    </r>
  </si>
  <si>
    <t>summit統一企業番号</t>
  </si>
  <si>
    <t>summit_unified_company_number</t>
  </si>
  <si>
    <r>
      <t xml:space="preserve">summit_unified_company_number </t>
    </r>
    <r>
      <rPr>
        <b/>
        <sz val="10"/>
        <color rgb="FF0080FF"/>
        <rFont val="Consolas"/>
        <family val="3"/>
      </rPr>
      <t>VARCHAR</t>
    </r>
    <r>
      <rPr>
        <b/>
        <sz val="10"/>
        <color rgb="FF808080"/>
        <rFont val="Consolas"/>
        <family val="3"/>
      </rPr>
      <t>(</t>
    </r>
    <r>
      <rPr>
        <b/>
        <sz val="10"/>
        <color rgb="FFFF2800"/>
        <rFont val="Consolas"/>
        <family val="3"/>
      </rPr>
      <t>48</t>
    </r>
    <r>
      <rPr>
        <b/>
        <sz val="10"/>
        <color rgb="FF808080"/>
        <rFont val="Consolas"/>
        <family val="3"/>
      </rPr>
      <t>),</t>
    </r>
  </si>
  <si>
    <t>summit統一企業名</t>
  </si>
  <si>
    <t>summit_unified_company_name</t>
  </si>
  <si>
    <r>
      <t xml:space="preserve">summit_unified_company_name </t>
    </r>
    <r>
      <rPr>
        <b/>
        <sz val="10"/>
        <color rgb="FF0080FF"/>
        <rFont val="Consolas"/>
        <family val="3"/>
      </rPr>
      <t>VARCHAR</t>
    </r>
    <r>
      <rPr>
        <b/>
        <sz val="10"/>
        <color rgb="FF808080"/>
        <rFont val="Consolas"/>
        <family val="3"/>
      </rPr>
      <t>(</t>
    </r>
    <r>
      <rPr>
        <b/>
        <sz val="10"/>
        <color rgb="FFFF2800"/>
        <rFont val="Consolas"/>
        <family val="3"/>
      </rPr>
      <t>2295</t>
    </r>
    <r>
      <rPr>
        <b/>
        <sz val="10"/>
        <color rgb="FF808080"/>
        <rFont val="Consolas"/>
        <family val="3"/>
      </rPr>
      <t>),</t>
    </r>
  </si>
  <si>
    <t>summit名義変更日</t>
  </si>
  <si>
    <t>summit_owner_change_date</t>
    <phoneticPr fontId="2"/>
  </si>
  <si>
    <r>
      <t xml:space="preserve">summit_owner_change_date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</si>
  <si>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機種変更日</t>
  </si>
  <si>
    <t>model_change_date</t>
  </si>
  <si>
    <r>
      <t xml:space="preserve">model_change_date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</si>
  <si>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summit名称変更日</t>
  </si>
  <si>
    <t>summit_name_change_date</t>
  </si>
  <si>
    <r>
      <t xml:space="preserve">summit_name_change_date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</si>
  <si>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転レンタル契約</t>
  </si>
  <si>
    <t>コード変換はコードマスタ「大区分コード：112」参照</t>
  </si>
  <si>
    <t>rental_contract_substitution</t>
  </si>
  <si>
    <r>
      <t xml:space="preserve">rental_contract_substitution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</si>
  <si>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転レンタル契約名</t>
  </si>
  <si>
    <t>コードマスタの[内容]　「大区分コード：112」</t>
  </si>
  <si>
    <t>rental_contract_substitution_name</t>
  </si>
  <si>
    <r>
      <t xml:space="preserve">rental_contract_substitution_name </t>
    </r>
    <r>
      <rPr>
        <b/>
        <sz val="10"/>
        <color rgb="FF0080FF"/>
        <rFont val="Consolas"/>
        <family val="3"/>
      </rPr>
      <t>VARCHAR</t>
    </r>
    <r>
      <rPr>
        <b/>
        <sz val="10"/>
        <color rgb="FF808080"/>
        <rFont val="Consolas"/>
        <family val="3"/>
      </rPr>
      <t>(</t>
    </r>
    <r>
      <rPr>
        <b/>
        <sz val="10"/>
        <color rgb="FFFF2800"/>
        <rFont val="Consolas"/>
        <family val="3"/>
      </rPr>
      <t>300</t>
    </r>
    <r>
      <rPr>
        <b/>
        <sz val="10"/>
        <color rgb="FF808080"/>
        <rFont val="Consolas"/>
        <family val="3"/>
      </rPr>
      <t>),</t>
    </r>
  </si>
  <si>
    <t>再レンタル回数</t>
  </si>
  <si>
    <t>再ﾚﾝﾀﾙ契約した回数</t>
  </si>
  <si>
    <t>number_of_re_rentals</t>
  </si>
  <si>
    <r>
      <t xml:space="preserve">number_of_re_rentals </t>
    </r>
    <r>
      <rPr>
        <b/>
        <sz val="10"/>
        <color rgb="FF0080FF"/>
        <rFont val="Consolas"/>
        <family val="3"/>
      </rPr>
      <t>DECIMAL</t>
    </r>
    <r>
      <rPr>
        <b/>
        <sz val="10"/>
        <color rgb="FF808080"/>
        <rFont val="Consolas"/>
        <family val="3"/>
      </rPr>
      <t>(</t>
    </r>
    <r>
      <rPr>
        <b/>
        <sz val="10"/>
        <color rgb="FFFF2800"/>
        <rFont val="Consolas"/>
        <family val="3"/>
      </rPr>
      <t>9</t>
    </r>
    <r>
      <rPr>
        <b/>
        <sz val="10"/>
        <color rgb="FF808080"/>
        <rFont val="Consolas"/>
        <family val="3"/>
      </rPr>
      <t>),</t>
    </r>
  </si>
  <si>
    <t>再レンタル契約開始日</t>
  </si>
  <si>
    <t>re_rental_contract_start_date</t>
  </si>
  <si>
    <r>
      <t xml:space="preserve">re_rental_contract_start_date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</si>
  <si>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ポイント利用可否区分</t>
  </si>
  <si>
    <t>0：ポイント利用不可 1：ポイント利用可</t>
  </si>
  <si>
    <t>point_availability_category</t>
  </si>
  <si>
    <r>
      <t xml:space="preserve">point_availability_category </t>
    </r>
    <r>
      <rPr>
        <b/>
        <sz val="10"/>
        <color rgb="FF0080FF"/>
        <rFont val="Consolas"/>
        <family val="3"/>
      </rPr>
      <t>VARCHAR</t>
    </r>
    <r>
      <rPr>
        <b/>
        <sz val="10"/>
        <color rgb="FF808080"/>
        <rFont val="Consolas"/>
        <family val="3"/>
      </rPr>
      <t>(</t>
    </r>
    <r>
      <rPr>
        <b/>
        <sz val="10"/>
        <color rgb="FFFF2800"/>
        <rFont val="Consolas"/>
        <family val="3"/>
      </rPr>
      <t>3</t>
    </r>
    <r>
      <rPr>
        <b/>
        <sz val="10"/>
        <color rgb="FF808080"/>
        <rFont val="Consolas"/>
        <family val="3"/>
      </rPr>
      <t>),</t>
    </r>
  </si>
  <si>
    <t>ポイント利用可否kbn名</t>
  </si>
  <si>
    <t>point_availability_kbn_name</t>
  </si>
  <si>
    <r>
      <t xml:space="preserve">point_availability_kbn_name </t>
    </r>
    <r>
      <rPr>
        <b/>
        <sz val="10"/>
        <color rgb="FF0080FF"/>
        <rFont val="Consolas"/>
        <family val="3"/>
      </rPr>
      <t>VARCHAR</t>
    </r>
    <r>
      <rPr>
        <b/>
        <sz val="10"/>
        <color rgb="FF808080"/>
        <rFont val="Consolas"/>
        <family val="3"/>
      </rPr>
      <t>(</t>
    </r>
    <r>
      <rPr>
        <b/>
        <sz val="10"/>
        <color rgb="FFFF2800"/>
        <rFont val="Consolas"/>
        <family val="3"/>
      </rPr>
      <t>3</t>
    </r>
    <r>
      <rPr>
        <b/>
        <sz val="10"/>
        <color rgb="FF808080"/>
        <rFont val="Consolas"/>
        <family val="3"/>
      </rPr>
      <t>),</t>
    </r>
  </si>
  <si>
    <t>レンタル用途</t>
  </si>
  <si>
    <t>コード変換はコードマスタ「大区分コード：115」参照</t>
  </si>
  <si>
    <t>rental_purpose</t>
  </si>
  <si>
    <r>
      <t xml:space="preserve">rental_purpose </t>
    </r>
    <r>
      <rPr>
        <b/>
        <sz val="10"/>
        <color rgb="FF0080FF"/>
        <rFont val="Consolas"/>
        <family val="3"/>
      </rPr>
      <t>VARCHAR</t>
    </r>
    <r>
      <rPr>
        <b/>
        <sz val="10"/>
        <color rgb="FF808080"/>
        <rFont val="Consolas"/>
        <family val="3"/>
      </rPr>
      <t>(</t>
    </r>
    <r>
      <rPr>
        <b/>
        <sz val="10"/>
        <color rgb="FFFF2800"/>
        <rFont val="Consolas"/>
        <family val="3"/>
      </rPr>
      <t>3</t>
    </r>
    <r>
      <rPr>
        <b/>
        <sz val="10"/>
        <color rgb="FF808080"/>
        <rFont val="Consolas"/>
        <family val="3"/>
      </rPr>
      <t>),</t>
    </r>
  </si>
  <si>
    <t>レンタル用途名</t>
  </si>
  <si>
    <t>コードマスタの[内容]　「大区分コード：115」</t>
  </si>
  <si>
    <t>rental_purpose_name</t>
  </si>
  <si>
    <r>
      <t xml:space="preserve">rental_purpose_name </t>
    </r>
    <r>
      <rPr>
        <b/>
        <sz val="10"/>
        <color rgb="FF0080FF"/>
        <rFont val="Consolas"/>
        <family val="3"/>
      </rPr>
      <t>VARCHAR</t>
    </r>
    <r>
      <rPr>
        <b/>
        <sz val="10"/>
        <color rgb="FF808080"/>
        <rFont val="Consolas"/>
        <family val="3"/>
      </rPr>
      <t>(</t>
    </r>
    <r>
      <rPr>
        <b/>
        <sz val="10"/>
        <color rgb="FFFF2800"/>
        <rFont val="Consolas"/>
        <family val="3"/>
      </rPr>
      <t>300</t>
    </r>
    <r>
      <rPr>
        <b/>
        <sz val="10"/>
        <color rgb="FF808080"/>
        <rFont val="Consolas"/>
        <family val="3"/>
      </rPr>
      <t>),</t>
    </r>
  </si>
  <si>
    <t>SBMリース会社コード</t>
  </si>
  <si>
    <t>sbm_lease_company_code</t>
  </si>
  <si>
    <r>
      <t xml:space="preserve">sbm_lease_company_code </t>
    </r>
    <r>
      <rPr>
        <b/>
        <sz val="10"/>
        <color rgb="FF0080FF"/>
        <rFont val="Consolas"/>
        <family val="3"/>
      </rPr>
      <t>VARCHAR</t>
    </r>
    <r>
      <rPr>
        <b/>
        <sz val="10"/>
        <color rgb="FF808080"/>
        <rFont val="Consolas"/>
        <family val="3"/>
      </rPr>
      <t>(</t>
    </r>
    <r>
      <rPr>
        <b/>
        <sz val="10"/>
        <color rgb="FFFF2800"/>
        <rFont val="Consolas"/>
        <family val="3"/>
      </rPr>
      <t>27</t>
    </r>
    <r>
      <rPr>
        <b/>
        <sz val="10"/>
        <color rgb="FF808080"/>
        <rFont val="Consolas"/>
        <family val="3"/>
      </rPr>
      <t>),</t>
    </r>
  </si>
  <si>
    <t>コード変換はコードマスタ「大区分コード：116」参照</t>
  </si>
  <si>
    <r>
      <t xml:space="preserve">business_operator_category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</si>
  <si>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事業者区分名</t>
  </si>
  <si>
    <t>コードマスタの[内容]　「大区分コード：116」</t>
  </si>
  <si>
    <t>business_operator_category_name</t>
  </si>
  <si>
    <r>
      <t xml:space="preserve">business_operator_category_name </t>
    </r>
    <r>
      <rPr>
        <b/>
        <sz val="10"/>
        <color rgb="FF0080FF"/>
        <rFont val="Consolas"/>
        <family val="3"/>
      </rPr>
      <t>VARCHAR</t>
    </r>
    <r>
      <rPr>
        <b/>
        <sz val="10"/>
        <color rgb="FF808080"/>
        <rFont val="Consolas"/>
        <family val="3"/>
      </rPr>
      <t>(</t>
    </r>
    <r>
      <rPr>
        <b/>
        <sz val="10"/>
        <color rgb="FFFF2800"/>
        <rFont val="Consolas"/>
        <family val="3"/>
      </rPr>
      <t>300</t>
    </r>
    <r>
      <rPr>
        <b/>
        <sz val="10"/>
        <color rgb="FF808080"/>
        <rFont val="Consolas"/>
        <family val="3"/>
      </rPr>
      <t>),</t>
    </r>
  </si>
  <si>
    <t>キャンペーンコード</t>
  </si>
  <si>
    <t>キャンペーンコードを保持</t>
  </si>
  <si>
    <t>campaign_code</t>
  </si>
  <si>
    <r>
      <t xml:space="preserve">campaign_code </t>
    </r>
    <r>
      <rPr>
        <b/>
        <sz val="10"/>
        <color rgb="FF0080FF"/>
        <rFont val="Consolas"/>
        <family val="3"/>
      </rPr>
      <t>VARCHAR</t>
    </r>
    <r>
      <rPr>
        <b/>
        <sz val="10"/>
        <color rgb="FF808080"/>
        <rFont val="Consolas"/>
        <family val="3"/>
      </rPr>
      <t>(</t>
    </r>
    <r>
      <rPr>
        <b/>
        <sz val="10"/>
        <color rgb="FFFF2800"/>
        <rFont val="Consolas"/>
        <family val="3"/>
      </rPr>
      <t>36</t>
    </r>
    <r>
      <rPr>
        <b/>
        <sz val="10"/>
        <color rgb="FF808080"/>
        <rFont val="Consolas"/>
        <family val="3"/>
      </rPr>
      <t>),</t>
    </r>
  </si>
  <si>
    <t>レンタル契約形態</t>
  </si>
  <si>
    <t>2024/05/22 追加</t>
  </si>
  <si>
    <t>rental_contract_type</t>
  </si>
  <si>
    <r>
      <t xml:space="preserve">rental_contract_type </t>
    </r>
    <r>
      <rPr>
        <b/>
        <sz val="10"/>
        <color rgb="FF0080FF"/>
        <rFont val="Consolas"/>
        <family val="3"/>
      </rPr>
      <t>VARCHAR</t>
    </r>
    <r>
      <rPr>
        <b/>
        <sz val="10"/>
        <color rgb="FF808080"/>
        <rFont val="Consolas"/>
        <family val="3"/>
      </rPr>
      <t>(</t>
    </r>
    <r>
      <rPr>
        <b/>
        <sz val="10"/>
        <color rgb="FFFF2800"/>
        <rFont val="Consolas"/>
        <family val="3"/>
      </rPr>
      <t>3</t>
    </r>
    <r>
      <rPr>
        <b/>
        <sz val="10"/>
        <color rgb="FF808080"/>
        <rFont val="Consolas"/>
        <family val="3"/>
      </rPr>
      <t>),</t>
    </r>
  </si>
  <si>
    <t>契約年月</t>
  </si>
  <si>
    <t>累積時の処理月</t>
  </si>
  <si>
    <t>contract_year_and_month</t>
  </si>
  <si>
    <r>
      <t xml:space="preserve">contract_year_and_month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</si>
  <si>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端末取得原価</t>
  </si>
  <si>
    <t>9,0</t>
  </si>
  <si>
    <t>契約年月の端末コスト</t>
  </si>
  <si>
    <t>device_acquisition_cost</t>
  </si>
  <si>
    <r>
      <t xml:space="preserve">device_acquisition_cost </t>
    </r>
    <r>
      <rPr>
        <b/>
        <sz val="10"/>
        <color rgb="FF0080FF"/>
        <rFont val="Consolas"/>
        <family val="3"/>
      </rPr>
      <t>DECIMAL</t>
    </r>
    <r>
      <rPr>
        <b/>
        <sz val="10"/>
        <color rgb="FF808080"/>
        <rFont val="Consolas"/>
        <family val="3"/>
      </rPr>
      <t>(</t>
    </r>
    <r>
      <rPr>
        <b/>
        <sz val="10"/>
        <color rgb="FFFF2800"/>
        <rFont val="Consolas"/>
        <family val="3"/>
      </rPr>
      <t>9</t>
    </r>
    <r>
      <rPr>
        <b/>
        <sz val="10"/>
        <color rgb="FF808080"/>
        <rFont val="Consolas"/>
        <family val="3"/>
      </rPr>
      <t>,</t>
    </r>
    <r>
      <rPr>
        <b/>
        <sz val="10"/>
        <color rgb="FFFF2800"/>
        <rFont val="Consolas"/>
        <family val="3"/>
      </rPr>
      <t>0</t>
    </r>
    <r>
      <rPr>
        <b/>
        <sz val="10"/>
        <color rgb="FF808080"/>
        <rFont val="Consolas"/>
        <family val="3"/>
      </rPr>
      <t>),</t>
    </r>
  </si>
  <si>
    <t>端末取得原価分割計上額</t>
  </si>
  <si>
    <t>11,2</t>
  </si>
  <si>
    <t>端末コスト÷契約月数（小数点以下第3位四捨五入）</t>
  </si>
  <si>
    <t>device_acquisition_cost_amount_recorded</t>
  </si>
  <si>
    <r>
      <t xml:space="preserve">device_acquisition_cost_amount_recorded </t>
    </r>
    <r>
      <rPr>
        <b/>
        <sz val="10"/>
        <color rgb="FF0080FF"/>
        <rFont val="Consolas"/>
        <family val="3"/>
      </rPr>
      <t>DECIMAL</t>
    </r>
    <r>
      <rPr>
        <b/>
        <sz val="10"/>
        <color rgb="FF808080"/>
        <rFont val="Consolas"/>
        <family val="3"/>
      </rPr>
      <t>(</t>
    </r>
    <r>
      <rPr>
        <b/>
        <sz val="10"/>
        <color rgb="FFFF2800"/>
        <rFont val="Consolas"/>
        <family val="3"/>
      </rPr>
      <t>11</t>
    </r>
    <r>
      <rPr>
        <b/>
        <sz val="10"/>
        <color rgb="FF808080"/>
        <rFont val="Consolas"/>
        <family val="3"/>
      </rPr>
      <t>,</t>
    </r>
    <r>
      <rPr>
        <b/>
        <sz val="10"/>
        <color rgb="FFFF2800"/>
        <rFont val="Consolas"/>
        <family val="3"/>
      </rPr>
      <t>2</t>
    </r>
    <r>
      <rPr>
        <b/>
        <sz val="10"/>
        <color rgb="FF808080"/>
        <rFont val="Consolas"/>
        <family val="3"/>
      </rPr>
      <t>),</t>
    </r>
  </si>
  <si>
    <r>
      <t>CONSTRAINT</t>
    </r>
    <r>
      <rPr>
        <b/>
        <sz val="10"/>
        <color theme="1"/>
        <rFont val="Consolas"/>
        <family val="3"/>
      </rPr>
      <t xml:space="preserve"> pk_rms_contract_basic_information </t>
    </r>
    <r>
      <rPr>
        <b/>
        <sz val="10"/>
        <color rgb="FF0080FF"/>
        <rFont val="Consolas"/>
        <family val="3"/>
      </rPr>
      <t>PRIMARY</t>
    </r>
    <r>
      <rPr>
        <b/>
        <sz val="10"/>
        <color theme="1"/>
        <rFont val="Consolas"/>
        <family val="3"/>
      </rPr>
      <t xml:space="preserve"> </t>
    </r>
    <r>
      <rPr>
        <b/>
        <sz val="10"/>
        <color rgb="FF0080FF"/>
        <rFont val="Consolas"/>
        <family val="3"/>
      </rPr>
      <t>KEY</t>
    </r>
    <r>
      <rPr>
        <b/>
        <sz val="10"/>
        <color theme="1"/>
        <rFont val="Consolas"/>
        <family val="3"/>
      </rPr>
      <t xml:space="preserve"> </t>
    </r>
    <r>
      <rPr>
        <b/>
        <sz val="10"/>
        <color rgb="FF808080"/>
        <rFont val="Consolas"/>
        <family val="3"/>
      </rPr>
      <t>(</t>
    </r>
    <r>
      <rPr>
        <b/>
        <sz val="10"/>
        <color theme="1"/>
        <rFont val="Consolas"/>
        <family val="3"/>
      </rPr>
      <t>id</t>
    </r>
    <r>
      <rPr>
        <b/>
        <sz val="10"/>
        <color rgb="FF808080"/>
        <rFont val="Consolas"/>
        <family val="3"/>
      </rPr>
      <t>));</t>
    </r>
    <r>
      <rPr>
        <b/>
        <sz val="10"/>
        <color theme="1"/>
        <rFont val="Consolas"/>
        <family val="3"/>
      </rPr>
      <t xml:space="preserve"> </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</si>
  <si>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TABLE</t>
    </r>
    <r>
      <rPr>
        <b/>
        <sz val="10"/>
        <color theme="1"/>
        <rFont val="Consolas"/>
        <family val="3"/>
      </rPr>
      <t xml:space="preserve"> rms_contract_basic_information </t>
    </r>
    <r>
      <rPr>
        <b/>
        <sz val="10"/>
        <color rgb="FF0080FF"/>
        <rFont val="Consolas"/>
        <family val="3"/>
      </rPr>
      <t>IS</t>
    </r>
    <r>
      <rPr>
        <b/>
        <sz val="10"/>
        <color theme="1"/>
        <rFont val="Consolas"/>
        <family val="3"/>
      </rPr>
      <t xml:space="preserve"> </t>
    </r>
    <r>
      <rPr>
        <b/>
        <sz val="10"/>
        <color rgb="FFFF2800"/>
        <rFont val="Consolas"/>
        <family val="3"/>
      </rPr>
      <t>'b_hjn_rms_契約基本情報'</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</si>
  <si>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id </t>
    </r>
    <r>
      <rPr>
        <b/>
        <sz val="10"/>
        <color rgb="FF0080FF"/>
        <rFont val="Consolas"/>
        <family val="3"/>
      </rPr>
      <t>IS</t>
    </r>
    <r>
      <rPr>
        <b/>
        <sz val="10"/>
        <color theme="1"/>
        <rFont val="Consolas"/>
        <family val="3"/>
      </rPr>
      <t xml:space="preserve"> </t>
    </r>
    <r>
      <rPr>
        <b/>
        <sz val="10"/>
        <color rgb="FFFF2800"/>
        <rFont val="Consolas"/>
        <family val="3"/>
      </rPr>
      <t>'id'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</si>
  <si>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order_number </t>
    </r>
    <r>
      <rPr>
        <b/>
        <sz val="10"/>
        <color rgb="FF0080FF"/>
        <rFont val="Consolas"/>
        <family val="3"/>
      </rPr>
      <t>IS</t>
    </r>
    <r>
      <rPr>
        <b/>
        <sz val="10"/>
        <color theme="1"/>
        <rFont val="Consolas"/>
        <family val="3"/>
      </rPr>
      <t xml:space="preserve"> </t>
    </r>
    <r>
      <rPr>
        <b/>
        <sz val="10"/>
        <color rgb="FFFF2800"/>
        <rFont val="Consolas"/>
        <family val="3"/>
      </rPr>
      <t>'オーダ番号'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</si>
  <si>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order_detail_line_number </t>
    </r>
    <r>
      <rPr>
        <b/>
        <sz val="10"/>
        <color rgb="FF0080FF"/>
        <rFont val="Consolas"/>
        <family val="3"/>
      </rPr>
      <t>IS</t>
    </r>
    <r>
      <rPr>
        <b/>
        <sz val="10"/>
        <color theme="1"/>
        <rFont val="Consolas"/>
        <family val="3"/>
      </rPr>
      <t xml:space="preserve"> </t>
    </r>
    <r>
      <rPr>
        <b/>
        <sz val="10"/>
        <color rgb="FFFF2800"/>
        <rFont val="Consolas"/>
        <family val="3"/>
      </rPr>
      <t>'オーダ明細行番号'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</si>
  <si>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g3_order_number </t>
    </r>
    <r>
      <rPr>
        <b/>
        <sz val="10"/>
        <color rgb="FF0080FF"/>
        <rFont val="Consolas"/>
        <family val="3"/>
      </rPr>
      <t>IS</t>
    </r>
    <r>
      <rPr>
        <b/>
        <sz val="10"/>
        <color theme="1"/>
        <rFont val="Consolas"/>
        <family val="3"/>
      </rPr>
      <t xml:space="preserve"> </t>
    </r>
    <r>
      <rPr>
        <b/>
        <sz val="10"/>
        <color rgb="FFFF2800"/>
        <rFont val="Consolas"/>
        <family val="3"/>
      </rPr>
      <t>'g3オーダ番号'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</si>
  <si>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g3_order_line_code </t>
    </r>
    <r>
      <rPr>
        <b/>
        <sz val="10"/>
        <color rgb="FF0080FF"/>
        <rFont val="Consolas"/>
        <family val="3"/>
      </rPr>
      <t>IS</t>
    </r>
    <r>
      <rPr>
        <b/>
        <sz val="10"/>
        <color theme="1"/>
        <rFont val="Consolas"/>
        <family val="3"/>
      </rPr>
      <t xml:space="preserve"> </t>
    </r>
    <r>
      <rPr>
        <b/>
        <sz val="10"/>
        <color rgb="FFFF2800"/>
        <rFont val="Consolas"/>
        <family val="3"/>
      </rPr>
      <t>'g3オーダ回線コード'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</si>
  <si>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ssharp </t>
    </r>
    <r>
      <rPr>
        <b/>
        <sz val="10"/>
        <color rgb="FF0080FF"/>
        <rFont val="Consolas"/>
        <family val="3"/>
      </rPr>
      <t>IS</t>
    </r>
    <r>
      <rPr>
        <b/>
        <sz val="10"/>
        <color theme="1"/>
        <rFont val="Consolas"/>
        <family val="3"/>
      </rPr>
      <t xml:space="preserve"> </t>
    </r>
    <r>
      <rPr>
        <b/>
        <sz val="10"/>
        <color rgb="FFFF2800"/>
        <rFont val="Consolas"/>
        <family val="3"/>
      </rPr>
      <t>'s#'</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</si>
  <si>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bsharp </t>
    </r>
    <r>
      <rPr>
        <b/>
        <sz val="10"/>
        <color rgb="FF0080FF"/>
        <rFont val="Consolas"/>
        <family val="3"/>
      </rPr>
      <t>IS</t>
    </r>
    <r>
      <rPr>
        <b/>
        <sz val="10"/>
        <color theme="1"/>
        <rFont val="Consolas"/>
        <family val="3"/>
      </rPr>
      <t xml:space="preserve"> </t>
    </r>
    <r>
      <rPr>
        <b/>
        <sz val="10"/>
        <color rgb="FFFF2800"/>
        <rFont val="Consolas"/>
        <family val="3"/>
      </rPr>
      <t>'b#'</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</si>
  <si>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model_contract_ssharp </t>
    </r>
    <r>
      <rPr>
        <b/>
        <sz val="10"/>
        <color rgb="FF0080FF"/>
        <rFont val="Consolas"/>
        <family val="3"/>
      </rPr>
      <t>IS</t>
    </r>
    <r>
      <rPr>
        <b/>
        <sz val="10"/>
        <color theme="1"/>
        <rFont val="Consolas"/>
        <family val="3"/>
      </rPr>
      <t xml:space="preserve"> </t>
    </r>
    <r>
      <rPr>
        <b/>
        <sz val="10"/>
        <color rgb="FFFF2800"/>
        <rFont val="Consolas"/>
        <family val="3"/>
      </rPr>
      <t>'機種契約s#'</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</si>
  <si>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model_contract_bsharp </t>
    </r>
    <r>
      <rPr>
        <b/>
        <sz val="10"/>
        <color rgb="FF0080FF"/>
        <rFont val="Consolas"/>
        <family val="3"/>
      </rPr>
      <t>IS</t>
    </r>
    <r>
      <rPr>
        <b/>
        <sz val="10"/>
        <color theme="1"/>
        <rFont val="Consolas"/>
        <family val="3"/>
      </rPr>
      <t xml:space="preserve"> </t>
    </r>
    <r>
      <rPr>
        <b/>
        <sz val="10"/>
        <color rgb="FFFF2800"/>
        <rFont val="Consolas"/>
        <family val="3"/>
      </rPr>
      <t>'機種契約b#'</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</si>
  <si>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group_number </t>
    </r>
    <r>
      <rPr>
        <b/>
        <sz val="10"/>
        <color rgb="FF0080FF"/>
        <rFont val="Consolas"/>
        <family val="3"/>
      </rPr>
      <t>IS</t>
    </r>
    <r>
      <rPr>
        <b/>
        <sz val="10"/>
        <color theme="1"/>
        <rFont val="Consolas"/>
        <family val="3"/>
      </rPr>
      <t xml:space="preserve"> </t>
    </r>
    <r>
      <rPr>
        <b/>
        <sz val="10"/>
        <color rgb="FFFF2800"/>
        <rFont val="Consolas"/>
        <family val="3"/>
      </rPr>
      <t>'群番号'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</si>
  <si>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catalog_item_code </t>
    </r>
    <r>
      <rPr>
        <b/>
        <sz val="10"/>
        <color rgb="FF0080FF"/>
        <rFont val="Consolas"/>
        <family val="3"/>
      </rPr>
      <t>IS</t>
    </r>
    <r>
      <rPr>
        <b/>
        <sz val="10"/>
        <color theme="1"/>
        <rFont val="Consolas"/>
        <family val="3"/>
      </rPr>
      <t xml:space="preserve"> </t>
    </r>
    <r>
      <rPr>
        <b/>
        <sz val="10"/>
        <color rgb="FFFF2800"/>
        <rFont val="Consolas"/>
        <family val="3"/>
      </rPr>
      <t>'カタログ品目コード'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</si>
  <si>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catalog_item_code_name </t>
    </r>
    <r>
      <rPr>
        <b/>
        <sz val="10"/>
        <color rgb="FF0080FF"/>
        <rFont val="Consolas"/>
        <family val="3"/>
      </rPr>
      <t>IS</t>
    </r>
    <r>
      <rPr>
        <b/>
        <sz val="10"/>
        <color theme="1"/>
        <rFont val="Consolas"/>
        <family val="3"/>
      </rPr>
      <t xml:space="preserve"> </t>
    </r>
    <r>
      <rPr>
        <b/>
        <sz val="10"/>
        <color rgb="FFFF2800"/>
        <rFont val="Consolas"/>
        <family val="3"/>
      </rPr>
      <t>'カタログ品目コード名'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</si>
  <si>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converted_catalog_item_cd </t>
    </r>
    <r>
      <rPr>
        <b/>
        <sz val="10"/>
        <color rgb="FF0080FF"/>
        <rFont val="Consolas"/>
        <family val="3"/>
      </rPr>
      <t>IS</t>
    </r>
    <r>
      <rPr>
        <b/>
        <sz val="10"/>
        <color theme="1"/>
        <rFont val="Consolas"/>
        <family val="3"/>
      </rPr>
      <t xml:space="preserve"> </t>
    </r>
    <r>
      <rPr>
        <b/>
        <sz val="10"/>
        <color rgb="FFFF2800"/>
        <rFont val="Consolas"/>
        <family val="3"/>
      </rPr>
      <t>'変換後カタログ品目cd'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</si>
  <si>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converted_catalog_item_cd_name </t>
    </r>
    <r>
      <rPr>
        <b/>
        <sz val="10"/>
        <color rgb="FF0080FF"/>
        <rFont val="Consolas"/>
        <family val="3"/>
      </rPr>
      <t>IS</t>
    </r>
    <r>
      <rPr>
        <b/>
        <sz val="10"/>
        <color theme="1"/>
        <rFont val="Consolas"/>
        <family val="3"/>
      </rPr>
      <t xml:space="preserve"> </t>
    </r>
    <r>
      <rPr>
        <b/>
        <sz val="10"/>
        <color rgb="FFFF2800"/>
        <rFont val="Consolas"/>
        <family val="3"/>
      </rPr>
      <t>'変換後catalogs品目cd名'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</si>
  <si>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color </t>
    </r>
    <r>
      <rPr>
        <b/>
        <sz val="10"/>
        <color rgb="FF0080FF"/>
        <rFont val="Consolas"/>
        <family val="3"/>
      </rPr>
      <t>IS</t>
    </r>
    <r>
      <rPr>
        <b/>
        <sz val="10"/>
        <color theme="1"/>
        <rFont val="Consolas"/>
        <family val="3"/>
      </rPr>
      <t xml:space="preserve"> </t>
    </r>
    <r>
      <rPr>
        <b/>
        <sz val="10"/>
        <color rgb="FFFF2800"/>
        <rFont val="Consolas"/>
        <family val="3"/>
      </rPr>
      <t>'色'</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</si>
  <si>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old_mobile_device_sales_method </t>
    </r>
    <r>
      <rPr>
        <b/>
        <sz val="10"/>
        <color rgb="FF0080FF"/>
        <rFont val="Consolas"/>
        <family val="3"/>
      </rPr>
      <t>IS</t>
    </r>
    <r>
      <rPr>
        <b/>
        <sz val="10"/>
        <color theme="1"/>
        <rFont val="Consolas"/>
        <family val="3"/>
      </rPr>
      <t xml:space="preserve"> </t>
    </r>
    <r>
      <rPr>
        <b/>
        <sz val="10"/>
        <color rgb="FFFF2800"/>
        <rFont val="Consolas"/>
        <family val="3"/>
      </rPr>
      <t>'旧移動機販売方法'</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</si>
  <si>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delivery_company_name </t>
    </r>
    <r>
      <rPr>
        <b/>
        <sz val="10"/>
        <color rgb="FF0080FF"/>
        <rFont val="Consolas"/>
        <family val="3"/>
      </rPr>
      <t>IS</t>
    </r>
    <r>
      <rPr>
        <b/>
        <sz val="10"/>
        <color theme="1"/>
        <rFont val="Consolas"/>
        <family val="3"/>
      </rPr>
      <t xml:space="preserve"> </t>
    </r>
    <r>
      <rPr>
        <b/>
        <sz val="10"/>
        <color rgb="FFFF2800"/>
        <rFont val="Consolas"/>
        <family val="3"/>
      </rPr>
      <t>'納品先社名'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</si>
  <si>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delivery_department_name </t>
    </r>
    <r>
      <rPr>
        <b/>
        <sz val="10"/>
        <color rgb="FF0080FF"/>
        <rFont val="Consolas"/>
        <family val="3"/>
      </rPr>
      <t>IS</t>
    </r>
    <r>
      <rPr>
        <b/>
        <sz val="10"/>
        <color theme="1"/>
        <rFont val="Consolas"/>
        <family val="3"/>
      </rPr>
      <t xml:space="preserve"> </t>
    </r>
    <r>
      <rPr>
        <b/>
        <sz val="10"/>
        <color rgb="FFFF2800"/>
        <rFont val="Consolas"/>
        <family val="3"/>
      </rPr>
      <t>'納品先部署名'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</si>
  <si>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delivery_contact_name </t>
    </r>
    <r>
      <rPr>
        <b/>
        <sz val="10"/>
        <color rgb="FF0080FF"/>
        <rFont val="Consolas"/>
        <family val="3"/>
      </rPr>
      <t>IS</t>
    </r>
    <r>
      <rPr>
        <b/>
        <sz val="10"/>
        <color theme="1"/>
        <rFont val="Consolas"/>
        <family val="3"/>
      </rPr>
      <t xml:space="preserve"> </t>
    </r>
    <r>
      <rPr>
        <b/>
        <sz val="10"/>
        <color rgb="FFFF2800"/>
        <rFont val="Consolas"/>
        <family val="3"/>
      </rPr>
      <t>'納品先ご担当者名'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</si>
  <si>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delivery_contact_name_kana </t>
    </r>
    <r>
      <rPr>
        <b/>
        <sz val="10"/>
        <color rgb="FF0080FF"/>
        <rFont val="Consolas"/>
        <family val="3"/>
      </rPr>
      <t>IS</t>
    </r>
    <r>
      <rPr>
        <b/>
        <sz val="10"/>
        <color theme="1"/>
        <rFont val="Consolas"/>
        <family val="3"/>
      </rPr>
      <t xml:space="preserve"> </t>
    </r>
    <r>
      <rPr>
        <b/>
        <sz val="10"/>
        <color rgb="FFFF2800"/>
        <rFont val="Consolas"/>
        <family val="3"/>
      </rPr>
      <t>'納品先ご担当者名カナ'</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</si>
  <si>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delivery_postal_code </t>
    </r>
    <r>
      <rPr>
        <b/>
        <sz val="10"/>
        <color rgb="FF0080FF"/>
        <rFont val="Consolas"/>
        <family val="3"/>
      </rPr>
      <t>IS</t>
    </r>
    <r>
      <rPr>
        <b/>
        <sz val="10"/>
        <color theme="1"/>
        <rFont val="Consolas"/>
        <family val="3"/>
      </rPr>
      <t xml:space="preserve"> </t>
    </r>
    <r>
      <rPr>
        <b/>
        <sz val="10"/>
        <color rgb="FFFF2800"/>
        <rFont val="Consolas"/>
        <family val="3"/>
      </rPr>
      <t>'納品先郵便番号'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</si>
  <si>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delivery_prefecture </t>
    </r>
    <r>
      <rPr>
        <b/>
        <sz val="10"/>
        <color rgb="FF0080FF"/>
        <rFont val="Consolas"/>
        <family val="3"/>
      </rPr>
      <t>IS</t>
    </r>
    <r>
      <rPr>
        <b/>
        <sz val="10"/>
        <color theme="1"/>
        <rFont val="Consolas"/>
        <family val="3"/>
      </rPr>
      <t xml:space="preserve"> </t>
    </r>
    <r>
      <rPr>
        <b/>
        <sz val="10"/>
        <color rgb="FFFF2800"/>
        <rFont val="Consolas"/>
        <family val="3"/>
      </rPr>
      <t>'納品先都道府県'</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</si>
  <si>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delivery_address_city </t>
    </r>
    <r>
      <rPr>
        <b/>
        <sz val="10"/>
        <color rgb="FF0080FF"/>
        <rFont val="Consolas"/>
        <family val="3"/>
      </rPr>
      <t>IS</t>
    </r>
    <r>
      <rPr>
        <b/>
        <sz val="10"/>
        <color theme="1"/>
        <rFont val="Consolas"/>
        <family val="3"/>
      </rPr>
      <t xml:space="preserve"> </t>
    </r>
    <r>
      <rPr>
        <b/>
        <sz val="10"/>
        <color rgb="FFFF2800"/>
        <rFont val="Consolas"/>
        <family val="3"/>
      </rPr>
      <t>'納品先市区郡町村'</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</si>
  <si>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delivery_address_oaza </t>
    </r>
    <r>
      <rPr>
        <b/>
        <sz val="10"/>
        <color rgb="FF0080FF"/>
        <rFont val="Consolas"/>
        <family val="3"/>
      </rPr>
      <t>IS</t>
    </r>
    <r>
      <rPr>
        <b/>
        <sz val="10"/>
        <color theme="1"/>
        <rFont val="Consolas"/>
        <family val="3"/>
      </rPr>
      <t xml:space="preserve"> </t>
    </r>
    <r>
      <rPr>
        <b/>
        <sz val="10"/>
        <color rgb="FFFF2800"/>
        <rFont val="Consolas"/>
        <family val="3"/>
      </rPr>
      <t>'納品先通称大字'</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</si>
  <si>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delivery_address_block </t>
    </r>
    <r>
      <rPr>
        <b/>
        <sz val="10"/>
        <color rgb="FF0080FF"/>
        <rFont val="Consolas"/>
        <family val="3"/>
      </rPr>
      <t>IS</t>
    </r>
    <r>
      <rPr>
        <b/>
        <sz val="10"/>
        <color theme="1"/>
        <rFont val="Consolas"/>
        <family val="3"/>
      </rPr>
      <t xml:space="preserve"> </t>
    </r>
    <r>
      <rPr>
        <b/>
        <sz val="10"/>
        <color rgb="FFFF2800"/>
        <rFont val="Consolas"/>
        <family val="3"/>
      </rPr>
      <t>'納品先丁目字等'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</si>
  <si>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delivery_address_street </t>
    </r>
    <r>
      <rPr>
        <b/>
        <sz val="10"/>
        <color rgb="FF0080FF"/>
        <rFont val="Consolas"/>
        <family val="3"/>
      </rPr>
      <t>IS</t>
    </r>
    <r>
      <rPr>
        <b/>
        <sz val="10"/>
        <color theme="1"/>
        <rFont val="Consolas"/>
        <family val="3"/>
      </rPr>
      <t xml:space="preserve"> </t>
    </r>
    <r>
      <rPr>
        <b/>
        <sz val="10"/>
        <color rgb="FFFF2800"/>
        <rFont val="Consolas"/>
        <family val="3"/>
      </rPr>
      <t>'納品先番地'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</si>
  <si>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delivery_room_no </t>
    </r>
    <r>
      <rPr>
        <b/>
        <sz val="10"/>
        <color rgb="FF0080FF"/>
        <rFont val="Consolas"/>
        <family val="3"/>
      </rPr>
      <t>IS</t>
    </r>
    <r>
      <rPr>
        <b/>
        <sz val="10"/>
        <color theme="1"/>
        <rFont val="Consolas"/>
        <family val="3"/>
      </rPr>
      <t xml:space="preserve"> </t>
    </r>
    <r>
      <rPr>
        <b/>
        <sz val="10"/>
        <color rgb="FFFF2800"/>
        <rFont val="Consolas"/>
        <family val="3"/>
      </rPr>
      <t>'納品先_部屋no'</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</si>
  <si>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delivery_phone_number </t>
    </r>
    <r>
      <rPr>
        <b/>
        <sz val="10"/>
        <color rgb="FF0080FF"/>
        <rFont val="Consolas"/>
        <family val="3"/>
      </rPr>
      <t>IS</t>
    </r>
    <r>
      <rPr>
        <b/>
        <sz val="10"/>
        <color theme="1"/>
        <rFont val="Consolas"/>
        <family val="3"/>
      </rPr>
      <t xml:space="preserve"> </t>
    </r>
    <r>
      <rPr>
        <b/>
        <sz val="10"/>
        <color rgb="FFFF2800"/>
        <rFont val="Consolas"/>
        <family val="3"/>
      </rPr>
      <t>'納品先電話番号'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</si>
  <si>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line_contract_status </t>
    </r>
    <r>
      <rPr>
        <b/>
        <sz val="10"/>
        <color rgb="FF0080FF"/>
        <rFont val="Consolas"/>
        <family val="3"/>
      </rPr>
      <t>IS</t>
    </r>
    <r>
      <rPr>
        <b/>
        <sz val="10"/>
        <color theme="1"/>
        <rFont val="Consolas"/>
        <family val="3"/>
      </rPr>
      <t xml:space="preserve"> </t>
    </r>
    <r>
      <rPr>
        <b/>
        <sz val="10"/>
        <color rgb="FFFF2800"/>
        <rFont val="Consolas"/>
        <family val="3"/>
      </rPr>
      <t>'回線契約ステータス'</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</si>
  <si>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line_contract_status_name </t>
    </r>
    <r>
      <rPr>
        <b/>
        <sz val="10"/>
        <color rgb="FF0080FF"/>
        <rFont val="Consolas"/>
        <family val="3"/>
      </rPr>
      <t>IS</t>
    </r>
    <r>
      <rPr>
        <b/>
        <sz val="10"/>
        <color theme="1"/>
        <rFont val="Consolas"/>
        <family val="3"/>
      </rPr>
      <t xml:space="preserve"> </t>
    </r>
    <r>
      <rPr>
        <b/>
        <sz val="10"/>
        <color rgb="FFFF2800"/>
        <rFont val="Consolas"/>
        <family val="3"/>
      </rPr>
      <t>'回線契約ステータス名'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</si>
  <si>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usage_period </t>
    </r>
    <r>
      <rPr>
        <b/>
        <sz val="10"/>
        <color rgb="FF0080FF"/>
        <rFont val="Consolas"/>
        <family val="3"/>
      </rPr>
      <t>IS</t>
    </r>
    <r>
      <rPr>
        <b/>
        <sz val="10"/>
        <color theme="1"/>
        <rFont val="Consolas"/>
        <family val="3"/>
      </rPr>
      <t xml:space="preserve"> </t>
    </r>
    <r>
      <rPr>
        <b/>
        <sz val="10"/>
        <color rgb="FFFF2800"/>
        <rFont val="Consolas"/>
        <family val="3"/>
      </rPr>
      <t>'利用期間'</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</si>
  <si>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allocation_points </t>
    </r>
    <r>
      <rPr>
        <b/>
        <sz val="10"/>
        <color rgb="FF0080FF"/>
        <rFont val="Consolas"/>
        <family val="3"/>
      </rPr>
      <t>IS</t>
    </r>
    <r>
      <rPr>
        <b/>
        <sz val="10"/>
        <color theme="1"/>
        <rFont val="Consolas"/>
        <family val="3"/>
      </rPr>
      <t xml:space="preserve"> </t>
    </r>
    <r>
      <rPr>
        <b/>
        <sz val="10"/>
        <color rgb="FFFF2800"/>
        <rFont val="Consolas"/>
        <family val="3"/>
      </rPr>
      <t>'充当ポイント'</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</si>
  <si>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contract_status </t>
    </r>
    <r>
      <rPr>
        <b/>
        <sz val="10"/>
        <color rgb="FF0080FF"/>
        <rFont val="Consolas"/>
        <family val="3"/>
      </rPr>
      <t>IS</t>
    </r>
    <r>
      <rPr>
        <b/>
        <sz val="10"/>
        <color theme="1"/>
        <rFont val="Consolas"/>
        <family val="3"/>
      </rPr>
      <t xml:space="preserve"> </t>
    </r>
    <r>
      <rPr>
        <b/>
        <sz val="10"/>
        <color rgb="FFFF2800"/>
        <rFont val="Consolas"/>
        <family val="3"/>
      </rPr>
      <t>'契約ステータス'</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</si>
  <si>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contract_status_name </t>
    </r>
    <r>
      <rPr>
        <b/>
        <sz val="10"/>
        <color rgb="FF0080FF"/>
        <rFont val="Consolas"/>
        <family val="3"/>
      </rPr>
      <t>IS</t>
    </r>
    <r>
      <rPr>
        <b/>
        <sz val="10"/>
        <color theme="1"/>
        <rFont val="Consolas"/>
        <family val="3"/>
      </rPr>
      <t xml:space="preserve"> </t>
    </r>
    <r>
      <rPr>
        <b/>
        <sz val="10"/>
        <color rgb="FFFF2800"/>
        <rFont val="Consolas"/>
        <family val="3"/>
      </rPr>
      <t>'契約ステータス名'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</si>
  <si>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contract_start_date </t>
    </r>
    <r>
      <rPr>
        <b/>
        <sz val="10"/>
        <color rgb="FF0080FF"/>
        <rFont val="Consolas"/>
        <family val="3"/>
      </rPr>
      <t>IS</t>
    </r>
    <r>
      <rPr>
        <b/>
        <sz val="10"/>
        <color theme="1"/>
        <rFont val="Consolas"/>
        <family val="3"/>
      </rPr>
      <t xml:space="preserve"> </t>
    </r>
    <r>
      <rPr>
        <b/>
        <sz val="10"/>
        <color rgb="FFFF2800"/>
        <rFont val="Consolas"/>
        <family val="3"/>
      </rPr>
      <t>'契約開始日'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</si>
  <si>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contract_end_date </t>
    </r>
    <r>
      <rPr>
        <b/>
        <sz val="10"/>
        <color rgb="FF0080FF"/>
        <rFont val="Consolas"/>
        <family val="3"/>
      </rPr>
      <t>IS</t>
    </r>
    <r>
      <rPr>
        <b/>
        <sz val="10"/>
        <color theme="1"/>
        <rFont val="Consolas"/>
        <family val="3"/>
      </rPr>
      <t xml:space="preserve"> </t>
    </r>
    <r>
      <rPr>
        <b/>
        <sz val="10"/>
        <color rgb="FFFF2800"/>
        <rFont val="Consolas"/>
        <family val="3"/>
      </rPr>
      <t>'契約終了日'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</si>
  <si>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contract_months </t>
    </r>
    <r>
      <rPr>
        <b/>
        <sz val="10"/>
        <color rgb="FF0080FF"/>
        <rFont val="Consolas"/>
        <family val="3"/>
      </rPr>
      <t>IS</t>
    </r>
    <r>
      <rPr>
        <b/>
        <sz val="10"/>
        <color theme="1"/>
        <rFont val="Consolas"/>
        <family val="3"/>
      </rPr>
      <t xml:space="preserve"> </t>
    </r>
    <r>
      <rPr>
        <b/>
        <sz val="10"/>
        <color rgb="FFFF2800"/>
        <rFont val="Consolas"/>
        <family val="3"/>
      </rPr>
      <t>'契約月数'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</si>
  <si>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generation_type </t>
    </r>
    <r>
      <rPr>
        <b/>
        <sz val="10"/>
        <color rgb="FF0080FF"/>
        <rFont val="Consolas"/>
        <family val="3"/>
      </rPr>
      <t>IS</t>
    </r>
    <r>
      <rPr>
        <b/>
        <sz val="10"/>
        <color theme="1"/>
        <rFont val="Consolas"/>
        <family val="3"/>
      </rPr>
      <t xml:space="preserve"> </t>
    </r>
    <r>
      <rPr>
        <b/>
        <sz val="10"/>
        <color rgb="FFFF2800"/>
        <rFont val="Consolas"/>
        <family val="3"/>
      </rPr>
      <t>'生成種別'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</si>
  <si>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generation_type_name </t>
    </r>
    <r>
      <rPr>
        <b/>
        <sz val="10"/>
        <color rgb="FF0080FF"/>
        <rFont val="Consolas"/>
        <family val="3"/>
      </rPr>
      <t>IS</t>
    </r>
    <r>
      <rPr>
        <b/>
        <sz val="10"/>
        <color theme="1"/>
        <rFont val="Consolas"/>
        <family val="3"/>
      </rPr>
      <t xml:space="preserve"> </t>
    </r>
    <r>
      <rPr>
        <b/>
        <sz val="10"/>
        <color rgb="FFFF2800"/>
        <rFont val="Consolas"/>
        <family val="3"/>
      </rPr>
      <t>'生成種別名'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</si>
  <si>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cancellation_type </t>
    </r>
    <r>
      <rPr>
        <b/>
        <sz val="10"/>
        <color rgb="FF0080FF"/>
        <rFont val="Consolas"/>
        <family val="3"/>
      </rPr>
      <t>IS</t>
    </r>
    <r>
      <rPr>
        <b/>
        <sz val="10"/>
        <color theme="1"/>
        <rFont val="Consolas"/>
        <family val="3"/>
      </rPr>
      <t xml:space="preserve"> </t>
    </r>
    <r>
      <rPr>
        <b/>
        <sz val="10"/>
        <color rgb="FFFF2800"/>
        <rFont val="Consolas"/>
        <family val="3"/>
      </rPr>
      <t>'解約種別'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</si>
  <si>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cancellation_type_name </t>
    </r>
    <r>
      <rPr>
        <b/>
        <sz val="10"/>
        <color rgb="FF0080FF"/>
        <rFont val="Consolas"/>
        <family val="3"/>
      </rPr>
      <t>IS</t>
    </r>
    <r>
      <rPr>
        <b/>
        <sz val="10"/>
        <color theme="1"/>
        <rFont val="Consolas"/>
        <family val="3"/>
      </rPr>
      <t xml:space="preserve"> </t>
    </r>
    <r>
      <rPr>
        <b/>
        <sz val="10"/>
        <color rgb="FFFF2800"/>
        <rFont val="Consolas"/>
        <family val="3"/>
      </rPr>
      <t>'解約種別名'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</si>
  <si>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cancellation_date </t>
    </r>
    <r>
      <rPr>
        <b/>
        <sz val="10"/>
        <color rgb="FF0080FF"/>
        <rFont val="Consolas"/>
        <family val="3"/>
      </rPr>
      <t>IS</t>
    </r>
    <r>
      <rPr>
        <b/>
        <sz val="10"/>
        <color theme="1"/>
        <rFont val="Consolas"/>
        <family val="3"/>
      </rPr>
      <t xml:space="preserve"> </t>
    </r>
    <r>
      <rPr>
        <b/>
        <sz val="10"/>
        <color rgb="FFFF2800"/>
        <rFont val="Consolas"/>
        <family val="3"/>
      </rPr>
      <t>'解約日'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</si>
  <si>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g3_cancellation_order_number </t>
    </r>
    <r>
      <rPr>
        <b/>
        <sz val="10"/>
        <color rgb="FF0080FF"/>
        <rFont val="Consolas"/>
        <family val="3"/>
      </rPr>
      <t>IS</t>
    </r>
    <r>
      <rPr>
        <b/>
        <sz val="10"/>
        <color theme="1"/>
        <rFont val="Consolas"/>
        <family val="3"/>
      </rPr>
      <t xml:space="preserve"> </t>
    </r>
    <r>
      <rPr>
        <b/>
        <sz val="10"/>
        <color rgb="FFFF2800"/>
        <rFont val="Consolas"/>
        <family val="3"/>
      </rPr>
      <t>'g3解約時オーダ番号'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</si>
  <si>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order_cancellation_date </t>
    </r>
    <r>
      <rPr>
        <b/>
        <sz val="10"/>
        <color rgb="FF0080FF"/>
        <rFont val="Consolas"/>
        <family val="3"/>
      </rPr>
      <t>IS</t>
    </r>
    <r>
      <rPr>
        <b/>
        <sz val="10"/>
        <color theme="1"/>
        <rFont val="Consolas"/>
        <family val="3"/>
      </rPr>
      <t xml:space="preserve"> </t>
    </r>
    <r>
      <rPr>
        <b/>
        <sz val="10"/>
        <color rgb="FFFF2800"/>
        <rFont val="Consolas"/>
        <family val="3"/>
      </rPr>
      <t>'キャンセル日'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</si>
  <si>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mobile_device_shipped_flg </t>
    </r>
    <r>
      <rPr>
        <b/>
        <sz val="10"/>
        <color rgb="FF0080FF"/>
        <rFont val="Consolas"/>
        <family val="3"/>
      </rPr>
      <t>IS</t>
    </r>
    <r>
      <rPr>
        <b/>
        <sz val="10"/>
        <color theme="1"/>
        <rFont val="Consolas"/>
        <family val="3"/>
      </rPr>
      <t xml:space="preserve"> </t>
    </r>
    <r>
      <rPr>
        <b/>
        <sz val="10"/>
        <color rgb="FFFF2800"/>
        <rFont val="Consolas"/>
        <family val="3"/>
      </rPr>
      <t>'移動機出荷有無'</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</si>
  <si>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mobile_device_shipped </t>
    </r>
    <r>
      <rPr>
        <b/>
        <sz val="10"/>
        <color rgb="FF0080FF"/>
        <rFont val="Consolas"/>
        <family val="3"/>
      </rPr>
      <t>IS</t>
    </r>
    <r>
      <rPr>
        <b/>
        <sz val="10"/>
        <color theme="1"/>
        <rFont val="Consolas"/>
        <family val="3"/>
      </rPr>
      <t xml:space="preserve"> </t>
    </r>
    <r>
      <rPr>
        <b/>
        <sz val="10"/>
        <color rgb="FFFF2800"/>
        <rFont val="Consolas"/>
        <family val="3"/>
      </rPr>
      <t>'移動機出荷有無名'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</si>
  <si>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usim_shipped_flg </t>
    </r>
    <r>
      <rPr>
        <b/>
        <sz val="10"/>
        <color rgb="FF0080FF"/>
        <rFont val="Consolas"/>
        <family val="3"/>
      </rPr>
      <t>IS</t>
    </r>
    <r>
      <rPr>
        <b/>
        <sz val="10"/>
        <color theme="1"/>
        <rFont val="Consolas"/>
        <family val="3"/>
      </rPr>
      <t xml:space="preserve"> </t>
    </r>
    <r>
      <rPr>
        <b/>
        <sz val="10"/>
        <color rgb="FFFF2800"/>
        <rFont val="Consolas"/>
        <family val="3"/>
      </rPr>
      <t>'usim出荷有無'</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</si>
  <si>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usim_shipped </t>
    </r>
    <r>
      <rPr>
        <b/>
        <sz val="10"/>
        <color rgb="FF0080FF"/>
        <rFont val="Consolas"/>
        <family val="3"/>
      </rPr>
      <t>IS</t>
    </r>
    <r>
      <rPr>
        <b/>
        <sz val="10"/>
        <color theme="1"/>
        <rFont val="Consolas"/>
        <family val="3"/>
      </rPr>
      <t xml:space="preserve"> </t>
    </r>
    <r>
      <rPr>
        <b/>
        <sz val="10"/>
        <color rgb="FFFF2800"/>
        <rFont val="Consolas"/>
        <family val="3"/>
      </rPr>
      <t>'usim出荷有無名'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</si>
  <si>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warehouse_shipment_date </t>
    </r>
    <r>
      <rPr>
        <b/>
        <sz val="10"/>
        <color rgb="FF0080FF"/>
        <rFont val="Consolas"/>
        <family val="3"/>
      </rPr>
      <t>IS</t>
    </r>
    <r>
      <rPr>
        <b/>
        <sz val="10"/>
        <color theme="1"/>
        <rFont val="Consolas"/>
        <family val="3"/>
      </rPr>
      <t xml:space="preserve"> </t>
    </r>
    <r>
      <rPr>
        <b/>
        <sz val="10"/>
        <color rgb="FFFF2800"/>
        <rFont val="Consolas"/>
        <family val="3"/>
      </rPr>
      <t>'倉庫出荷日'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</si>
  <si>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g3_shipment_import_date </t>
    </r>
    <r>
      <rPr>
        <b/>
        <sz val="10"/>
        <color rgb="FF0080FF"/>
        <rFont val="Consolas"/>
        <family val="3"/>
      </rPr>
      <t>IS</t>
    </r>
    <r>
      <rPr>
        <b/>
        <sz val="10"/>
        <color theme="1"/>
        <rFont val="Consolas"/>
        <family val="3"/>
      </rPr>
      <t xml:space="preserve"> </t>
    </r>
    <r>
      <rPr>
        <b/>
        <sz val="10"/>
        <color rgb="FFFF2800"/>
        <rFont val="Consolas"/>
        <family val="3"/>
      </rPr>
      <t>'g3出荷取込日'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</si>
  <si>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line_activation_date </t>
    </r>
    <r>
      <rPr>
        <b/>
        <sz val="10"/>
        <color rgb="FF0080FF"/>
        <rFont val="Consolas"/>
        <family val="3"/>
      </rPr>
      <t>IS</t>
    </r>
    <r>
      <rPr>
        <b/>
        <sz val="10"/>
        <color theme="1"/>
        <rFont val="Consolas"/>
        <family val="3"/>
      </rPr>
      <t xml:space="preserve"> </t>
    </r>
    <r>
      <rPr>
        <b/>
        <sz val="10"/>
        <color rgb="FFFF2800"/>
        <rFont val="Consolas"/>
        <family val="3"/>
      </rPr>
      <t>'回線開通日'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</si>
  <si>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payment_method </t>
    </r>
    <r>
      <rPr>
        <b/>
        <sz val="10"/>
        <color rgb="FF0080FF"/>
        <rFont val="Consolas"/>
        <family val="3"/>
      </rPr>
      <t>IS</t>
    </r>
    <r>
      <rPr>
        <b/>
        <sz val="10"/>
        <color theme="1"/>
        <rFont val="Consolas"/>
        <family val="3"/>
      </rPr>
      <t xml:space="preserve"> </t>
    </r>
    <r>
      <rPr>
        <b/>
        <sz val="10"/>
        <color rgb="FFFF2800"/>
        <rFont val="Consolas"/>
        <family val="3"/>
      </rPr>
      <t>'支払方法'</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</si>
  <si>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credit_card_company_code </t>
    </r>
    <r>
      <rPr>
        <b/>
        <sz val="10"/>
        <color rgb="FF0080FF"/>
        <rFont val="Consolas"/>
        <family val="3"/>
      </rPr>
      <t>IS</t>
    </r>
    <r>
      <rPr>
        <b/>
        <sz val="10"/>
        <color theme="1"/>
        <rFont val="Consolas"/>
        <family val="3"/>
      </rPr>
      <t xml:space="preserve"> </t>
    </r>
    <r>
      <rPr>
        <b/>
        <sz val="10"/>
        <color rgb="FFFF2800"/>
        <rFont val="Consolas"/>
        <family val="3"/>
      </rPr>
      <t>'クレジット会社コード'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</si>
  <si>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bc_information_update </t>
    </r>
    <r>
      <rPr>
        <b/>
        <sz val="10"/>
        <color rgb="FF0080FF"/>
        <rFont val="Consolas"/>
        <family val="3"/>
      </rPr>
      <t>IS</t>
    </r>
    <r>
      <rPr>
        <b/>
        <sz val="10"/>
        <color theme="1"/>
        <rFont val="Consolas"/>
        <family val="3"/>
      </rPr>
      <t xml:space="preserve"> </t>
    </r>
    <r>
      <rPr>
        <b/>
        <sz val="10"/>
        <color rgb="FFFF2800"/>
        <rFont val="Consolas"/>
        <family val="3"/>
      </rPr>
      <t>'bc情報更新'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</si>
  <si>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bc_information_bsharp_msn_conversion_date </t>
    </r>
    <r>
      <rPr>
        <b/>
        <sz val="10"/>
        <color rgb="FF0080FF"/>
        <rFont val="Consolas"/>
        <family val="3"/>
      </rPr>
      <t>IS</t>
    </r>
    <r>
      <rPr>
        <b/>
        <sz val="10"/>
        <color theme="1"/>
        <rFont val="Consolas"/>
        <family val="3"/>
      </rPr>
      <t xml:space="preserve"> </t>
    </r>
    <r>
      <rPr>
        <b/>
        <sz val="10"/>
        <color rgb="FFFF2800"/>
        <rFont val="Consolas"/>
        <family val="3"/>
      </rPr>
      <t>'bc情報_b#_msn変換日'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</si>
  <si>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bc_information_cancellation_conversion_date </t>
    </r>
    <r>
      <rPr>
        <b/>
        <sz val="10"/>
        <color rgb="FF0080FF"/>
        <rFont val="Consolas"/>
        <family val="3"/>
      </rPr>
      <t>IS</t>
    </r>
    <r>
      <rPr>
        <b/>
        <sz val="10"/>
        <color theme="1"/>
        <rFont val="Consolas"/>
        <family val="3"/>
      </rPr>
      <t xml:space="preserve"> </t>
    </r>
    <r>
      <rPr>
        <b/>
        <sz val="10"/>
        <color rgb="FFFF2800"/>
        <rFont val="Consolas"/>
        <family val="3"/>
      </rPr>
      <t>'bc情報_解約変換日'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</si>
  <si>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registration_date </t>
    </r>
    <r>
      <rPr>
        <b/>
        <sz val="10"/>
        <color rgb="FF0080FF"/>
        <rFont val="Consolas"/>
        <family val="3"/>
      </rPr>
      <t>IS</t>
    </r>
    <r>
      <rPr>
        <b/>
        <sz val="10"/>
        <color theme="1"/>
        <rFont val="Consolas"/>
        <family val="3"/>
      </rPr>
      <t xml:space="preserve"> </t>
    </r>
    <r>
      <rPr>
        <b/>
        <sz val="10"/>
        <color rgb="FFFF2800"/>
        <rFont val="Consolas"/>
        <family val="3"/>
      </rPr>
      <t>'登録日'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</si>
  <si>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registered_user </t>
    </r>
    <r>
      <rPr>
        <b/>
        <sz val="10"/>
        <color rgb="FF0080FF"/>
        <rFont val="Consolas"/>
        <family val="3"/>
      </rPr>
      <t>IS</t>
    </r>
    <r>
      <rPr>
        <b/>
        <sz val="10"/>
        <color theme="1"/>
        <rFont val="Consolas"/>
        <family val="3"/>
      </rPr>
      <t xml:space="preserve"> </t>
    </r>
    <r>
      <rPr>
        <b/>
        <sz val="10"/>
        <color rgb="FFFF2800"/>
        <rFont val="Consolas"/>
        <family val="3"/>
      </rPr>
      <t>'登録ユーザ'</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</si>
  <si>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update_date </t>
    </r>
    <r>
      <rPr>
        <b/>
        <sz val="10"/>
        <color rgb="FF0080FF"/>
        <rFont val="Consolas"/>
        <family val="3"/>
      </rPr>
      <t>IS</t>
    </r>
    <r>
      <rPr>
        <b/>
        <sz val="10"/>
        <color theme="1"/>
        <rFont val="Consolas"/>
        <family val="3"/>
      </rPr>
      <t xml:space="preserve"> </t>
    </r>
    <r>
      <rPr>
        <b/>
        <sz val="10"/>
        <color rgb="FFFF2800"/>
        <rFont val="Consolas"/>
        <family val="3"/>
      </rPr>
      <t>'更新日'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</si>
  <si>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updated_user </t>
    </r>
    <r>
      <rPr>
        <b/>
        <sz val="10"/>
        <color rgb="FF0080FF"/>
        <rFont val="Consolas"/>
        <family val="3"/>
      </rPr>
      <t>IS</t>
    </r>
    <r>
      <rPr>
        <b/>
        <sz val="10"/>
        <color theme="1"/>
        <rFont val="Consolas"/>
        <family val="3"/>
      </rPr>
      <t xml:space="preserve"> </t>
    </r>
    <r>
      <rPr>
        <b/>
        <sz val="10"/>
        <color rgb="FFFF2800"/>
        <rFont val="Consolas"/>
        <family val="3"/>
      </rPr>
      <t>'更新ユーザ'</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</si>
  <si>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summit_unified_company_number </t>
    </r>
    <r>
      <rPr>
        <b/>
        <sz val="10"/>
        <color rgb="FF0080FF"/>
        <rFont val="Consolas"/>
        <family val="3"/>
      </rPr>
      <t>IS</t>
    </r>
    <r>
      <rPr>
        <b/>
        <sz val="10"/>
        <color theme="1"/>
        <rFont val="Consolas"/>
        <family val="3"/>
      </rPr>
      <t xml:space="preserve"> </t>
    </r>
    <r>
      <rPr>
        <b/>
        <sz val="10"/>
        <color rgb="FFFF2800"/>
        <rFont val="Consolas"/>
        <family val="3"/>
      </rPr>
      <t>'summit統一企業番号'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</si>
  <si>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summit_unified_company_name </t>
    </r>
    <r>
      <rPr>
        <b/>
        <sz val="10"/>
        <color rgb="FF0080FF"/>
        <rFont val="Consolas"/>
        <family val="3"/>
      </rPr>
      <t>IS</t>
    </r>
    <r>
      <rPr>
        <b/>
        <sz val="10"/>
        <color theme="1"/>
        <rFont val="Consolas"/>
        <family val="3"/>
      </rPr>
      <t xml:space="preserve"> </t>
    </r>
    <r>
      <rPr>
        <b/>
        <sz val="10"/>
        <color rgb="FFFF2800"/>
        <rFont val="Consolas"/>
        <family val="3"/>
      </rPr>
      <t>'summit統一企業名'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</si>
  <si>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summit_owner_change_date </t>
    </r>
    <r>
      <rPr>
        <b/>
        <sz val="10"/>
        <color rgb="FF0080FF"/>
        <rFont val="Consolas"/>
        <family val="3"/>
      </rPr>
      <t>IS</t>
    </r>
    <r>
      <rPr>
        <b/>
        <sz val="10"/>
        <color theme="1"/>
        <rFont val="Consolas"/>
        <family val="3"/>
      </rPr>
      <t xml:space="preserve"> </t>
    </r>
    <r>
      <rPr>
        <b/>
        <sz val="10"/>
        <color rgb="FFFF2800"/>
        <rFont val="Consolas"/>
        <family val="3"/>
      </rPr>
      <t>'summit名義変更日'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</si>
  <si>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model_change_date </t>
    </r>
    <r>
      <rPr>
        <b/>
        <sz val="10"/>
        <color rgb="FF0080FF"/>
        <rFont val="Consolas"/>
        <family val="3"/>
      </rPr>
      <t>IS</t>
    </r>
    <r>
      <rPr>
        <b/>
        <sz val="10"/>
        <color theme="1"/>
        <rFont val="Consolas"/>
        <family val="3"/>
      </rPr>
      <t xml:space="preserve"> </t>
    </r>
    <r>
      <rPr>
        <b/>
        <sz val="10"/>
        <color rgb="FFFF2800"/>
        <rFont val="Consolas"/>
        <family val="3"/>
      </rPr>
      <t>'機種変更日'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</si>
  <si>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summit_name_change_date </t>
    </r>
    <r>
      <rPr>
        <b/>
        <sz val="10"/>
        <color rgb="FF0080FF"/>
        <rFont val="Consolas"/>
        <family val="3"/>
      </rPr>
      <t>IS</t>
    </r>
    <r>
      <rPr>
        <b/>
        <sz val="10"/>
        <color theme="1"/>
        <rFont val="Consolas"/>
        <family val="3"/>
      </rPr>
      <t xml:space="preserve"> </t>
    </r>
    <r>
      <rPr>
        <b/>
        <sz val="10"/>
        <color rgb="FFFF2800"/>
        <rFont val="Consolas"/>
        <family val="3"/>
      </rPr>
      <t>'summit名称変更日'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</si>
  <si>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rental_contract_substitution </t>
    </r>
    <r>
      <rPr>
        <b/>
        <sz val="10"/>
        <color rgb="FF0080FF"/>
        <rFont val="Consolas"/>
        <family val="3"/>
      </rPr>
      <t>IS</t>
    </r>
    <r>
      <rPr>
        <b/>
        <sz val="10"/>
        <color theme="1"/>
        <rFont val="Consolas"/>
        <family val="3"/>
      </rPr>
      <t xml:space="preserve"> </t>
    </r>
    <r>
      <rPr>
        <b/>
        <sz val="10"/>
        <color rgb="FFFF2800"/>
        <rFont val="Consolas"/>
        <family val="3"/>
      </rPr>
      <t>'転レンタル契約'</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</si>
  <si>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rental_contract_substitution_name </t>
    </r>
    <r>
      <rPr>
        <b/>
        <sz val="10"/>
        <color rgb="FF0080FF"/>
        <rFont val="Consolas"/>
        <family val="3"/>
      </rPr>
      <t>IS</t>
    </r>
    <r>
      <rPr>
        <b/>
        <sz val="10"/>
        <color theme="1"/>
        <rFont val="Consolas"/>
        <family val="3"/>
      </rPr>
      <t xml:space="preserve"> </t>
    </r>
    <r>
      <rPr>
        <b/>
        <sz val="10"/>
        <color rgb="FFFF2800"/>
        <rFont val="Consolas"/>
        <family val="3"/>
      </rPr>
      <t>'転レンタル契約名'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</si>
  <si>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number_of_re_rentals </t>
    </r>
    <r>
      <rPr>
        <b/>
        <sz val="10"/>
        <color rgb="FF0080FF"/>
        <rFont val="Consolas"/>
        <family val="3"/>
      </rPr>
      <t>IS</t>
    </r>
    <r>
      <rPr>
        <b/>
        <sz val="10"/>
        <color theme="1"/>
        <rFont val="Consolas"/>
        <family val="3"/>
      </rPr>
      <t xml:space="preserve"> </t>
    </r>
    <r>
      <rPr>
        <b/>
        <sz val="10"/>
        <color rgb="FFFF2800"/>
        <rFont val="Consolas"/>
        <family val="3"/>
      </rPr>
      <t>'再レンタル回数'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</si>
  <si>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re_rental_contract_start_date </t>
    </r>
    <r>
      <rPr>
        <b/>
        <sz val="10"/>
        <color rgb="FF0080FF"/>
        <rFont val="Consolas"/>
        <family val="3"/>
      </rPr>
      <t>IS</t>
    </r>
    <r>
      <rPr>
        <b/>
        <sz val="10"/>
        <color theme="1"/>
        <rFont val="Consolas"/>
        <family val="3"/>
      </rPr>
      <t xml:space="preserve"> </t>
    </r>
    <r>
      <rPr>
        <b/>
        <sz val="10"/>
        <color rgb="FFFF2800"/>
        <rFont val="Consolas"/>
        <family val="3"/>
      </rPr>
      <t>'再レンタル契約開始日'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</si>
  <si>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point_availability_category </t>
    </r>
    <r>
      <rPr>
        <b/>
        <sz val="10"/>
        <color rgb="FF0080FF"/>
        <rFont val="Consolas"/>
        <family val="3"/>
      </rPr>
      <t>IS</t>
    </r>
    <r>
      <rPr>
        <b/>
        <sz val="10"/>
        <color theme="1"/>
        <rFont val="Consolas"/>
        <family val="3"/>
      </rPr>
      <t xml:space="preserve"> </t>
    </r>
    <r>
      <rPr>
        <b/>
        <sz val="10"/>
        <color rgb="FFFF2800"/>
        <rFont val="Consolas"/>
        <family val="3"/>
      </rPr>
      <t>'ポイント利用可否区分'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</si>
  <si>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point_availability_kbn_name </t>
    </r>
    <r>
      <rPr>
        <b/>
        <sz val="10"/>
        <color rgb="FF0080FF"/>
        <rFont val="Consolas"/>
        <family val="3"/>
      </rPr>
      <t>IS</t>
    </r>
    <r>
      <rPr>
        <b/>
        <sz val="10"/>
        <color theme="1"/>
        <rFont val="Consolas"/>
        <family val="3"/>
      </rPr>
      <t xml:space="preserve"> </t>
    </r>
    <r>
      <rPr>
        <b/>
        <sz val="10"/>
        <color rgb="FFFF2800"/>
        <rFont val="Consolas"/>
        <family val="3"/>
      </rPr>
      <t>'ポイント利用可否kbn名'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</si>
  <si>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rental_purpose </t>
    </r>
    <r>
      <rPr>
        <b/>
        <sz val="10"/>
        <color rgb="FF0080FF"/>
        <rFont val="Consolas"/>
        <family val="3"/>
      </rPr>
      <t>IS</t>
    </r>
    <r>
      <rPr>
        <b/>
        <sz val="10"/>
        <color theme="1"/>
        <rFont val="Consolas"/>
        <family val="3"/>
      </rPr>
      <t xml:space="preserve"> </t>
    </r>
    <r>
      <rPr>
        <b/>
        <sz val="10"/>
        <color rgb="FFFF2800"/>
        <rFont val="Consolas"/>
        <family val="3"/>
      </rPr>
      <t>'レンタル用途'</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</si>
  <si>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rental_purpose_name </t>
    </r>
    <r>
      <rPr>
        <b/>
        <sz val="10"/>
        <color rgb="FF0080FF"/>
        <rFont val="Consolas"/>
        <family val="3"/>
      </rPr>
      <t>IS</t>
    </r>
    <r>
      <rPr>
        <b/>
        <sz val="10"/>
        <color theme="1"/>
        <rFont val="Consolas"/>
        <family val="3"/>
      </rPr>
      <t xml:space="preserve"> </t>
    </r>
    <r>
      <rPr>
        <b/>
        <sz val="10"/>
        <color rgb="FFFF2800"/>
        <rFont val="Consolas"/>
        <family val="3"/>
      </rPr>
      <t>'レンタル用途名'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</si>
  <si>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sbm_lease_company_code </t>
    </r>
    <r>
      <rPr>
        <b/>
        <sz val="10"/>
        <color rgb="FF0080FF"/>
        <rFont val="Consolas"/>
        <family val="3"/>
      </rPr>
      <t>IS</t>
    </r>
    <r>
      <rPr>
        <b/>
        <sz val="10"/>
        <color theme="1"/>
        <rFont val="Consolas"/>
        <family val="3"/>
      </rPr>
      <t xml:space="preserve"> </t>
    </r>
    <r>
      <rPr>
        <b/>
        <sz val="10"/>
        <color rgb="FFFF2800"/>
        <rFont val="Consolas"/>
        <family val="3"/>
      </rPr>
      <t>'SBMリース会社コード'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</si>
  <si>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business_operator_category </t>
    </r>
    <r>
      <rPr>
        <b/>
        <sz val="10"/>
        <color rgb="FF0080FF"/>
        <rFont val="Consolas"/>
        <family val="3"/>
      </rPr>
      <t>IS</t>
    </r>
    <r>
      <rPr>
        <b/>
        <sz val="10"/>
        <color theme="1"/>
        <rFont val="Consolas"/>
        <family val="3"/>
      </rPr>
      <t xml:space="preserve"> </t>
    </r>
    <r>
      <rPr>
        <b/>
        <sz val="10"/>
        <color rgb="FFFF2800"/>
        <rFont val="Consolas"/>
        <family val="3"/>
      </rPr>
      <t>'事業者区分'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</si>
  <si>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business_operator_category_name </t>
    </r>
    <r>
      <rPr>
        <b/>
        <sz val="10"/>
        <color rgb="FF0080FF"/>
        <rFont val="Consolas"/>
        <family val="3"/>
      </rPr>
      <t>IS</t>
    </r>
    <r>
      <rPr>
        <b/>
        <sz val="10"/>
        <color theme="1"/>
        <rFont val="Consolas"/>
        <family val="3"/>
      </rPr>
      <t xml:space="preserve"> </t>
    </r>
    <r>
      <rPr>
        <b/>
        <sz val="10"/>
        <color rgb="FFFF2800"/>
        <rFont val="Consolas"/>
        <family val="3"/>
      </rPr>
      <t>'事業者区分名'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</si>
  <si>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campaign_code </t>
    </r>
    <r>
      <rPr>
        <b/>
        <sz val="10"/>
        <color rgb="FF0080FF"/>
        <rFont val="Consolas"/>
        <family val="3"/>
      </rPr>
      <t>IS</t>
    </r>
    <r>
      <rPr>
        <b/>
        <sz val="10"/>
        <color theme="1"/>
        <rFont val="Consolas"/>
        <family val="3"/>
      </rPr>
      <t xml:space="preserve"> </t>
    </r>
    <r>
      <rPr>
        <b/>
        <sz val="10"/>
        <color rgb="FFFF2800"/>
        <rFont val="Consolas"/>
        <family val="3"/>
      </rPr>
      <t>'キャンペーンコード'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</si>
  <si>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rental_contract_type </t>
    </r>
    <r>
      <rPr>
        <b/>
        <sz val="10"/>
        <color rgb="FF0080FF"/>
        <rFont val="Consolas"/>
        <family val="3"/>
      </rPr>
      <t>IS</t>
    </r>
    <r>
      <rPr>
        <b/>
        <sz val="10"/>
        <color theme="1"/>
        <rFont val="Consolas"/>
        <family val="3"/>
      </rPr>
      <t xml:space="preserve"> </t>
    </r>
    <r>
      <rPr>
        <b/>
        <sz val="10"/>
        <color rgb="FFFF2800"/>
        <rFont val="Consolas"/>
        <family val="3"/>
      </rPr>
      <t>'レンタル契約形態'</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</si>
  <si>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contract_year_and_month </t>
    </r>
    <r>
      <rPr>
        <b/>
        <sz val="10"/>
        <color rgb="FF0080FF"/>
        <rFont val="Consolas"/>
        <family val="3"/>
      </rPr>
      <t>IS</t>
    </r>
    <r>
      <rPr>
        <b/>
        <sz val="10"/>
        <color theme="1"/>
        <rFont val="Consolas"/>
        <family val="3"/>
      </rPr>
      <t xml:space="preserve"> </t>
    </r>
    <r>
      <rPr>
        <b/>
        <sz val="10"/>
        <color rgb="FFFF2800"/>
        <rFont val="Consolas"/>
        <family val="3"/>
      </rPr>
      <t>'契約年月'</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</si>
  <si>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device_acquisition_cost </t>
    </r>
    <r>
      <rPr>
        <b/>
        <sz val="10"/>
        <color rgb="FF0080FF"/>
        <rFont val="Consolas"/>
        <family val="3"/>
      </rPr>
      <t>IS</t>
    </r>
    <r>
      <rPr>
        <b/>
        <sz val="10"/>
        <color theme="1"/>
        <rFont val="Consolas"/>
        <family val="3"/>
      </rPr>
      <t xml:space="preserve"> </t>
    </r>
    <r>
      <rPr>
        <b/>
        <sz val="10"/>
        <color rgb="FFFF2800"/>
        <rFont val="Consolas"/>
        <family val="3"/>
      </rPr>
      <t>'端末取得原価'</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</si>
  <si>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rms_contract_basic_information</t>
    </r>
    <r>
      <rPr>
        <b/>
        <sz val="10"/>
        <color rgb="FF808080"/>
        <rFont val="Consolas"/>
        <family val="3"/>
      </rPr>
      <t>.</t>
    </r>
    <r>
      <rPr>
        <b/>
        <sz val="10"/>
        <color theme="1"/>
        <rFont val="Consolas"/>
        <family val="3"/>
      </rPr>
      <t xml:space="preserve">device_acquisition_cost_amount_recorded </t>
    </r>
    <r>
      <rPr>
        <b/>
        <sz val="10"/>
        <color rgb="FF0080FF"/>
        <rFont val="Consolas"/>
        <family val="3"/>
      </rPr>
      <t>IS</t>
    </r>
    <r>
      <rPr>
        <b/>
        <sz val="10"/>
        <color theme="1"/>
        <rFont val="Consolas"/>
        <family val="3"/>
      </rPr>
      <t xml:space="preserve"> </t>
    </r>
    <r>
      <rPr>
        <b/>
        <sz val="10"/>
        <color rgb="FFFF2800"/>
        <rFont val="Consolas"/>
        <family val="3"/>
      </rPr>
      <t>'端末取得原価分割計上額'</t>
    </r>
    <r>
      <rPr>
        <b/>
        <sz val="10"/>
        <color rgb="FF808080"/>
        <rFont val="Consolas"/>
        <family val="3"/>
      </rPr>
      <t>;</t>
    </r>
  </si>
  <si>
    <t>b_hjn_rms_契約料金情報</t>
    <phoneticPr fontId="2"/>
  </si>
  <si>
    <t>V004573</t>
  </si>
  <si>
    <t>rms_contract_fee_information</t>
  </si>
  <si>
    <t>オーダー番号毎に、契約料金情報等の情報を持つ</t>
  </si>
  <si>
    <r>
      <t>DROP</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EXISTS</t>
    </r>
    <r>
      <rPr>
        <b/>
        <sz val="10"/>
        <color theme="1"/>
        <rFont val="Consolas"/>
        <family val="3"/>
      </rPr>
      <t xml:space="preserve"> rms_contract_fee_information </t>
    </r>
    <r>
      <rPr>
        <b/>
        <sz val="10"/>
        <color rgb="FF0080FF"/>
        <rFont val="Consolas"/>
        <family val="3"/>
      </rPr>
      <t>CASCADE</t>
    </r>
    <r>
      <rPr>
        <b/>
        <sz val="10"/>
        <color rgb="FF808080"/>
        <rFont val="Consolas"/>
        <family val="3"/>
      </rPr>
      <t>;</t>
    </r>
    <r>
      <rPr>
        <b/>
        <sz val="10"/>
        <color theme="1"/>
        <rFont val="Consolas"/>
        <family val="3"/>
      </rPr>
      <t xml:space="preserve"> </t>
    </r>
  </si>
  <si>
    <r>
      <t>CREATE</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NOT</t>
    </r>
    <r>
      <rPr>
        <b/>
        <sz val="10"/>
        <color theme="1"/>
        <rFont val="Consolas"/>
        <family val="3"/>
      </rPr>
      <t xml:space="preserve"> </t>
    </r>
    <r>
      <rPr>
        <b/>
        <sz val="10"/>
        <color rgb="FF0080FF"/>
        <rFont val="Consolas"/>
        <family val="3"/>
      </rPr>
      <t>EXISTS</t>
    </r>
    <r>
      <rPr>
        <b/>
        <sz val="10"/>
        <color theme="1"/>
        <rFont val="Consolas"/>
        <family val="3"/>
      </rPr>
      <t xml:space="preserve"> rms_contract_fee_information </t>
    </r>
    <r>
      <rPr>
        <b/>
        <sz val="10"/>
        <color rgb="FF808080"/>
        <rFont val="Consolas"/>
        <family val="3"/>
      </rPr>
      <t>(</t>
    </r>
    <r>
      <rPr>
        <b/>
        <sz val="10"/>
        <color theme="1"/>
        <rFont val="Consolas"/>
        <family val="3"/>
      </rPr>
      <t xml:space="preserve"> </t>
    </r>
  </si>
  <si>
    <t>オーダ番号</t>
  </si>
  <si>
    <t>オーダ料金明細行番号</t>
  </si>
  <si>
    <t>order_charge_detail_line_number</t>
  </si>
  <si>
    <r>
      <t xml:space="preserve">order_charge_detail_line_number </t>
    </r>
    <r>
      <rPr>
        <b/>
        <sz val="10"/>
        <color rgb="FF0080FF"/>
        <rFont val="Consolas"/>
        <family val="3"/>
      </rPr>
      <t>VARCHAR</t>
    </r>
    <r>
      <rPr>
        <b/>
        <sz val="10"/>
        <color rgb="FF808080"/>
        <rFont val="Consolas"/>
        <family val="3"/>
      </rPr>
      <t>(</t>
    </r>
    <r>
      <rPr>
        <b/>
        <sz val="10"/>
        <color rgb="FFFF2800"/>
        <rFont val="Consolas"/>
        <family val="3"/>
      </rPr>
      <t>9</t>
    </r>
    <r>
      <rPr>
        <b/>
        <sz val="10"/>
        <color rgb="FF808080"/>
        <rFont val="Consolas"/>
        <family val="3"/>
      </rPr>
      <t>),</t>
    </r>
  </si>
  <si>
    <t>料金項目id</t>
  </si>
  <si>
    <t>charge_item_id</t>
  </si>
  <si>
    <r>
      <t xml:space="preserve">charge_item_id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</si>
  <si>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料金項目名称</t>
  </si>
  <si>
    <t>UTF全角。 画面表示用の料金項目名</t>
  </si>
  <si>
    <t>charge_item_name</t>
  </si>
  <si>
    <r>
      <t xml:space="preserve">charge_item_name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</si>
  <si>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料金項目分類コード</t>
  </si>
  <si>
    <t>コード変換はコードマスタ「大区分コード：406」参照</t>
  </si>
  <si>
    <t>charge_item_classification_code</t>
  </si>
  <si>
    <r>
      <t xml:space="preserve">charge_item_classification_code </t>
    </r>
    <r>
      <rPr>
        <b/>
        <sz val="10"/>
        <color rgb="FF0080FF"/>
        <rFont val="Consolas"/>
        <family val="3"/>
      </rPr>
      <t>VARCHAR</t>
    </r>
    <r>
      <rPr>
        <b/>
        <sz val="10"/>
        <color rgb="FF808080"/>
        <rFont val="Consolas"/>
        <family val="3"/>
      </rPr>
      <t>(</t>
    </r>
    <r>
      <rPr>
        <b/>
        <sz val="10"/>
        <color rgb="FFFF2800"/>
        <rFont val="Consolas"/>
        <family val="3"/>
      </rPr>
      <t>9</t>
    </r>
    <r>
      <rPr>
        <b/>
        <sz val="10"/>
        <color rgb="FF808080"/>
        <rFont val="Consolas"/>
        <family val="3"/>
      </rPr>
      <t>),</t>
    </r>
  </si>
  <si>
    <t>料金項目分類コード名</t>
  </si>
  <si>
    <t>コードマスタの[内容]　「大区分コード：406」</t>
  </si>
  <si>
    <t>charge_item_classification_code_name</t>
  </si>
  <si>
    <r>
      <t xml:space="preserve">charge_item_classification_code_name </t>
    </r>
    <r>
      <rPr>
        <b/>
        <sz val="10"/>
        <color rgb="FF0080FF"/>
        <rFont val="Consolas"/>
        <family val="3"/>
      </rPr>
      <t>VARCHAR</t>
    </r>
    <r>
      <rPr>
        <b/>
        <sz val="10"/>
        <color rgb="FF808080"/>
        <rFont val="Consolas"/>
        <family val="3"/>
      </rPr>
      <t>(</t>
    </r>
    <r>
      <rPr>
        <b/>
        <sz val="10"/>
        <color rgb="FFFF2800"/>
        <rFont val="Consolas"/>
        <family val="3"/>
      </rPr>
      <t>300</t>
    </r>
    <r>
      <rPr>
        <b/>
        <sz val="10"/>
        <color rgb="FF808080"/>
        <rFont val="Consolas"/>
        <family val="3"/>
      </rPr>
      <t>),</t>
    </r>
  </si>
  <si>
    <t>表示ソート制御</t>
  </si>
  <si>
    <t>料金マスタのソート情報を保持</t>
  </si>
  <si>
    <t>display_sort_control</t>
  </si>
  <si>
    <r>
      <t xml:space="preserve">display_sort_control </t>
    </r>
    <r>
      <rPr>
        <b/>
        <sz val="10"/>
        <color rgb="FF0080FF"/>
        <rFont val="Consolas"/>
        <family val="3"/>
      </rPr>
      <t>DECIMAL</t>
    </r>
    <r>
      <rPr>
        <b/>
        <sz val="10"/>
        <color rgb="FF808080"/>
        <rFont val="Consolas"/>
        <family val="3"/>
      </rPr>
      <t>(</t>
    </r>
    <r>
      <rPr>
        <b/>
        <sz val="10"/>
        <color rgb="FFFF2800"/>
        <rFont val="Consolas"/>
        <family val="3"/>
      </rPr>
      <t>12</t>
    </r>
    <r>
      <rPr>
        <b/>
        <sz val="10"/>
        <color rgb="FF808080"/>
        <rFont val="Consolas"/>
        <family val="3"/>
      </rPr>
      <t>),</t>
    </r>
  </si>
  <si>
    <t>課金開始日</t>
  </si>
  <si>
    <t>YYYYMMDD形式。 月額一時金区分が月額の場合のみ指定する。 レンタル契約情報としての課金開始日。 ※ＧＩＳＵＮからのＩＦにより自動でセットされる。（画面変更不可）</t>
  </si>
  <si>
    <t>billing_start_date</t>
  </si>
  <si>
    <r>
      <t xml:space="preserve">billing_start_date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</si>
  <si>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課金終了日</t>
  </si>
  <si>
    <t>YYYYMMDD形式。 月額一時金区分が月額の場合のみ指定する。 レンタル契約情報としての課金終了日。 （解約時には、レンタル料金情報の課金終了日は更新せずに、 本項目のみを更新する）。 ※ＧＩＳＵＮからのＩＦにより自動でセットされる。（画面変更不可）</t>
  </si>
  <si>
    <t>billing_end_date</t>
  </si>
  <si>
    <r>
      <t xml:space="preserve">billing_end_date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</si>
  <si>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料金情報登録日</t>
  </si>
  <si>
    <t>YYYYMMDD形式。 バッチ処理にて解約違約金をセットするタイミングで登録日をセット。 バッチ処理にて月初の請求処理前の違約金は翌月請求とする</t>
  </si>
  <si>
    <t>charge_information_registration_date</t>
  </si>
  <si>
    <r>
      <t xml:space="preserve">charge_information_registration_date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</si>
  <si>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t>月額一時金区分</t>
  </si>
  <si>
    <t>コード変換はコードマスタ「大区分コード：401」参照</t>
  </si>
  <si>
    <t>monthly_lump_sum_category</t>
  </si>
  <si>
    <r>
      <t xml:space="preserve">monthly_lump_sum_category </t>
    </r>
    <r>
      <rPr>
        <b/>
        <sz val="10"/>
        <color rgb="FF0080FF"/>
        <rFont val="Consolas"/>
        <family val="3"/>
      </rPr>
      <t>VARCHAR</t>
    </r>
    <r>
      <rPr>
        <b/>
        <sz val="10"/>
        <color rgb="FF808080"/>
        <rFont val="Consolas"/>
        <family val="3"/>
      </rPr>
      <t>(</t>
    </r>
    <r>
      <rPr>
        <b/>
        <sz val="10"/>
        <color rgb="FFFF2800"/>
        <rFont val="Consolas"/>
        <family val="3"/>
      </rPr>
      <t>3</t>
    </r>
    <r>
      <rPr>
        <b/>
        <sz val="10"/>
        <color rgb="FF808080"/>
        <rFont val="Consolas"/>
        <family val="3"/>
      </rPr>
      <t>),</t>
    </r>
  </si>
  <si>
    <t>月額一時金区分名</t>
  </si>
  <si>
    <t>コードマスタの[内容]　「大区分コード：401」</t>
  </si>
  <si>
    <t>monthly_lump_sum_category_name</t>
  </si>
  <si>
    <r>
      <t xml:space="preserve">monthly_lump_sum_category_name </t>
    </r>
    <r>
      <rPr>
        <b/>
        <sz val="10"/>
        <color rgb="FF0080FF"/>
        <rFont val="Consolas"/>
        <family val="3"/>
      </rPr>
      <t>VARCHAR</t>
    </r>
    <r>
      <rPr>
        <b/>
        <sz val="10"/>
        <color rgb="FF808080"/>
        <rFont val="Consolas"/>
        <family val="3"/>
      </rPr>
      <t>(</t>
    </r>
    <r>
      <rPr>
        <b/>
        <sz val="10"/>
        <color rgb="FFFF2800"/>
        <rFont val="Consolas"/>
        <family val="3"/>
      </rPr>
      <t>300</t>
    </r>
    <r>
      <rPr>
        <b/>
        <sz val="10"/>
        <color rgb="FF808080"/>
        <rFont val="Consolas"/>
        <family val="3"/>
      </rPr>
      <t>),</t>
    </r>
  </si>
  <si>
    <t>税区分</t>
  </si>
  <si>
    <t>コード変換はコードマスタ「大区分コード：301」参照</t>
  </si>
  <si>
    <t>tax_category</t>
  </si>
  <si>
    <r>
      <t xml:space="preserve">tax_category </t>
    </r>
    <r>
      <rPr>
        <b/>
        <sz val="10"/>
        <color rgb="FF0080FF"/>
        <rFont val="Consolas"/>
        <family val="3"/>
      </rPr>
      <t>VARCHAR</t>
    </r>
    <r>
      <rPr>
        <b/>
        <sz val="10"/>
        <color rgb="FF808080"/>
        <rFont val="Consolas"/>
        <family val="3"/>
      </rPr>
      <t>(</t>
    </r>
    <r>
      <rPr>
        <b/>
        <sz val="10"/>
        <color rgb="FFFF2800"/>
        <rFont val="Consolas"/>
        <family val="3"/>
      </rPr>
      <t>3</t>
    </r>
    <r>
      <rPr>
        <b/>
        <sz val="10"/>
        <color rgb="FF808080"/>
        <rFont val="Consolas"/>
        <family val="3"/>
      </rPr>
      <t>),</t>
    </r>
  </si>
  <si>
    <t>税区分名</t>
  </si>
  <si>
    <t>コードマスタの[内容]　「大区分コード：301」</t>
  </si>
  <si>
    <t>tax_category_name</t>
  </si>
  <si>
    <r>
      <t xml:space="preserve">tax_category_name </t>
    </r>
    <r>
      <rPr>
        <b/>
        <sz val="10"/>
        <color rgb="FF0080FF"/>
        <rFont val="Consolas"/>
        <family val="3"/>
      </rPr>
      <t>VARCHAR</t>
    </r>
    <r>
      <rPr>
        <b/>
        <sz val="10"/>
        <color rgb="FF808080"/>
        <rFont val="Consolas"/>
        <family val="3"/>
      </rPr>
      <t>(</t>
    </r>
    <r>
      <rPr>
        <b/>
        <sz val="10"/>
        <color rgb="FFFF2800"/>
        <rFont val="Consolas"/>
        <family val="3"/>
      </rPr>
      <t>300</t>
    </r>
    <r>
      <rPr>
        <b/>
        <sz val="10"/>
        <color rgb="FF808080"/>
        <rFont val="Consolas"/>
        <family val="3"/>
      </rPr>
      <t>),</t>
    </r>
  </si>
  <si>
    <t>金額</t>
  </si>
  <si>
    <t>月額一時金区分によらず指定する。</t>
  </si>
  <si>
    <t>amount</t>
  </si>
  <si>
    <r>
      <t xml:space="preserve">amount </t>
    </r>
    <r>
      <rPr>
        <b/>
        <sz val="10"/>
        <color rgb="FF0080FF"/>
        <rFont val="Consolas"/>
        <family val="3"/>
      </rPr>
      <t>DECIMAL</t>
    </r>
    <r>
      <rPr>
        <b/>
        <sz val="10"/>
        <color rgb="FF808080"/>
        <rFont val="Consolas"/>
        <family val="3"/>
      </rPr>
      <t>(</t>
    </r>
    <r>
      <rPr>
        <b/>
        <sz val="10"/>
        <color rgb="FFFF2800"/>
        <rFont val="Consolas"/>
        <family val="3"/>
      </rPr>
      <t>27</t>
    </r>
    <r>
      <rPr>
        <b/>
        <sz val="10"/>
        <color rgb="FF808080"/>
        <rFont val="Consolas"/>
        <family val="3"/>
      </rPr>
      <t>),</t>
    </r>
  </si>
  <si>
    <t>決裁番号</t>
  </si>
  <si>
    <t>UTF全角。 レンタル契約情報設定画面において、入力された決裁番号（特別割引のレコードのみに反映される）。 契約料金詳細の画面で入力された決裁番号</t>
  </si>
  <si>
    <t>approval_number</t>
  </si>
  <si>
    <r>
      <t xml:space="preserve">approval_number </t>
    </r>
    <r>
      <rPr>
        <b/>
        <sz val="10"/>
        <color rgb="FF0080FF"/>
        <rFont val="Consolas"/>
        <family val="3"/>
      </rPr>
      <t>VARCHAR</t>
    </r>
    <r>
      <rPr>
        <b/>
        <sz val="10"/>
        <color rgb="FF808080"/>
        <rFont val="Consolas"/>
        <family val="3"/>
      </rPr>
      <t>(</t>
    </r>
    <r>
      <rPr>
        <b/>
        <sz val="10"/>
        <color rgb="FFFF2800"/>
        <rFont val="Consolas"/>
        <family val="3"/>
      </rPr>
      <t>270</t>
    </r>
    <r>
      <rPr>
        <b/>
        <sz val="10"/>
        <color rgb="FF808080"/>
        <rFont val="Consolas"/>
        <family val="3"/>
      </rPr>
      <t>),</t>
    </r>
  </si>
  <si>
    <t>請求ステータス</t>
  </si>
  <si>
    <t>コード変換はコードマスタ「大区分コード：108」参照</t>
  </si>
  <si>
    <t>billing_status</t>
  </si>
  <si>
    <r>
      <t xml:space="preserve">billing_status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</si>
  <si>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請求ステータス名</t>
  </si>
  <si>
    <t>コードマスタの[内容]　「大区分コード：108」</t>
  </si>
  <si>
    <t>billing_status_name</t>
  </si>
  <si>
    <r>
      <t xml:space="preserve">billing_status_name </t>
    </r>
    <r>
      <rPr>
        <b/>
        <sz val="10"/>
        <color rgb="FF0080FF"/>
        <rFont val="Consolas"/>
        <family val="3"/>
      </rPr>
      <t>VARCHAR</t>
    </r>
    <r>
      <rPr>
        <b/>
        <sz val="10"/>
        <color rgb="FF808080"/>
        <rFont val="Consolas"/>
        <family val="3"/>
      </rPr>
      <t>(</t>
    </r>
    <r>
      <rPr>
        <b/>
        <sz val="10"/>
        <color rgb="FFFF2800"/>
        <rFont val="Consolas"/>
        <family val="3"/>
      </rPr>
      <t>300</t>
    </r>
    <r>
      <rPr>
        <b/>
        <sz val="10"/>
        <color rgb="FF808080"/>
        <rFont val="Consolas"/>
        <family val="3"/>
      </rPr>
      <t>),</t>
    </r>
  </si>
  <si>
    <t>請求済回数</t>
  </si>
  <si>
    <t>月額一時金区分が月額の場合にのみセットされる。 請求情報生成処理において、何回請求処理の対象となったかを示すカウンタ。 請求情報生成処理ごとにインクリメントする。</t>
  </si>
  <si>
    <t>number_of_bills_completed</t>
  </si>
  <si>
    <r>
      <t xml:space="preserve">number_of_bills_completed </t>
    </r>
    <r>
      <rPr>
        <b/>
        <sz val="10"/>
        <color rgb="FF0080FF"/>
        <rFont val="Consolas"/>
        <family val="3"/>
      </rPr>
      <t>DECIMAL</t>
    </r>
    <r>
      <rPr>
        <b/>
        <sz val="10"/>
        <color rgb="FF808080"/>
        <rFont val="Consolas"/>
        <family val="3"/>
      </rPr>
      <t>(</t>
    </r>
    <r>
      <rPr>
        <b/>
        <sz val="10"/>
        <color rgb="FFFF2800"/>
        <rFont val="Consolas"/>
        <family val="3"/>
      </rPr>
      <t>9</t>
    </r>
    <r>
      <rPr>
        <b/>
        <sz val="10"/>
        <color rgb="FF808080"/>
        <rFont val="Consolas"/>
        <family val="3"/>
      </rPr>
      <t>),</t>
    </r>
  </si>
  <si>
    <t>最終請求年月</t>
  </si>
  <si>
    <t>YYYYMM形式</t>
  </si>
  <si>
    <t>last_billing_year_month</t>
  </si>
  <si>
    <r>
      <t xml:space="preserve">last_billing_year_month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</si>
  <si>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請求対象外フラグ</t>
  </si>
  <si>
    <t>12/1版ではオンライン更新なしで、バッチでは抽出条件として利用。 1：請求対象外 0：請求対象</t>
  </si>
  <si>
    <t>non_billable_flag</t>
  </si>
  <si>
    <r>
      <t xml:space="preserve">non_billable_flag </t>
    </r>
    <r>
      <rPr>
        <b/>
        <sz val="10"/>
        <color rgb="FF0080FF"/>
        <rFont val="Consolas"/>
        <family val="3"/>
      </rPr>
      <t>VARCHAR</t>
    </r>
    <r>
      <rPr>
        <b/>
        <sz val="10"/>
        <color rgb="FF808080"/>
        <rFont val="Consolas"/>
        <family val="3"/>
      </rPr>
      <t>(</t>
    </r>
    <r>
      <rPr>
        <b/>
        <sz val="10"/>
        <color rgb="FFFF2800"/>
        <rFont val="Consolas"/>
        <family val="3"/>
      </rPr>
      <t>3</t>
    </r>
    <r>
      <rPr>
        <b/>
        <sz val="10"/>
        <color rgb="FF808080"/>
        <rFont val="Consolas"/>
        <family val="3"/>
      </rPr>
      <t>),</t>
    </r>
  </si>
  <si>
    <t>請求対象外フラグ名</t>
  </si>
  <si>
    <t>non_billable_flag_name</t>
  </si>
  <si>
    <r>
      <t xml:space="preserve">non_billable_flag_name </t>
    </r>
    <r>
      <rPr>
        <b/>
        <sz val="10"/>
        <color rgb="FF0080FF"/>
        <rFont val="Consolas"/>
        <family val="3"/>
      </rPr>
      <t>VARCHAR</t>
    </r>
    <r>
      <rPr>
        <b/>
        <sz val="10"/>
        <color rgb="FF808080"/>
        <rFont val="Consolas"/>
        <family val="3"/>
      </rPr>
      <t>(</t>
    </r>
    <r>
      <rPr>
        <b/>
        <sz val="10"/>
        <color rgb="FFFF2800"/>
        <rFont val="Consolas"/>
        <family val="3"/>
      </rPr>
      <t>3</t>
    </r>
    <r>
      <rPr>
        <b/>
        <sz val="10"/>
        <color rgb="FF808080"/>
        <rFont val="Consolas"/>
        <family val="3"/>
      </rPr>
      <t>),</t>
    </r>
  </si>
  <si>
    <t>シミュレーションflg</t>
  </si>
  <si>
    <t>0:本番データ 1:シミュレーションデータ</t>
  </si>
  <si>
    <t>simulation_flag</t>
  </si>
  <si>
    <r>
      <t xml:space="preserve">simulation_flag </t>
    </r>
    <r>
      <rPr>
        <b/>
        <sz val="10"/>
        <color rgb="FF0080FF"/>
        <rFont val="Consolas"/>
        <family val="3"/>
      </rPr>
      <t>VARCHAR</t>
    </r>
    <r>
      <rPr>
        <b/>
        <sz val="10"/>
        <color rgb="FF808080"/>
        <rFont val="Consolas"/>
        <family val="3"/>
      </rPr>
      <t>(</t>
    </r>
    <r>
      <rPr>
        <b/>
        <sz val="10"/>
        <color rgb="FFFF2800"/>
        <rFont val="Consolas"/>
        <family val="3"/>
      </rPr>
      <t>3</t>
    </r>
    <r>
      <rPr>
        <b/>
        <sz val="10"/>
        <color rgb="FF808080"/>
        <rFont val="Consolas"/>
        <family val="3"/>
      </rPr>
      <t>),</t>
    </r>
  </si>
  <si>
    <t>ポイント利用管理番号</t>
  </si>
  <si>
    <t>Oracleシーケンスにより採番される</t>
  </si>
  <si>
    <t>point_usage_management_number</t>
  </si>
  <si>
    <r>
      <t xml:space="preserve">point_usage_management_number </t>
    </r>
    <r>
      <rPr>
        <b/>
        <sz val="10"/>
        <color rgb="FF0080FF"/>
        <rFont val="Consolas"/>
        <family val="3"/>
      </rPr>
      <t>DECIMAL</t>
    </r>
    <r>
      <rPr>
        <b/>
        <sz val="10"/>
        <color rgb="FF808080"/>
        <rFont val="Consolas"/>
        <family val="3"/>
      </rPr>
      <t>(</t>
    </r>
    <r>
      <rPr>
        <b/>
        <sz val="10"/>
        <color rgb="FFFF2800"/>
        <rFont val="Consolas"/>
        <family val="3"/>
      </rPr>
      <t>48</t>
    </r>
    <r>
      <rPr>
        <b/>
        <sz val="10"/>
        <color rgb="FF808080"/>
        <rFont val="Consolas"/>
        <family val="3"/>
      </rPr>
      <t>),</t>
    </r>
  </si>
  <si>
    <t>ポイント利用済みflg</t>
  </si>
  <si>
    <t>0：ポイント利用未 1：ポイント利用済み</t>
  </si>
  <si>
    <t>point_used_flag</t>
  </si>
  <si>
    <r>
      <t xml:space="preserve">point_used_flag </t>
    </r>
    <r>
      <rPr>
        <b/>
        <sz val="10"/>
        <color rgb="FF0080FF"/>
        <rFont val="Consolas"/>
        <family val="3"/>
      </rPr>
      <t>VARCHAR</t>
    </r>
    <r>
      <rPr>
        <b/>
        <sz val="10"/>
        <color rgb="FF808080"/>
        <rFont val="Consolas"/>
        <family val="3"/>
      </rPr>
      <t>(</t>
    </r>
    <r>
      <rPr>
        <b/>
        <sz val="10"/>
        <color rgb="FFFF2800"/>
        <rFont val="Consolas"/>
        <family val="3"/>
      </rPr>
      <t>3</t>
    </r>
    <r>
      <rPr>
        <b/>
        <sz val="10"/>
        <color rgb="FF808080"/>
        <rFont val="Consolas"/>
        <family val="3"/>
      </rPr>
      <t>),</t>
    </r>
  </si>
  <si>
    <t>ポイント利用済みflg名</t>
  </si>
  <si>
    <t>point_used_flag_name</t>
  </si>
  <si>
    <r>
      <t xml:space="preserve">point_used_flag_name </t>
    </r>
    <r>
      <rPr>
        <b/>
        <sz val="10"/>
        <color rgb="FF0080FF"/>
        <rFont val="Consolas"/>
        <family val="3"/>
      </rPr>
      <t>VARCHAR</t>
    </r>
    <r>
      <rPr>
        <b/>
        <sz val="10"/>
        <color rgb="FF808080"/>
        <rFont val="Consolas"/>
        <family val="3"/>
      </rPr>
      <t>(</t>
    </r>
    <r>
      <rPr>
        <b/>
        <sz val="10"/>
        <color rgb="FFFF2800"/>
        <rFont val="Consolas"/>
        <family val="3"/>
      </rPr>
      <t>3</t>
    </r>
    <r>
      <rPr>
        <b/>
        <sz val="10"/>
        <color rgb="FF808080"/>
        <rFont val="Consolas"/>
        <family val="3"/>
      </rPr>
      <t>),</t>
    </r>
  </si>
  <si>
    <r>
      <t>CONSTRAINT</t>
    </r>
    <r>
      <rPr>
        <b/>
        <sz val="10"/>
        <color theme="1"/>
        <rFont val="Consolas"/>
        <family val="3"/>
      </rPr>
      <t xml:space="preserve"> pk_rms_contract_fee_information </t>
    </r>
    <r>
      <rPr>
        <b/>
        <sz val="10"/>
        <color rgb="FF0080FF"/>
        <rFont val="Consolas"/>
        <family val="3"/>
      </rPr>
      <t>PRIMARY</t>
    </r>
    <r>
      <rPr>
        <b/>
        <sz val="10"/>
        <color theme="1"/>
        <rFont val="Consolas"/>
        <family val="3"/>
      </rPr>
      <t xml:space="preserve"> </t>
    </r>
    <r>
      <rPr>
        <b/>
        <sz val="10"/>
        <color rgb="FF0080FF"/>
        <rFont val="Consolas"/>
        <family val="3"/>
      </rPr>
      <t>KEY</t>
    </r>
    <r>
      <rPr>
        <b/>
        <sz val="10"/>
        <color theme="1"/>
        <rFont val="Consolas"/>
        <family val="3"/>
      </rPr>
      <t xml:space="preserve"> </t>
    </r>
    <r>
      <rPr>
        <b/>
        <sz val="10"/>
        <color rgb="FF808080"/>
        <rFont val="Consolas"/>
        <family val="3"/>
      </rPr>
      <t>(</t>
    </r>
    <r>
      <rPr>
        <b/>
        <sz val="10"/>
        <color theme="1"/>
        <rFont val="Consolas"/>
        <family val="3"/>
      </rPr>
      <t>id</t>
    </r>
    <r>
      <rPr>
        <b/>
        <sz val="10"/>
        <color rgb="FF808080"/>
        <rFont val="Consolas"/>
        <family val="3"/>
      </rPr>
      <t>));</t>
    </r>
    <r>
      <rPr>
        <b/>
        <sz val="10"/>
        <color theme="1"/>
        <rFont val="Consolas"/>
        <family val="3"/>
      </rPr>
      <t xml:space="preserve"> </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</si>
  <si>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TABLE</t>
    </r>
    <r>
      <rPr>
        <b/>
        <sz val="10"/>
        <color theme="1"/>
        <rFont val="Consolas"/>
        <family val="3"/>
      </rPr>
      <t xml:space="preserve"> rms_contract_fee_information </t>
    </r>
    <r>
      <rPr>
        <b/>
        <sz val="10"/>
        <color rgb="FF0080FF"/>
        <rFont val="Consolas"/>
        <family val="3"/>
      </rPr>
      <t>IS</t>
    </r>
    <r>
      <rPr>
        <b/>
        <sz val="10"/>
        <color theme="1"/>
        <rFont val="Consolas"/>
        <family val="3"/>
      </rPr>
      <t xml:space="preserve"> </t>
    </r>
    <r>
      <rPr>
        <b/>
        <sz val="10"/>
        <color rgb="FFFF2800"/>
        <rFont val="Consolas"/>
        <family val="3"/>
      </rPr>
      <t>'b_hjn_rms_契約料金情報'</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</si>
  <si>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id </t>
    </r>
    <r>
      <rPr>
        <b/>
        <sz val="10"/>
        <color rgb="FF0080FF"/>
        <rFont val="Consolas"/>
        <family val="3"/>
      </rPr>
      <t>IS</t>
    </r>
    <r>
      <rPr>
        <b/>
        <sz val="10"/>
        <color theme="1"/>
        <rFont val="Consolas"/>
        <family val="3"/>
      </rPr>
      <t xml:space="preserve"> </t>
    </r>
    <r>
      <rPr>
        <b/>
        <sz val="10"/>
        <color rgb="FFFF2800"/>
        <rFont val="Consolas"/>
        <family val="3"/>
      </rPr>
      <t>'id'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</si>
  <si>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order_number </t>
    </r>
    <r>
      <rPr>
        <b/>
        <sz val="10"/>
        <color rgb="FF0080FF"/>
        <rFont val="Consolas"/>
        <family val="3"/>
      </rPr>
      <t>IS</t>
    </r>
    <r>
      <rPr>
        <b/>
        <sz val="10"/>
        <color theme="1"/>
        <rFont val="Consolas"/>
        <family val="3"/>
      </rPr>
      <t xml:space="preserve"> </t>
    </r>
    <r>
      <rPr>
        <b/>
        <sz val="10"/>
        <color rgb="FFFF2800"/>
        <rFont val="Consolas"/>
        <family val="3"/>
      </rPr>
      <t>'オーダ番号'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</si>
  <si>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order_detail_line_number </t>
    </r>
    <r>
      <rPr>
        <b/>
        <sz val="10"/>
        <color rgb="FF0080FF"/>
        <rFont val="Consolas"/>
        <family val="3"/>
      </rPr>
      <t>IS</t>
    </r>
    <r>
      <rPr>
        <b/>
        <sz val="10"/>
        <color theme="1"/>
        <rFont val="Consolas"/>
        <family val="3"/>
      </rPr>
      <t xml:space="preserve"> </t>
    </r>
    <r>
      <rPr>
        <b/>
        <sz val="10"/>
        <color rgb="FFFF2800"/>
        <rFont val="Consolas"/>
        <family val="3"/>
      </rPr>
      <t>'オーダ明細行番号'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</si>
  <si>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order_charge_detail_line_number </t>
    </r>
    <r>
      <rPr>
        <b/>
        <sz val="10"/>
        <color rgb="FF0080FF"/>
        <rFont val="Consolas"/>
        <family val="3"/>
      </rPr>
      <t>IS</t>
    </r>
    <r>
      <rPr>
        <b/>
        <sz val="10"/>
        <color theme="1"/>
        <rFont val="Consolas"/>
        <family val="3"/>
      </rPr>
      <t xml:space="preserve"> </t>
    </r>
    <r>
      <rPr>
        <b/>
        <sz val="10"/>
        <color rgb="FFFF2800"/>
        <rFont val="Consolas"/>
        <family val="3"/>
      </rPr>
      <t>'オーダ料金明細行番号'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</si>
  <si>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charge_item_id </t>
    </r>
    <r>
      <rPr>
        <b/>
        <sz val="10"/>
        <color rgb="FF0080FF"/>
        <rFont val="Consolas"/>
        <family val="3"/>
      </rPr>
      <t>IS</t>
    </r>
    <r>
      <rPr>
        <b/>
        <sz val="10"/>
        <color theme="1"/>
        <rFont val="Consolas"/>
        <family val="3"/>
      </rPr>
      <t xml:space="preserve"> </t>
    </r>
    <r>
      <rPr>
        <b/>
        <sz val="10"/>
        <color rgb="FFFF2800"/>
        <rFont val="Consolas"/>
        <family val="3"/>
      </rPr>
      <t>'料金項目id'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</si>
  <si>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charge_item_name </t>
    </r>
    <r>
      <rPr>
        <b/>
        <sz val="10"/>
        <color rgb="FF0080FF"/>
        <rFont val="Consolas"/>
        <family val="3"/>
      </rPr>
      <t>IS</t>
    </r>
    <r>
      <rPr>
        <b/>
        <sz val="10"/>
        <color theme="1"/>
        <rFont val="Consolas"/>
        <family val="3"/>
      </rPr>
      <t xml:space="preserve"> </t>
    </r>
    <r>
      <rPr>
        <b/>
        <sz val="10"/>
        <color rgb="FFFF2800"/>
        <rFont val="Consolas"/>
        <family val="3"/>
      </rPr>
      <t>'料金項目名称'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</si>
  <si>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charge_item_classification_code </t>
    </r>
    <r>
      <rPr>
        <b/>
        <sz val="10"/>
        <color rgb="FF0080FF"/>
        <rFont val="Consolas"/>
        <family val="3"/>
      </rPr>
      <t>IS</t>
    </r>
    <r>
      <rPr>
        <b/>
        <sz val="10"/>
        <color theme="1"/>
        <rFont val="Consolas"/>
        <family val="3"/>
      </rPr>
      <t xml:space="preserve"> </t>
    </r>
    <r>
      <rPr>
        <b/>
        <sz val="10"/>
        <color rgb="FFFF2800"/>
        <rFont val="Consolas"/>
        <family val="3"/>
      </rPr>
      <t>'料金項目分類コード'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</si>
  <si>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charge_item_classification_code_name </t>
    </r>
    <r>
      <rPr>
        <b/>
        <sz val="10"/>
        <color rgb="FF0080FF"/>
        <rFont val="Consolas"/>
        <family val="3"/>
      </rPr>
      <t>IS</t>
    </r>
    <r>
      <rPr>
        <b/>
        <sz val="10"/>
        <color theme="1"/>
        <rFont val="Consolas"/>
        <family val="3"/>
      </rPr>
      <t xml:space="preserve"> </t>
    </r>
    <r>
      <rPr>
        <b/>
        <sz val="10"/>
        <color rgb="FFFF2800"/>
        <rFont val="Consolas"/>
        <family val="3"/>
      </rPr>
      <t>'料金項目分類コード名'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</si>
  <si>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display_sort_control </t>
    </r>
    <r>
      <rPr>
        <b/>
        <sz val="10"/>
        <color rgb="FF0080FF"/>
        <rFont val="Consolas"/>
        <family val="3"/>
      </rPr>
      <t>IS</t>
    </r>
    <r>
      <rPr>
        <b/>
        <sz val="10"/>
        <color theme="1"/>
        <rFont val="Consolas"/>
        <family val="3"/>
      </rPr>
      <t xml:space="preserve"> </t>
    </r>
    <r>
      <rPr>
        <b/>
        <sz val="10"/>
        <color rgb="FFFF2800"/>
        <rFont val="Consolas"/>
        <family val="3"/>
      </rPr>
      <t>'表示ソート制御'</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</si>
  <si>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contract_start_date </t>
    </r>
    <r>
      <rPr>
        <b/>
        <sz val="10"/>
        <color rgb="FF0080FF"/>
        <rFont val="Consolas"/>
        <family val="3"/>
      </rPr>
      <t>IS</t>
    </r>
    <r>
      <rPr>
        <b/>
        <sz val="10"/>
        <color theme="1"/>
        <rFont val="Consolas"/>
        <family val="3"/>
      </rPr>
      <t xml:space="preserve"> </t>
    </r>
    <r>
      <rPr>
        <b/>
        <sz val="10"/>
        <color rgb="FFFF2800"/>
        <rFont val="Consolas"/>
        <family val="3"/>
      </rPr>
      <t>'契約開始日'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</si>
  <si>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contract_end_date </t>
    </r>
    <r>
      <rPr>
        <b/>
        <sz val="10"/>
        <color rgb="FF0080FF"/>
        <rFont val="Consolas"/>
        <family val="3"/>
      </rPr>
      <t>IS</t>
    </r>
    <r>
      <rPr>
        <b/>
        <sz val="10"/>
        <color theme="1"/>
        <rFont val="Consolas"/>
        <family val="3"/>
      </rPr>
      <t xml:space="preserve"> </t>
    </r>
    <r>
      <rPr>
        <b/>
        <sz val="10"/>
        <color rgb="FFFF2800"/>
        <rFont val="Consolas"/>
        <family val="3"/>
      </rPr>
      <t>'契約終了日'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</si>
  <si>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billing_start_date </t>
    </r>
    <r>
      <rPr>
        <b/>
        <sz val="10"/>
        <color rgb="FF0080FF"/>
        <rFont val="Consolas"/>
        <family val="3"/>
      </rPr>
      <t>IS</t>
    </r>
    <r>
      <rPr>
        <b/>
        <sz val="10"/>
        <color theme="1"/>
        <rFont val="Consolas"/>
        <family val="3"/>
      </rPr>
      <t xml:space="preserve"> </t>
    </r>
    <r>
      <rPr>
        <b/>
        <sz val="10"/>
        <color rgb="FFFF2800"/>
        <rFont val="Consolas"/>
        <family val="3"/>
      </rPr>
      <t>'課金開始日'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</si>
  <si>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billing_end_date </t>
    </r>
    <r>
      <rPr>
        <b/>
        <sz val="10"/>
        <color rgb="FF0080FF"/>
        <rFont val="Consolas"/>
        <family val="3"/>
      </rPr>
      <t>IS</t>
    </r>
    <r>
      <rPr>
        <b/>
        <sz val="10"/>
        <color theme="1"/>
        <rFont val="Consolas"/>
        <family val="3"/>
      </rPr>
      <t xml:space="preserve"> </t>
    </r>
    <r>
      <rPr>
        <b/>
        <sz val="10"/>
        <color rgb="FFFF2800"/>
        <rFont val="Consolas"/>
        <family val="3"/>
      </rPr>
      <t>'課金終了日'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</si>
  <si>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charge_information_registration_date </t>
    </r>
    <r>
      <rPr>
        <b/>
        <sz val="10"/>
        <color rgb="FF0080FF"/>
        <rFont val="Consolas"/>
        <family val="3"/>
      </rPr>
      <t>IS</t>
    </r>
    <r>
      <rPr>
        <b/>
        <sz val="10"/>
        <color theme="1"/>
        <rFont val="Consolas"/>
        <family val="3"/>
      </rPr>
      <t xml:space="preserve"> </t>
    </r>
    <r>
      <rPr>
        <b/>
        <sz val="10"/>
        <color rgb="FFFF2800"/>
        <rFont val="Consolas"/>
        <family val="3"/>
      </rPr>
      <t>'料金情報登録日'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</si>
  <si>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monthly_lump_sum_category </t>
    </r>
    <r>
      <rPr>
        <b/>
        <sz val="10"/>
        <color rgb="FF0080FF"/>
        <rFont val="Consolas"/>
        <family val="3"/>
      </rPr>
      <t>IS</t>
    </r>
    <r>
      <rPr>
        <b/>
        <sz val="10"/>
        <color theme="1"/>
        <rFont val="Consolas"/>
        <family val="3"/>
      </rPr>
      <t xml:space="preserve"> </t>
    </r>
    <r>
      <rPr>
        <b/>
        <sz val="10"/>
        <color rgb="FFFF2800"/>
        <rFont val="Consolas"/>
        <family val="3"/>
      </rPr>
      <t>'月額一時金区分'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</si>
  <si>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monthly_lump_sum_category_name </t>
    </r>
    <r>
      <rPr>
        <b/>
        <sz val="10"/>
        <color rgb="FF0080FF"/>
        <rFont val="Consolas"/>
        <family val="3"/>
      </rPr>
      <t>IS</t>
    </r>
    <r>
      <rPr>
        <b/>
        <sz val="10"/>
        <color theme="1"/>
        <rFont val="Consolas"/>
        <family val="3"/>
      </rPr>
      <t xml:space="preserve"> </t>
    </r>
    <r>
      <rPr>
        <b/>
        <sz val="10"/>
        <color rgb="FFFF2800"/>
        <rFont val="Consolas"/>
        <family val="3"/>
      </rPr>
      <t>'月額一時金区分名'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</si>
  <si>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tax_category </t>
    </r>
    <r>
      <rPr>
        <b/>
        <sz val="10"/>
        <color rgb="FF0080FF"/>
        <rFont val="Consolas"/>
        <family val="3"/>
      </rPr>
      <t>IS</t>
    </r>
    <r>
      <rPr>
        <b/>
        <sz val="10"/>
        <color theme="1"/>
        <rFont val="Consolas"/>
        <family val="3"/>
      </rPr>
      <t xml:space="preserve"> </t>
    </r>
    <r>
      <rPr>
        <b/>
        <sz val="10"/>
        <color rgb="FFFF2800"/>
        <rFont val="Consolas"/>
        <family val="3"/>
      </rPr>
      <t>'税区分'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</si>
  <si>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tax_category_name </t>
    </r>
    <r>
      <rPr>
        <b/>
        <sz val="10"/>
        <color rgb="FF0080FF"/>
        <rFont val="Consolas"/>
        <family val="3"/>
      </rPr>
      <t>IS</t>
    </r>
    <r>
      <rPr>
        <b/>
        <sz val="10"/>
        <color theme="1"/>
        <rFont val="Consolas"/>
        <family val="3"/>
      </rPr>
      <t xml:space="preserve"> </t>
    </r>
    <r>
      <rPr>
        <b/>
        <sz val="10"/>
        <color rgb="FFFF2800"/>
        <rFont val="Consolas"/>
        <family val="3"/>
      </rPr>
      <t>'税区分名'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</si>
  <si>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amount </t>
    </r>
    <r>
      <rPr>
        <b/>
        <sz val="10"/>
        <color rgb="FF0080FF"/>
        <rFont val="Consolas"/>
        <family val="3"/>
      </rPr>
      <t>IS</t>
    </r>
    <r>
      <rPr>
        <b/>
        <sz val="10"/>
        <color theme="1"/>
        <rFont val="Consolas"/>
        <family val="3"/>
      </rPr>
      <t xml:space="preserve"> </t>
    </r>
    <r>
      <rPr>
        <b/>
        <sz val="10"/>
        <color rgb="FFFF2800"/>
        <rFont val="Consolas"/>
        <family val="3"/>
      </rPr>
      <t>'金額'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</si>
  <si>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approval_number </t>
    </r>
    <r>
      <rPr>
        <b/>
        <sz val="10"/>
        <color rgb="FF0080FF"/>
        <rFont val="Consolas"/>
        <family val="3"/>
      </rPr>
      <t>IS</t>
    </r>
    <r>
      <rPr>
        <b/>
        <sz val="10"/>
        <color theme="1"/>
        <rFont val="Consolas"/>
        <family val="3"/>
      </rPr>
      <t xml:space="preserve"> </t>
    </r>
    <r>
      <rPr>
        <b/>
        <sz val="10"/>
        <color rgb="FFFF2800"/>
        <rFont val="Consolas"/>
        <family val="3"/>
      </rPr>
      <t>'決裁番号'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</si>
  <si>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billing_status </t>
    </r>
    <r>
      <rPr>
        <b/>
        <sz val="10"/>
        <color rgb="FF0080FF"/>
        <rFont val="Consolas"/>
        <family val="3"/>
      </rPr>
      <t>IS</t>
    </r>
    <r>
      <rPr>
        <b/>
        <sz val="10"/>
        <color theme="1"/>
        <rFont val="Consolas"/>
        <family val="3"/>
      </rPr>
      <t xml:space="preserve"> </t>
    </r>
    <r>
      <rPr>
        <b/>
        <sz val="10"/>
        <color rgb="FFFF2800"/>
        <rFont val="Consolas"/>
        <family val="3"/>
      </rPr>
      <t>'請求ステータス'</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</si>
  <si>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billing_status_name </t>
    </r>
    <r>
      <rPr>
        <b/>
        <sz val="10"/>
        <color rgb="FF0080FF"/>
        <rFont val="Consolas"/>
        <family val="3"/>
      </rPr>
      <t>IS</t>
    </r>
    <r>
      <rPr>
        <b/>
        <sz val="10"/>
        <color theme="1"/>
        <rFont val="Consolas"/>
        <family val="3"/>
      </rPr>
      <t xml:space="preserve"> </t>
    </r>
    <r>
      <rPr>
        <b/>
        <sz val="10"/>
        <color rgb="FFFF2800"/>
        <rFont val="Consolas"/>
        <family val="3"/>
      </rPr>
      <t>'請求ステータス名'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</si>
  <si>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number_of_bills_completed </t>
    </r>
    <r>
      <rPr>
        <b/>
        <sz val="10"/>
        <color rgb="FF0080FF"/>
        <rFont val="Consolas"/>
        <family val="3"/>
      </rPr>
      <t>IS</t>
    </r>
    <r>
      <rPr>
        <b/>
        <sz val="10"/>
        <color theme="1"/>
        <rFont val="Consolas"/>
        <family val="3"/>
      </rPr>
      <t xml:space="preserve"> </t>
    </r>
    <r>
      <rPr>
        <b/>
        <sz val="10"/>
        <color rgb="FFFF2800"/>
        <rFont val="Consolas"/>
        <family val="3"/>
      </rPr>
      <t>'請求済回数'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</si>
  <si>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last_billing_year_month </t>
    </r>
    <r>
      <rPr>
        <b/>
        <sz val="10"/>
        <color rgb="FF0080FF"/>
        <rFont val="Consolas"/>
        <family val="3"/>
      </rPr>
      <t>IS</t>
    </r>
    <r>
      <rPr>
        <b/>
        <sz val="10"/>
        <color theme="1"/>
        <rFont val="Consolas"/>
        <family val="3"/>
      </rPr>
      <t xml:space="preserve"> </t>
    </r>
    <r>
      <rPr>
        <b/>
        <sz val="10"/>
        <color rgb="FFFF2800"/>
        <rFont val="Consolas"/>
        <family val="3"/>
      </rPr>
      <t>'最終請求年月'</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</si>
  <si>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non_billable_flag </t>
    </r>
    <r>
      <rPr>
        <b/>
        <sz val="10"/>
        <color rgb="FF0080FF"/>
        <rFont val="Consolas"/>
        <family val="3"/>
      </rPr>
      <t>IS</t>
    </r>
    <r>
      <rPr>
        <b/>
        <sz val="10"/>
        <color theme="1"/>
        <rFont val="Consolas"/>
        <family val="3"/>
      </rPr>
      <t xml:space="preserve"> </t>
    </r>
    <r>
      <rPr>
        <b/>
        <sz val="10"/>
        <color rgb="FFFF2800"/>
        <rFont val="Consolas"/>
        <family val="3"/>
      </rPr>
      <t>'請求対象外フラグ'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</si>
  <si>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non_billable_flag_name </t>
    </r>
    <r>
      <rPr>
        <b/>
        <sz val="10"/>
        <color rgb="FF0080FF"/>
        <rFont val="Consolas"/>
        <family val="3"/>
      </rPr>
      <t>IS</t>
    </r>
    <r>
      <rPr>
        <b/>
        <sz val="10"/>
        <color theme="1"/>
        <rFont val="Consolas"/>
        <family val="3"/>
      </rPr>
      <t xml:space="preserve"> </t>
    </r>
    <r>
      <rPr>
        <b/>
        <sz val="10"/>
        <color rgb="FFFF2800"/>
        <rFont val="Consolas"/>
        <family val="3"/>
      </rPr>
      <t>'請求対象外フラグ名'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</si>
  <si>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registration_date </t>
    </r>
    <r>
      <rPr>
        <b/>
        <sz val="10"/>
        <color rgb="FF0080FF"/>
        <rFont val="Consolas"/>
        <family val="3"/>
      </rPr>
      <t>IS</t>
    </r>
    <r>
      <rPr>
        <b/>
        <sz val="10"/>
        <color theme="1"/>
        <rFont val="Consolas"/>
        <family val="3"/>
      </rPr>
      <t xml:space="preserve"> </t>
    </r>
    <r>
      <rPr>
        <b/>
        <sz val="10"/>
        <color rgb="FFFF2800"/>
        <rFont val="Consolas"/>
        <family val="3"/>
      </rPr>
      <t>'登録日'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</si>
  <si>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registered_user </t>
    </r>
    <r>
      <rPr>
        <b/>
        <sz val="10"/>
        <color rgb="FF0080FF"/>
        <rFont val="Consolas"/>
        <family val="3"/>
      </rPr>
      <t>IS</t>
    </r>
    <r>
      <rPr>
        <b/>
        <sz val="10"/>
        <color theme="1"/>
        <rFont val="Consolas"/>
        <family val="3"/>
      </rPr>
      <t xml:space="preserve"> </t>
    </r>
    <r>
      <rPr>
        <b/>
        <sz val="10"/>
        <color rgb="FFFF2800"/>
        <rFont val="Consolas"/>
        <family val="3"/>
      </rPr>
      <t>'登録ユーザ'</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</si>
  <si>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update_date </t>
    </r>
    <r>
      <rPr>
        <b/>
        <sz val="10"/>
        <color rgb="FF0080FF"/>
        <rFont val="Consolas"/>
        <family val="3"/>
      </rPr>
      <t>IS</t>
    </r>
    <r>
      <rPr>
        <b/>
        <sz val="10"/>
        <color theme="1"/>
        <rFont val="Consolas"/>
        <family val="3"/>
      </rPr>
      <t xml:space="preserve"> </t>
    </r>
    <r>
      <rPr>
        <b/>
        <sz val="10"/>
        <color rgb="FFFF2800"/>
        <rFont val="Consolas"/>
        <family val="3"/>
      </rPr>
      <t>'更新日'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</si>
  <si>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updated_user </t>
    </r>
    <r>
      <rPr>
        <b/>
        <sz val="10"/>
        <color rgb="FF0080FF"/>
        <rFont val="Consolas"/>
        <family val="3"/>
      </rPr>
      <t>IS</t>
    </r>
    <r>
      <rPr>
        <b/>
        <sz val="10"/>
        <color theme="1"/>
        <rFont val="Consolas"/>
        <family val="3"/>
      </rPr>
      <t xml:space="preserve"> </t>
    </r>
    <r>
      <rPr>
        <b/>
        <sz val="10"/>
        <color rgb="FFFF2800"/>
        <rFont val="Consolas"/>
        <family val="3"/>
      </rPr>
      <t>'更新ユーザ'</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</si>
  <si>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simulation_flag </t>
    </r>
    <r>
      <rPr>
        <b/>
        <sz val="10"/>
        <color rgb="FF0080FF"/>
        <rFont val="Consolas"/>
        <family val="3"/>
      </rPr>
      <t>IS</t>
    </r>
    <r>
      <rPr>
        <b/>
        <sz val="10"/>
        <color theme="1"/>
        <rFont val="Consolas"/>
        <family val="3"/>
      </rPr>
      <t xml:space="preserve"> </t>
    </r>
    <r>
      <rPr>
        <b/>
        <sz val="10"/>
        <color rgb="FFFF2800"/>
        <rFont val="Consolas"/>
        <family val="3"/>
      </rPr>
      <t>'シミュレーションflg'</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</si>
  <si>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point_usage_management_number </t>
    </r>
    <r>
      <rPr>
        <b/>
        <sz val="10"/>
        <color rgb="FF0080FF"/>
        <rFont val="Consolas"/>
        <family val="3"/>
      </rPr>
      <t>IS</t>
    </r>
    <r>
      <rPr>
        <b/>
        <sz val="10"/>
        <color theme="1"/>
        <rFont val="Consolas"/>
        <family val="3"/>
      </rPr>
      <t xml:space="preserve"> </t>
    </r>
    <r>
      <rPr>
        <b/>
        <sz val="10"/>
        <color rgb="FFFF2800"/>
        <rFont val="Consolas"/>
        <family val="3"/>
      </rPr>
      <t>'ポイント利用管理番号'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</si>
  <si>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point_used_flag </t>
    </r>
    <r>
      <rPr>
        <b/>
        <sz val="10"/>
        <color rgb="FF0080FF"/>
        <rFont val="Consolas"/>
        <family val="3"/>
      </rPr>
      <t>IS</t>
    </r>
    <r>
      <rPr>
        <b/>
        <sz val="10"/>
        <color theme="1"/>
        <rFont val="Consolas"/>
        <family val="3"/>
      </rPr>
      <t xml:space="preserve"> </t>
    </r>
    <r>
      <rPr>
        <b/>
        <sz val="10"/>
        <color rgb="FFFF2800"/>
        <rFont val="Consolas"/>
        <family val="3"/>
      </rPr>
      <t>'ポイント利用済みflg'</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</si>
  <si>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rms_contract_fee_information</t>
    </r>
    <r>
      <rPr>
        <b/>
        <sz val="10"/>
        <color rgb="FF808080"/>
        <rFont val="Consolas"/>
        <family val="3"/>
      </rPr>
      <t>.</t>
    </r>
    <r>
      <rPr>
        <b/>
        <sz val="10"/>
        <color theme="1"/>
        <rFont val="Consolas"/>
        <family val="3"/>
      </rPr>
      <t xml:space="preserve">point_used_flag_name </t>
    </r>
    <r>
      <rPr>
        <b/>
        <sz val="10"/>
        <color rgb="FF0080FF"/>
        <rFont val="Consolas"/>
        <family val="3"/>
      </rPr>
      <t>IS</t>
    </r>
    <r>
      <rPr>
        <b/>
        <sz val="10"/>
        <color theme="1"/>
        <rFont val="Consolas"/>
        <family val="3"/>
      </rPr>
      <t xml:space="preserve"> </t>
    </r>
    <r>
      <rPr>
        <b/>
        <sz val="10"/>
        <color rgb="FFFF2800"/>
        <rFont val="Consolas"/>
        <family val="3"/>
      </rPr>
      <t>'ポイント利用済みflg名'</t>
    </r>
    <r>
      <rPr>
        <b/>
        <sz val="10"/>
        <color rgb="FF808080"/>
        <rFont val="Consolas"/>
        <family val="3"/>
      </rPr>
      <t>;</t>
    </r>
  </si>
  <si>
    <t>b_cop_支払情報</t>
    <phoneticPr fontId="2"/>
  </si>
  <si>
    <t>B_支払情報_[権限]</t>
  </si>
  <si>
    <t>V000604</t>
  </si>
  <si>
    <t>user_l2id</t>
  </si>
  <si>
    <t>cop_payment_information</t>
  </si>
  <si>
    <t>支払い方法（窓口、郵便、口振、クレジットなど）を管理。</t>
  </si>
  <si>
    <r>
      <t>DROP</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EXISTS</t>
    </r>
    <r>
      <rPr>
        <b/>
        <sz val="10"/>
        <color theme="1"/>
        <rFont val="Consolas"/>
        <family val="3"/>
      </rPr>
      <t xml:space="preserve"> cop_payment_information </t>
    </r>
    <r>
      <rPr>
        <b/>
        <sz val="10"/>
        <color rgb="FF0080FF"/>
        <rFont val="Consolas"/>
        <family val="3"/>
      </rPr>
      <t>CASCADE</t>
    </r>
    <r>
      <rPr>
        <b/>
        <sz val="10"/>
        <color rgb="FF808080"/>
        <rFont val="Consolas"/>
        <family val="3"/>
      </rPr>
      <t>;</t>
    </r>
    <r>
      <rPr>
        <b/>
        <sz val="10"/>
        <color theme="1"/>
        <rFont val="Consolas"/>
        <family val="3"/>
      </rPr>
      <t xml:space="preserve"> </t>
    </r>
  </si>
  <si>
    <r>
      <t>CREATE</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NOT</t>
    </r>
    <r>
      <rPr>
        <b/>
        <sz val="10"/>
        <color theme="1"/>
        <rFont val="Consolas"/>
        <family val="3"/>
      </rPr>
      <t xml:space="preserve"> </t>
    </r>
    <r>
      <rPr>
        <b/>
        <sz val="10"/>
        <color rgb="FF0080FF"/>
        <rFont val="Consolas"/>
        <family val="3"/>
      </rPr>
      <t>EXISTS</t>
    </r>
    <r>
      <rPr>
        <b/>
        <sz val="10"/>
        <color theme="1"/>
        <rFont val="Consolas"/>
        <family val="3"/>
      </rPr>
      <t xml:space="preserve"> cop_payment_information </t>
    </r>
    <r>
      <rPr>
        <b/>
        <sz val="10"/>
        <color rgb="FF808080"/>
        <rFont val="Consolas"/>
        <family val="3"/>
      </rPr>
      <t>(</t>
    </r>
    <r>
      <rPr>
        <b/>
        <sz val="10"/>
        <color theme="1"/>
        <rFont val="Consolas"/>
        <family val="3"/>
      </rPr>
      <t xml:space="preserve"> </t>
    </r>
  </si>
  <si>
    <t>○</t>
  </si>
  <si>
    <t>レコード通番</t>
  </si>
  <si>
    <t>38,0</t>
  </si>
  <si>
    <t>X3対応(桁変更)</t>
  </si>
  <si>
    <t>record_serial_number</t>
  </si>
  <si>
    <r>
      <t xml:space="preserve">record_serial_number </t>
    </r>
    <r>
      <rPr>
        <b/>
        <sz val="10"/>
        <color rgb="FF0080FF"/>
        <rFont val="Consolas"/>
        <family val="3"/>
      </rPr>
      <t>DECIMAL</t>
    </r>
    <r>
      <rPr>
        <b/>
        <sz val="10"/>
        <color rgb="FF808080"/>
        <rFont val="Consolas"/>
        <family val="3"/>
      </rPr>
      <t>(</t>
    </r>
    <r>
      <rPr>
        <b/>
        <sz val="10"/>
        <color rgb="FFFF2800"/>
        <rFont val="Consolas"/>
        <family val="3"/>
      </rPr>
      <t>38</t>
    </r>
    <r>
      <rPr>
        <b/>
        <sz val="10"/>
        <color rgb="FF808080"/>
        <rFont val="Consolas"/>
        <family val="3"/>
      </rPr>
      <t>,</t>
    </r>
    <r>
      <rPr>
        <b/>
        <sz val="10"/>
        <color rgb="FFFF2800"/>
        <rFont val="Consolas"/>
        <family val="3"/>
      </rPr>
      <t>0</t>
    </r>
    <r>
      <rPr>
        <b/>
        <sz val="10"/>
        <color rgb="FF808080"/>
        <rFont val="Consolas"/>
        <family val="3"/>
      </rPr>
      <t>),</t>
    </r>
  </si>
  <si>
    <t>請求グループid</t>
    <phoneticPr fontId="2"/>
  </si>
  <si>
    <t>・H制御Viewでは仮名加工された値が表示されます</t>
  </si>
  <si>
    <t>billing_group_id</t>
  </si>
  <si>
    <r>
      <t xml:space="preserve">billing_group_id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</si>
  <si>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有効開始日</t>
  </si>
  <si>
    <t>有効開始日(YYYYMMDD)</t>
  </si>
  <si>
    <t>★項目説明修正(2025/6/24)</t>
  </si>
  <si>
    <t>effective_start_date</t>
  </si>
  <si>
    <r>
      <t xml:space="preserve">effective_start_date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</si>
  <si>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前提：データ投入方法は、システム連携・フロント(GINIE等)経由の2種類がある</t>
  </si>
  <si>
    <r>
      <t xml:space="preserve">effective_end_date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</si>
  <si>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r>
      <t xml:space="preserve">deletion_indicator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</si>
  <si>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・システム連携のデータ</t>
  </si>
  <si>
    <r>
      <t xml:space="preserve">created_date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</si>
  <si>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99991231：最新(=継続中)のデータ</t>
  </si>
  <si>
    <r>
      <t xml:space="preserve">new_code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</si>
  <si>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r>
      <t xml:space="preserve">billing_payment_method_code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</si>
  <si>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・GINIE→CCOC経由の支払方法更新時のデータ</t>
  </si>
  <si>
    <r>
      <t xml:space="preserve">reseller_company_id </t>
    </r>
    <r>
      <rPr>
        <b/>
        <sz val="10"/>
        <color rgb="FF0080FF"/>
        <rFont val="Consolas"/>
        <family val="3"/>
      </rPr>
      <t>VARCHAR</t>
    </r>
    <r>
      <rPr>
        <b/>
        <sz val="10"/>
        <color rgb="FF808080"/>
        <rFont val="Consolas"/>
        <family val="3"/>
      </rPr>
      <t>(</t>
    </r>
    <r>
      <rPr>
        <b/>
        <sz val="10"/>
        <color rgb="FFFF2800"/>
        <rFont val="Consolas"/>
        <family val="3"/>
      </rPr>
      <t>10</t>
    </r>
    <r>
      <rPr>
        <b/>
        <sz val="10"/>
        <color rgb="FF808080"/>
        <rFont val="Consolas"/>
        <family val="3"/>
      </rPr>
      <t>),</t>
    </r>
  </si>
  <si>
    <t>10年後：新規/譲渡でB#新設時で、支払方法が口振/クレでPay easy利用なし（承認IND：N）の場合</t>
  </si>
  <si>
    <r>
      <t xml:space="preserve">financial_institution_type_code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</si>
  <si>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29991230：情報変更（支払方法変更）で、口振/クレでPay easy利用なし（承認IND：N）の場合</t>
  </si>
  <si>
    <r>
      <t xml:space="preserve">invoice_type_code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</si>
  <si>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29991231：B#変更なしの承継で、支払方法が口振/クレでPay easy利用なし（承認IND：N）の場合</t>
  </si>
  <si>
    <r>
      <t xml:space="preserve">bank_id </t>
    </r>
    <r>
      <rPr>
        <b/>
        <sz val="10"/>
        <color rgb="FF0080FF"/>
        <rFont val="Consolas"/>
        <family val="3"/>
      </rPr>
      <t>VARCHAR</t>
    </r>
    <r>
      <rPr>
        <b/>
        <sz val="10"/>
        <color rgb="FF808080"/>
        <rFont val="Consolas"/>
        <family val="3"/>
      </rPr>
      <t>(</t>
    </r>
    <r>
      <rPr>
        <b/>
        <sz val="10"/>
        <color rgb="FFFF2800"/>
        <rFont val="Consolas"/>
        <family val="3"/>
      </rPr>
      <t>8</t>
    </r>
    <r>
      <rPr>
        <b/>
        <sz val="10"/>
        <color rgb="FF808080"/>
        <rFont val="Consolas"/>
        <family val="3"/>
      </rPr>
      <t>),</t>
    </r>
  </si>
  <si>
    <r>
      <t xml:space="preserve">bank_branch_id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</si>
  <si>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・その他のデータ</t>
  </si>
  <si>
    <r>
      <t xml:space="preserve">post_office_id </t>
    </r>
    <r>
      <rPr>
        <b/>
        <sz val="10"/>
        <color rgb="FF0080FF"/>
        <rFont val="Consolas"/>
        <family val="3"/>
      </rPr>
      <t>VARCHAR</t>
    </r>
    <r>
      <rPr>
        <b/>
        <sz val="10"/>
        <color rgb="FF808080"/>
        <rFont val="Consolas"/>
        <family val="3"/>
      </rPr>
      <t>(</t>
    </r>
    <r>
      <rPr>
        <b/>
        <sz val="10"/>
        <color rgb="FFFF2800"/>
        <rFont val="Consolas"/>
        <family val="3"/>
      </rPr>
      <t>8</t>
    </r>
    <r>
      <rPr>
        <b/>
        <sz val="10"/>
        <color rgb="FF808080"/>
        <rFont val="Consolas"/>
        <family val="3"/>
      </rPr>
      <t>),</t>
    </r>
  </si>
  <si>
    <t>上記以外の直近ではない未来日付：直投されたデータ</t>
  </si>
  <si>
    <r>
      <t xml:space="preserve">credit_card_company_id </t>
    </r>
    <r>
      <rPr>
        <b/>
        <sz val="10"/>
        <color rgb="FF0080FF"/>
        <rFont val="Consolas"/>
        <family val="3"/>
      </rPr>
      <t>VARCHAR</t>
    </r>
    <r>
      <rPr>
        <b/>
        <sz val="10"/>
        <color rgb="FF808080"/>
        <rFont val="Consolas"/>
        <family val="3"/>
      </rPr>
      <t>(</t>
    </r>
    <r>
      <rPr>
        <b/>
        <sz val="10"/>
        <color rgb="FFFF2800"/>
        <rFont val="Consolas"/>
        <family val="3"/>
      </rPr>
      <t>10</t>
    </r>
    <r>
      <rPr>
        <b/>
        <sz val="10"/>
        <color rgb="FF808080"/>
        <rFont val="Consolas"/>
        <family val="3"/>
      </rPr>
      <t>),</t>
    </r>
  </si>
  <si>
    <t>有効終了日</t>
  </si>
  <si>
    <t>有効終了日(YYYYMMDD)</t>
  </si>
  <si>
    <t>effective_end_date</t>
  </si>
  <si>
    <r>
      <t xml:space="preserve">application_number </t>
    </r>
    <r>
      <rPr>
        <b/>
        <sz val="10"/>
        <color rgb="FF0080FF"/>
        <rFont val="Consolas"/>
        <family val="3"/>
      </rPr>
      <t>VARCHAR</t>
    </r>
    <r>
      <rPr>
        <b/>
        <sz val="10"/>
        <color rgb="FF808080"/>
        <rFont val="Consolas"/>
        <family val="3"/>
      </rPr>
      <t>(</t>
    </r>
    <r>
      <rPr>
        <b/>
        <sz val="10"/>
        <color rgb="FFFF2800"/>
        <rFont val="Consolas"/>
        <family val="3"/>
      </rPr>
      <t>24</t>
    </r>
    <r>
      <rPr>
        <b/>
        <sz val="10"/>
        <color rgb="FF808080"/>
        <rFont val="Consolas"/>
        <family val="3"/>
      </rPr>
      <t>),</t>
    </r>
  </si>
  <si>
    <r>
      <t xml:space="preserve">invoice_automatic_change_indicator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</si>
  <si>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r>
      <t>CONSTRAINT</t>
    </r>
    <r>
      <rPr>
        <b/>
        <sz val="10"/>
        <color theme="1"/>
        <rFont val="Consolas"/>
        <family val="3"/>
      </rPr>
      <t xml:space="preserve"> pk_cop_payment_information </t>
    </r>
    <r>
      <rPr>
        <b/>
        <sz val="10"/>
        <color rgb="FF0080FF"/>
        <rFont val="Consolas"/>
        <family val="3"/>
      </rPr>
      <t>PRIMARY</t>
    </r>
    <r>
      <rPr>
        <b/>
        <sz val="10"/>
        <color theme="1"/>
        <rFont val="Consolas"/>
        <family val="3"/>
      </rPr>
      <t xml:space="preserve"> </t>
    </r>
    <r>
      <rPr>
        <b/>
        <sz val="10"/>
        <color rgb="FF0080FF"/>
        <rFont val="Consolas"/>
        <family val="3"/>
      </rPr>
      <t>KEY</t>
    </r>
    <r>
      <rPr>
        <b/>
        <sz val="10"/>
        <color theme="1"/>
        <rFont val="Consolas"/>
        <family val="3"/>
      </rPr>
      <t xml:space="preserve"> </t>
    </r>
    <r>
      <rPr>
        <b/>
        <sz val="10"/>
        <color rgb="FF808080"/>
        <rFont val="Consolas"/>
        <family val="3"/>
      </rPr>
      <t>(</t>
    </r>
    <r>
      <rPr>
        <b/>
        <sz val="10"/>
        <color theme="1"/>
        <rFont val="Consolas"/>
        <family val="3"/>
      </rPr>
      <t>id</t>
    </r>
    <r>
      <rPr>
        <b/>
        <sz val="10"/>
        <color rgb="FF808080"/>
        <rFont val="Consolas"/>
        <family val="3"/>
      </rPr>
      <t>));</t>
    </r>
    <r>
      <rPr>
        <b/>
        <sz val="10"/>
        <color theme="1"/>
        <rFont val="Consolas"/>
        <family val="3"/>
      </rPr>
      <t xml:space="preserve"> </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</si>
  <si>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TABLE</t>
    </r>
    <r>
      <rPr>
        <b/>
        <sz val="10"/>
        <color theme="1"/>
        <rFont val="Consolas"/>
        <family val="3"/>
      </rPr>
      <t xml:space="preserve"> cop_payment_information </t>
    </r>
    <r>
      <rPr>
        <b/>
        <sz val="10"/>
        <color rgb="FF0080FF"/>
        <rFont val="Consolas"/>
        <family val="3"/>
      </rPr>
      <t>IS</t>
    </r>
    <r>
      <rPr>
        <b/>
        <sz val="10"/>
        <color theme="1"/>
        <rFont val="Consolas"/>
        <family val="3"/>
      </rPr>
      <t xml:space="preserve"> </t>
    </r>
    <r>
      <rPr>
        <b/>
        <sz val="10"/>
        <color rgb="FFFF2800"/>
        <rFont val="Consolas"/>
        <family val="3"/>
      </rPr>
      <t>'b_cop_支払情報'</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</si>
  <si>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cop_payment_information</t>
    </r>
    <r>
      <rPr>
        <b/>
        <sz val="10"/>
        <color rgb="FF808080"/>
        <rFont val="Consolas"/>
        <family val="3"/>
      </rPr>
      <t>.</t>
    </r>
    <r>
      <rPr>
        <b/>
        <sz val="10"/>
        <color theme="1"/>
        <rFont val="Consolas"/>
        <family val="3"/>
      </rPr>
      <t xml:space="preserve">id </t>
    </r>
    <r>
      <rPr>
        <b/>
        <sz val="10"/>
        <color rgb="FF0080FF"/>
        <rFont val="Consolas"/>
        <family val="3"/>
      </rPr>
      <t>IS</t>
    </r>
    <r>
      <rPr>
        <b/>
        <sz val="10"/>
        <color theme="1"/>
        <rFont val="Consolas"/>
        <family val="3"/>
      </rPr>
      <t xml:space="preserve"> </t>
    </r>
    <r>
      <rPr>
        <b/>
        <sz val="10"/>
        <color rgb="FFFF2800"/>
        <rFont val="Consolas"/>
        <family val="3"/>
      </rPr>
      <t>'id'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</si>
  <si>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cop_payment_information</t>
    </r>
    <r>
      <rPr>
        <b/>
        <sz val="10"/>
        <color rgb="FF808080"/>
        <rFont val="Consolas"/>
        <family val="3"/>
      </rPr>
      <t>.</t>
    </r>
    <r>
      <rPr>
        <b/>
        <sz val="10"/>
        <color theme="1"/>
        <rFont val="Consolas"/>
        <family val="3"/>
      </rPr>
      <t xml:space="preserve">record_serial_number </t>
    </r>
    <r>
      <rPr>
        <b/>
        <sz val="10"/>
        <color rgb="FF0080FF"/>
        <rFont val="Consolas"/>
        <family val="3"/>
      </rPr>
      <t>IS</t>
    </r>
    <r>
      <rPr>
        <b/>
        <sz val="10"/>
        <color theme="1"/>
        <rFont val="Consolas"/>
        <family val="3"/>
      </rPr>
      <t xml:space="preserve"> </t>
    </r>
    <r>
      <rPr>
        <b/>
        <sz val="10"/>
        <color rgb="FFFF2800"/>
        <rFont val="Consolas"/>
        <family val="3"/>
      </rPr>
      <t>'レコード通番'</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</si>
  <si>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cop_payment_information</t>
    </r>
    <r>
      <rPr>
        <b/>
        <sz val="10"/>
        <color rgb="FF808080"/>
        <rFont val="Consolas"/>
        <family val="3"/>
      </rPr>
      <t>.</t>
    </r>
    <r>
      <rPr>
        <b/>
        <sz val="10"/>
        <color theme="1"/>
        <rFont val="Consolas"/>
        <family val="3"/>
      </rPr>
      <t xml:space="preserve">billing_group_id </t>
    </r>
    <r>
      <rPr>
        <b/>
        <sz val="10"/>
        <color rgb="FF0080FF"/>
        <rFont val="Consolas"/>
        <family val="3"/>
      </rPr>
      <t>IS</t>
    </r>
    <r>
      <rPr>
        <b/>
        <sz val="10"/>
        <color theme="1"/>
        <rFont val="Consolas"/>
        <family val="3"/>
      </rPr>
      <t xml:space="preserve"> </t>
    </r>
    <r>
      <rPr>
        <b/>
        <sz val="10"/>
        <color rgb="FFFF2800"/>
        <rFont val="Consolas"/>
        <family val="3"/>
      </rPr>
      <t>'請求グループid'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</si>
  <si>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cop_payment_information</t>
    </r>
    <r>
      <rPr>
        <b/>
        <sz val="10"/>
        <color rgb="FF808080"/>
        <rFont val="Consolas"/>
        <family val="3"/>
      </rPr>
      <t>.</t>
    </r>
    <r>
      <rPr>
        <b/>
        <sz val="10"/>
        <color theme="1"/>
        <rFont val="Consolas"/>
        <family val="3"/>
      </rPr>
      <t xml:space="preserve">effective_start_date </t>
    </r>
    <r>
      <rPr>
        <b/>
        <sz val="10"/>
        <color rgb="FF0080FF"/>
        <rFont val="Consolas"/>
        <family val="3"/>
      </rPr>
      <t>IS</t>
    </r>
    <r>
      <rPr>
        <b/>
        <sz val="10"/>
        <color theme="1"/>
        <rFont val="Consolas"/>
        <family val="3"/>
      </rPr>
      <t xml:space="preserve"> </t>
    </r>
    <r>
      <rPr>
        <b/>
        <sz val="10"/>
        <color rgb="FFFF2800"/>
        <rFont val="Consolas"/>
        <family val="3"/>
      </rPr>
      <t>'有効開始日'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</si>
  <si>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cop_payment_information</t>
    </r>
    <r>
      <rPr>
        <b/>
        <sz val="10"/>
        <color rgb="FF808080"/>
        <rFont val="Consolas"/>
        <family val="3"/>
      </rPr>
      <t>.</t>
    </r>
    <r>
      <rPr>
        <b/>
        <sz val="10"/>
        <color theme="1"/>
        <rFont val="Consolas"/>
        <family val="3"/>
      </rPr>
      <t xml:space="preserve">effective_end_date </t>
    </r>
    <r>
      <rPr>
        <b/>
        <sz val="10"/>
        <color rgb="FF0080FF"/>
        <rFont val="Consolas"/>
        <family val="3"/>
      </rPr>
      <t>IS</t>
    </r>
    <r>
      <rPr>
        <b/>
        <sz val="10"/>
        <color theme="1"/>
        <rFont val="Consolas"/>
        <family val="3"/>
      </rPr>
      <t xml:space="preserve"> </t>
    </r>
    <r>
      <rPr>
        <b/>
        <sz val="10"/>
        <color rgb="FFFF2800"/>
        <rFont val="Consolas"/>
        <family val="3"/>
      </rPr>
      <t>'有効終了日'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</si>
  <si>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cop_payment_information</t>
    </r>
    <r>
      <rPr>
        <b/>
        <sz val="10"/>
        <color rgb="FF808080"/>
        <rFont val="Consolas"/>
        <family val="3"/>
      </rPr>
      <t>.</t>
    </r>
    <r>
      <rPr>
        <b/>
        <sz val="10"/>
        <color theme="1"/>
        <rFont val="Consolas"/>
        <family val="3"/>
      </rPr>
      <t xml:space="preserve">deletion_indicator </t>
    </r>
    <r>
      <rPr>
        <b/>
        <sz val="10"/>
        <color rgb="FF0080FF"/>
        <rFont val="Consolas"/>
        <family val="3"/>
      </rPr>
      <t>IS</t>
    </r>
    <r>
      <rPr>
        <b/>
        <sz val="10"/>
        <color theme="1"/>
        <rFont val="Consolas"/>
        <family val="3"/>
      </rPr>
      <t xml:space="preserve"> </t>
    </r>
    <r>
      <rPr>
        <b/>
        <sz val="10"/>
        <color rgb="FFFF2800"/>
        <rFont val="Consolas"/>
        <family val="3"/>
      </rPr>
      <t>'削除インジケータ'</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</si>
  <si>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cop_payment_information</t>
    </r>
    <r>
      <rPr>
        <b/>
        <sz val="10"/>
        <color rgb="FF808080"/>
        <rFont val="Consolas"/>
        <family val="3"/>
      </rPr>
      <t>.</t>
    </r>
    <r>
      <rPr>
        <b/>
        <sz val="10"/>
        <color theme="1"/>
        <rFont val="Consolas"/>
        <family val="3"/>
      </rPr>
      <t xml:space="preserve">created_date </t>
    </r>
    <r>
      <rPr>
        <b/>
        <sz val="10"/>
        <color rgb="FF0080FF"/>
        <rFont val="Consolas"/>
        <family val="3"/>
      </rPr>
      <t>IS</t>
    </r>
    <r>
      <rPr>
        <b/>
        <sz val="10"/>
        <color theme="1"/>
        <rFont val="Consolas"/>
        <family val="3"/>
      </rPr>
      <t xml:space="preserve"> </t>
    </r>
    <r>
      <rPr>
        <b/>
        <sz val="10"/>
        <color rgb="FFFF2800"/>
        <rFont val="Consolas"/>
        <family val="3"/>
      </rPr>
      <t>'作成日'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</si>
  <si>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cop_payment_information</t>
    </r>
    <r>
      <rPr>
        <b/>
        <sz val="10"/>
        <color rgb="FF808080"/>
        <rFont val="Consolas"/>
        <family val="3"/>
      </rPr>
      <t>.</t>
    </r>
    <r>
      <rPr>
        <b/>
        <sz val="10"/>
        <color theme="1"/>
        <rFont val="Consolas"/>
        <family val="3"/>
      </rPr>
      <t xml:space="preserve">new_code </t>
    </r>
    <r>
      <rPr>
        <b/>
        <sz val="10"/>
        <color rgb="FF0080FF"/>
        <rFont val="Consolas"/>
        <family val="3"/>
      </rPr>
      <t>IS</t>
    </r>
    <r>
      <rPr>
        <b/>
        <sz val="10"/>
        <color theme="1"/>
        <rFont val="Consolas"/>
        <family val="3"/>
      </rPr>
      <t xml:space="preserve"> </t>
    </r>
    <r>
      <rPr>
        <b/>
        <sz val="10"/>
        <color rgb="FFFF2800"/>
        <rFont val="Consolas"/>
        <family val="3"/>
      </rPr>
      <t>'新規コード'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</si>
  <si>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cop_payment_information</t>
    </r>
    <r>
      <rPr>
        <b/>
        <sz val="10"/>
        <color rgb="FF808080"/>
        <rFont val="Consolas"/>
        <family val="3"/>
      </rPr>
      <t>.</t>
    </r>
    <r>
      <rPr>
        <b/>
        <sz val="10"/>
        <color theme="1"/>
        <rFont val="Consolas"/>
        <family val="3"/>
      </rPr>
      <t xml:space="preserve">billing_payment_method_code </t>
    </r>
    <r>
      <rPr>
        <b/>
        <sz val="10"/>
        <color rgb="FF0080FF"/>
        <rFont val="Consolas"/>
        <family val="3"/>
      </rPr>
      <t>IS</t>
    </r>
    <r>
      <rPr>
        <b/>
        <sz val="10"/>
        <color theme="1"/>
        <rFont val="Consolas"/>
        <family val="3"/>
      </rPr>
      <t xml:space="preserve"> </t>
    </r>
    <r>
      <rPr>
        <b/>
        <sz val="10"/>
        <color rgb="FFFF2800"/>
        <rFont val="Consolas"/>
        <family val="3"/>
      </rPr>
      <t>'請求支払方法コード'</t>
    </r>
    <r>
      <rPr>
        <b/>
        <sz val="10"/>
        <color rgb="FF808080"/>
        <rFont val="Consolas"/>
        <family val="3"/>
      </rPr>
      <t>;</t>
    </r>
  </si>
  <si>
    <t>削除インジケータ</t>
  </si>
  <si>
    <t>N：有効レコード</t>
  </si>
  <si>
    <t>deletion_indicator</t>
  </si>
  <si>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cop_payment_information</t>
    </r>
    <r>
      <rPr>
        <b/>
        <sz val="10"/>
        <color rgb="FF808080"/>
        <rFont val="Consolas"/>
        <family val="3"/>
      </rPr>
      <t>.</t>
    </r>
    <r>
      <rPr>
        <b/>
        <sz val="10"/>
        <color theme="1"/>
        <rFont val="Consolas"/>
        <family val="3"/>
      </rPr>
      <t xml:space="preserve">reseller_company_id </t>
    </r>
    <r>
      <rPr>
        <b/>
        <sz val="10"/>
        <color rgb="FF0080FF"/>
        <rFont val="Consolas"/>
        <family val="3"/>
      </rPr>
      <t>IS</t>
    </r>
    <r>
      <rPr>
        <b/>
        <sz val="10"/>
        <color theme="1"/>
        <rFont val="Consolas"/>
        <family val="3"/>
      </rPr>
      <t xml:space="preserve"> </t>
    </r>
    <r>
      <rPr>
        <b/>
        <sz val="10"/>
        <color rgb="FFFF2800"/>
        <rFont val="Consolas"/>
        <family val="3"/>
      </rPr>
      <t>'再販会社id'</t>
    </r>
    <r>
      <rPr>
        <b/>
        <sz val="10"/>
        <color rgb="FF808080"/>
        <rFont val="Consolas"/>
        <family val="3"/>
      </rPr>
      <t>;</t>
    </r>
  </si>
  <si>
    <t>Y：論理削除（DWHでは物理削除されるため、存在しない）</t>
  </si>
  <si>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cop_payment_information</t>
    </r>
    <r>
      <rPr>
        <b/>
        <sz val="10"/>
        <color rgb="FF808080"/>
        <rFont val="Consolas"/>
        <family val="3"/>
      </rPr>
      <t>.</t>
    </r>
    <r>
      <rPr>
        <b/>
        <sz val="10"/>
        <color theme="1"/>
        <rFont val="Consolas"/>
        <family val="3"/>
      </rPr>
      <t xml:space="preserve">financial_institution_type_code </t>
    </r>
    <r>
      <rPr>
        <b/>
        <sz val="10"/>
        <color rgb="FF0080FF"/>
        <rFont val="Consolas"/>
        <family val="3"/>
      </rPr>
      <t>IS</t>
    </r>
    <r>
      <rPr>
        <b/>
        <sz val="10"/>
        <color theme="1"/>
        <rFont val="Consolas"/>
        <family val="3"/>
      </rPr>
      <t xml:space="preserve"> </t>
    </r>
    <r>
      <rPr>
        <b/>
        <sz val="10"/>
        <color rgb="FFFF2800"/>
        <rFont val="Consolas"/>
        <family val="3"/>
      </rPr>
      <t>'金融機関タイプコード'</t>
    </r>
    <r>
      <rPr>
        <b/>
        <sz val="10"/>
        <color rgb="FF808080"/>
        <rFont val="Consolas"/>
        <family val="3"/>
      </rPr>
      <t>;</t>
    </r>
  </si>
  <si>
    <t>作成日</t>
  </si>
  <si>
    <t>created_date</t>
  </si>
  <si>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cop_payment_information</t>
    </r>
    <r>
      <rPr>
        <b/>
        <sz val="10"/>
        <color rgb="FF808080"/>
        <rFont val="Consolas"/>
        <family val="3"/>
      </rPr>
      <t>.</t>
    </r>
    <r>
      <rPr>
        <b/>
        <sz val="10"/>
        <color theme="1"/>
        <rFont val="Consolas"/>
        <family val="3"/>
      </rPr>
      <t xml:space="preserve">invoice_type_code </t>
    </r>
    <r>
      <rPr>
        <b/>
        <sz val="10"/>
        <color rgb="FF0080FF"/>
        <rFont val="Consolas"/>
        <family val="3"/>
      </rPr>
      <t>IS</t>
    </r>
    <r>
      <rPr>
        <b/>
        <sz val="10"/>
        <color theme="1"/>
        <rFont val="Consolas"/>
        <family val="3"/>
      </rPr>
      <t xml:space="preserve"> </t>
    </r>
    <r>
      <rPr>
        <b/>
        <sz val="10"/>
        <color rgb="FFFF2800"/>
        <rFont val="Consolas"/>
        <family val="3"/>
      </rPr>
      <t>'請求書タイプコード'</t>
    </r>
    <r>
      <rPr>
        <b/>
        <sz val="10"/>
        <color rgb="FF808080"/>
        <rFont val="Consolas"/>
        <family val="3"/>
      </rPr>
      <t>;</t>
    </r>
  </si>
  <si>
    <t>新規コード</t>
  </si>
  <si>
    <t>OMコードリファレンス#0138</t>
  </si>
  <si>
    <t>new_code</t>
  </si>
  <si>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cop_payment_information</t>
    </r>
    <r>
      <rPr>
        <b/>
        <sz val="10"/>
        <color rgb="FF808080"/>
        <rFont val="Consolas"/>
        <family val="3"/>
      </rPr>
      <t>.</t>
    </r>
    <r>
      <rPr>
        <b/>
        <sz val="10"/>
        <color theme="1"/>
        <rFont val="Consolas"/>
        <family val="3"/>
      </rPr>
      <t xml:space="preserve">bank_id </t>
    </r>
    <r>
      <rPr>
        <b/>
        <sz val="10"/>
        <color rgb="FF0080FF"/>
        <rFont val="Consolas"/>
        <family val="3"/>
      </rPr>
      <t>IS</t>
    </r>
    <r>
      <rPr>
        <b/>
        <sz val="10"/>
        <color theme="1"/>
        <rFont val="Consolas"/>
        <family val="3"/>
      </rPr>
      <t xml:space="preserve"> </t>
    </r>
    <r>
      <rPr>
        <b/>
        <sz val="10"/>
        <color rgb="FFFF2800"/>
        <rFont val="Consolas"/>
        <family val="3"/>
      </rPr>
      <t>'銀行id'</t>
    </r>
    <r>
      <rPr>
        <b/>
        <sz val="10"/>
        <color rgb="FF808080"/>
        <rFont val="Consolas"/>
        <family val="3"/>
      </rPr>
      <t>;</t>
    </r>
  </si>
  <si>
    <t>請求支払方法コード</t>
  </si>
  <si>
    <t>OMコードリファレンス#0071</t>
  </si>
  <si>
    <t>billing_payment_method_code</t>
  </si>
  <si>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cop_payment_information</t>
    </r>
    <r>
      <rPr>
        <b/>
        <sz val="10"/>
        <color rgb="FF808080"/>
        <rFont val="Consolas"/>
        <family val="3"/>
      </rPr>
      <t>.</t>
    </r>
    <r>
      <rPr>
        <b/>
        <sz val="10"/>
        <color theme="1"/>
        <rFont val="Consolas"/>
        <family val="3"/>
      </rPr>
      <t xml:space="preserve">bank_branch_id </t>
    </r>
    <r>
      <rPr>
        <b/>
        <sz val="10"/>
        <color rgb="FF0080FF"/>
        <rFont val="Consolas"/>
        <family val="3"/>
      </rPr>
      <t>IS</t>
    </r>
    <r>
      <rPr>
        <b/>
        <sz val="10"/>
        <color theme="1"/>
        <rFont val="Consolas"/>
        <family val="3"/>
      </rPr>
      <t xml:space="preserve"> </t>
    </r>
    <r>
      <rPr>
        <b/>
        <sz val="10"/>
        <color rgb="FFFF2800"/>
        <rFont val="Consolas"/>
        <family val="3"/>
      </rPr>
      <t>'銀行支店id'</t>
    </r>
    <r>
      <rPr>
        <b/>
        <sz val="10"/>
        <color rgb="FF808080"/>
        <rFont val="Consolas"/>
        <family val="3"/>
      </rPr>
      <t>;</t>
    </r>
  </si>
  <si>
    <t>再販会社id</t>
  </si>
  <si>
    <t>請求支払方法コードが"90"（再販）の場合、再販会社IDが設定される</t>
  </si>
  <si>
    <t>reseller_company_id</t>
  </si>
  <si>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cop_payment_information</t>
    </r>
    <r>
      <rPr>
        <b/>
        <sz val="10"/>
        <color rgb="FF808080"/>
        <rFont val="Consolas"/>
        <family val="3"/>
      </rPr>
      <t>.</t>
    </r>
    <r>
      <rPr>
        <b/>
        <sz val="10"/>
        <color theme="1"/>
        <rFont val="Consolas"/>
        <family val="3"/>
      </rPr>
      <t xml:space="preserve">post_office_id </t>
    </r>
    <r>
      <rPr>
        <b/>
        <sz val="10"/>
        <color rgb="FF0080FF"/>
        <rFont val="Consolas"/>
        <family val="3"/>
      </rPr>
      <t>IS</t>
    </r>
    <r>
      <rPr>
        <b/>
        <sz val="10"/>
        <color theme="1"/>
        <rFont val="Consolas"/>
        <family val="3"/>
      </rPr>
      <t xml:space="preserve"> </t>
    </r>
    <r>
      <rPr>
        <b/>
        <sz val="10"/>
        <color rgb="FFFF2800"/>
        <rFont val="Consolas"/>
        <family val="3"/>
      </rPr>
      <t>'郵便局id'</t>
    </r>
    <r>
      <rPr>
        <b/>
        <sz val="10"/>
        <color rgb="FF808080"/>
        <rFont val="Consolas"/>
        <family val="3"/>
      </rPr>
      <t>;</t>
    </r>
  </si>
  <si>
    <t>金融機関タイプコード</t>
  </si>
  <si>
    <t>OMコードリファレンス#0069</t>
  </si>
  <si>
    <t>financial_institution_type_code</t>
  </si>
  <si>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cop_payment_information</t>
    </r>
    <r>
      <rPr>
        <b/>
        <sz val="10"/>
        <color rgb="FF808080"/>
        <rFont val="Consolas"/>
        <family val="3"/>
      </rPr>
      <t>.</t>
    </r>
    <r>
      <rPr>
        <b/>
        <sz val="10"/>
        <color theme="1"/>
        <rFont val="Consolas"/>
        <family val="3"/>
      </rPr>
      <t xml:space="preserve">credit_card_company_id </t>
    </r>
    <r>
      <rPr>
        <b/>
        <sz val="10"/>
        <color rgb="FF0080FF"/>
        <rFont val="Consolas"/>
        <family val="3"/>
      </rPr>
      <t>IS</t>
    </r>
    <r>
      <rPr>
        <b/>
        <sz val="10"/>
        <color theme="1"/>
        <rFont val="Consolas"/>
        <family val="3"/>
      </rPr>
      <t xml:space="preserve"> </t>
    </r>
    <r>
      <rPr>
        <b/>
        <sz val="10"/>
        <color rgb="FFFF2800"/>
        <rFont val="Consolas"/>
        <family val="3"/>
      </rPr>
      <t>'credit_card_会社id'</t>
    </r>
    <r>
      <rPr>
        <b/>
        <sz val="10"/>
        <color rgb="FF808080"/>
        <rFont val="Consolas"/>
        <family val="3"/>
      </rPr>
      <t>;</t>
    </r>
  </si>
  <si>
    <t>請求書タイプコード</t>
  </si>
  <si>
    <t>OMコードリファレンス#0074</t>
  </si>
  <si>
    <t>invoice_type_code</t>
  </si>
  <si>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cop_payment_information</t>
    </r>
    <r>
      <rPr>
        <b/>
        <sz val="10"/>
        <color rgb="FF808080"/>
        <rFont val="Consolas"/>
        <family val="3"/>
      </rPr>
      <t>.</t>
    </r>
    <r>
      <rPr>
        <b/>
        <sz val="10"/>
        <color theme="1"/>
        <rFont val="Consolas"/>
        <family val="3"/>
      </rPr>
      <t xml:space="preserve">application_number </t>
    </r>
    <r>
      <rPr>
        <b/>
        <sz val="10"/>
        <color rgb="FF0080FF"/>
        <rFont val="Consolas"/>
        <family val="3"/>
      </rPr>
      <t>IS</t>
    </r>
    <r>
      <rPr>
        <b/>
        <sz val="10"/>
        <color theme="1"/>
        <rFont val="Consolas"/>
        <family val="3"/>
      </rPr>
      <t xml:space="preserve"> </t>
    </r>
    <r>
      <rPr>
        <b/>
        <sz val="10"/>
        <color rgb="FFFF2800"/>
        <rFont val="Consolas"/>
        <family val="3"/>
      </rPr>
      <t>'申込書番号'</t>
    </r>
    <r>
      <rPr>
        <b/>
        <sz val="10"/>
        <color rgb="FF808080"/>
        <rFont val="Consolas"/>
        <family val="3"/>
      </rPr>
      <t>;</t>
    </r>
  </si>
  <si>
    <t>銀行id</t>
  </si>
  <si>
    <t>銀行ID</t>
  </si>
  <si>
    <t>bank_id</t>
  </si>
  <si>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cop_payment_information</t>
    </r>
    <r>
      <rPr>
        <b/>
        <sz val="10"/>
        <color rgb="FF808080"/>
        <rFont val="Consolas"/>
        <family val="3"/>
      </rPr>
      <t>.</t>
    </r>
    <r>
      <rPr>
        <b/>
        <sz val="10"/>
        <color theme="1"/>
        <rFont val="Consolas"/>
        <family val="3"/>
      </rPr>
      <t xml:space="preserve">invoice_automatic_change_indicator </t>
    </r>
    <r>
      <rPr>
        <b/>
        <sz val="10"/>
        <color rgb="FF0080FF"/>
        <rFont val="Consolas"/>
        <family val="3"/>
      </rPr>
      <t>IS</t>
    </r>
    <r>
      <rPr>
        <b/>
        <sz val="10"/>
        <color theme="1"/>
        <rFont val="Consolas"/>
        <family val="3"/>
      </rPr>
      <t xml:space="preserve"> </t>
    </r>
    <r>
      <rPr>
        <b/>
        <sz val="10"/>
        <color rgb="FFFF2800"/>
        <rFont val="Consolas"/>
        <family val="3"/>
      </rPr>
      <t>'請求書自動変更ind'</t>
    </r>
    <r>
      <rPr>
        <b/>
        <sz val="10"/>
        <color rgb="FF808080"/>
        <rFont val="Consolas"/>
        <family val="3"/>
      </rPr>
      <t>;</t>
    </r>
  </si>
  <si>
    <t>銀行支店id</t>
  </si>
  <si>
    <t>銀行店舗番号</t>
  </si>
  <si>
    <t>bank_branch_id</t>
  </si>
  <si>
    <t>郵便局id</t>
  </si>
  <si>
    <t>郵便局ID</t>
  </si>
  <si>
    <t>post_office_id</t>
  </si>
  <si>
    <t>credit_card_会社id</t>
  </si>
  <si>
    <t>クレジットカード会社を表す5桁番号</t>
  </si>
  <si>
    <t>X3対応(項目名変更)</t>
  </si>
  <si>
    <t>credit_card_company_id</t>
  </si>
  <si>
    <t>application_number</t>
  </si>
  <si>
    <t>請求書自動変更ind</t>
  </si>
  <si>
    <t>invoice_automatic_change_indicator</t>
  </si>
  <si>
    <t>b_cop_契約者リンク履歴</t>
    <phoneticPr fontId="2"/>
  </si>
  <si>
    <t>B_契約者リンク履歴_[権限]</t>
    <phoneticPr fontId="2"/>
  </si>
  <si>
    <t>V000592</t>
  </si>
  <si>
    <t>cop_contractor_link_history</t>
    <phoneticPr fontId="2"/>
  </si>
  <si>
    <t>契約者に属する回線とのリンクを管理。</t>
  </si>
  <si>
    <r>
      <t>DROP</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EXISTS</t>
    </r>
    <r>
      <rPr>
        <b/>
        <sz val="10"/>
        <color theme="1"/>
        <rFont val="Consolas"/>
        <family val="3"/>
      </rPr>
      <t xml:space="preserve"> cop_contractor_link_history </t>
    </r>
    <r>
      <rPr>
        <b/>
        <sz val="10"/>
        <color rgb="FF0080FF"/>
        <rFont val="Consolas"/>
        <family val="3"/>
      </rPr>
      <t>CASCADE</t>
    </r>
    <r>
      <rPr>
        <b/>
        <sz val="10"/>
        <color rgb="FF808080"/>
        <rFont val="Consolas"/>
        <family val="3"/>
      </rPr>
      <t>;</t>
    </r>
    <r>
      <rPr>
        <b/>
        <sz val="10"/>
        <color theme="1"/>
        <rFont val="Consolas"/>
        <family val="3"/>
      </rPr>
      <t xml:space="preserve"> </t>
    </r>
  </si>
  <si>
    <r>
      <t>CREATE</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NOT</t>
    </r>
    <r>
      <rPr>
        <b/>
        <sz val="10"/>
        <color theme="1"/>
        <rFont val="Consolas"/>
        <family val="3"/>
      </rPr>
      <t xml:space="preserve"> </t>
    </r>
    <r>
      <rPr>
        <b/>
        <sz val="10"/>
        <color rgb="FF0080FF"/>
        <rFont val="Consolas"/>
        <family val="3"/>
      </rPr>
      <t>EXISTS</t>
    </r>
    <r>
      <rPr>
        <b/>
        <sz val="10"/>
        <color theme="1"/>
        <rFont val="Consolas"/>
        <family val="3"/>
      </rPr>
      <t xml:space="preserve"> cop_contractor_link_history </t>
    </r>
    <r>
      <rPr>
        <b/>
        <sz val="10"/>
        <color rgb="FF808080"/>
        <rFont val="Consolas"/>
        <family val="3"/>
      </rPr>
      <t>(</t>
    </r>
    <r>
      <rPr>
        <b/>
        <sz val="10"/>
        <color theme="1"/>
        <rFont val="Consolas"/>
        <family val="3"/>
      </rPr>
      <t xml:space="preserve"> </t>
    </r>
  </si>
  <si>
    <t>contractor_id</t>
    <phoneticPr fontId="2"/>
  </si>
  <si>
    <t>請負業者ID</t>
  </si>
  <si>
    <t>contractor_id</t>
  </si>
  <si>
    <r>
      <t xml:space="preserve">contractor_id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</si>
  <si>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created_dt</t>
  </si>
  <si>
    <t>作成日時</t>
  </si>
  <si>
    <t>作成日(YYYYMMDD)</t>
  </si>
  <si>
    <r>
      <t xml:space="preserve">created_dt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</si>
  <si>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service_id</t>
  </si>
  <si>
    <t>サービスID</t>
  </si>
  <si>
    <t>サービスID(S#)</t>
  </si>
  <si>
    <r>
      <t xml:space="preserve">service_id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</si>
  <si>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effective_dt_from</t>
  </si>
  <si>
    <t>有効日時開始日時</t>
  </si>
  <si>
    <r>
      <t xml:space="preserve">effective_dt_from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</si>
  <si>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effective_dt_to</t>
  </si>
  <si>
    <t>有効日時終了日時</t>
  </si>
  <si>
    <r>
      <t xml:space="preserve">effective_dt_to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</si>
  <si>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delete_ind</t>
  </si>
  <si>
    <t>削除インデックス</t>
  </si>
  <si>
    <r>
      <t xml:space="preserve">delete_ind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</si>
  <si>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r>
      <t xml:space="preserve">record_sequence_nbr </t>
    </r>
    <r>
      <rPr>
        <b/>
        <sz val="10"/>
        <color rgb="FF0080FF"/>
        <rFont val="Consolas"/>
        <family val="3"/>
      </rPr>
      <t>DECIMAL</t>
    </r>
    <r>
      <rPr>
        <b/>
        <sz val="10"/>
        <color rgb="FF808080"/>
        <rFont val="Consolas"/>
        <family val="3"/>
      </rPr>
      <t>(</t>
    </r>
    <r>
      <rPr>
        <b/>
        <sz val="10"/>
        <color rgb="FFFF2800"/>
        <rFont val="Consolas"/>
        <family val="3"/>
      </rPr>
      <t>38</t>
    </r>
    <r>
      <rPr>
        <b/>
        <sz val="10"/>
        <color rgb="FF808080"/>
        <rFont val="Consolas"/>
        <family val="3"/>
      </rPr>
      <t>,</t>
    </r>
    <r>
      <rPr>
        <b/>
        <sz val="10"/>
        <color rgb="FFFF2800"/>
        <rFont val="Consolas"/>
        <family val="3"/>
      </rPr>
      <t>0</t>
    </r>
    <r>
      <rPr>
        <b/>
        <sz val="10"/>
        <color rgb="FF808080"/>
        <rFont val="Consolas"/>
        <family val="3"/>
      </rPr>
      <t>),</t>
    </r>
  </si>
  <si>
    <t>record_sequence_nbr</t>
  </si>
  <si>
    <t>レコードシーケンス番号</t>
  </si>
  <si>
    <r>
      <t xml:space="preserve">deactivate_ind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</si>
  <si>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deactivate_ind</t>
  </si>
  <si>
    <t>無効化インデックス</t>
  </si>
  <si>
    <t>解約インジケータ</t>
  </si>
  <si>
    <t>DWHコードリファレンス#0009</t>
  </si>
  <si>
    <r>
      <t>CONSTRAINT</t>
    </r>
    <r>
      <rPr>
        <b/>
        <sz val="10"/>
        <color theme="1"/>
        <rFont val="Consolas"/>
        <family val="3"/>
      </rPr>
      <t xml:space="preserve"> pk_cop_contractor_link_history </t>
    </r>
    <r>
      <rPr>
        <b/>
        <sz val="10"/>
        <color rgb="FF0080FF"/>
        <rFont val="Consolas"/>
        <family val="3"/>
      </rPr>
      <t>PRIMARY</t>
    </r>
    <r>
      <rPr>
        <b/>
        <sz val="10"/>
        <color theme="1"/>
        <rFont val="Consolas"/>
        <family val="3"/>
      </rPr>
      <t xml:space="preserve"> </t>
    </r>
    <r>
      <rPr>
        <b/>
        <sz val="10"/>
        <color rgb="FF0080FF"/>
        <rFont val="Consolas"/>
        <family val="3"/>
      </rPr>
      <t>KEY</t>
    </r>
    <r>
      <rPr>
        <b/>
        <sz val="10"/>
        <color theme="1"/>
        <rFont val="Consolas"/>
        <family val="3"/>
      </rPr>
      <t xml:space="preserve"> </t>
    </r>
    <r>
      <rPr>
        <b/>
        <sz val="10"/>
        <color rgb="FF808080"/>
        <rFont val="Consolas"/>
        <family val="3"/>
      </rPr>
      <t>(</t>
    </r>
    <r>
      <rPr>
        <b/>
        <sz val="10"/>
        <color theme="1"/>
        <rFont val="Consolas"/>
        <family val="3"/>
      </rPr>
      <t>id</t>
    </r>
    <r>
      <rPr>
        <b/>
        <sz val="10"/>
        <color rgb="FF808080"/>
        <rFont val="Consolas"/>
        <family val="3"/>
      </rPr>
      <t>));</t>
    </r>
    <r>
      <rPr>
        <b/>
        <sz val="10"/>
        <color theme="1"/>
        <rFont val="Consolas"/>
        <family val="3"/>
      </rPr>
      <t xml:space="preserve"> </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</si>
  <si>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TABLE</t>
    </r>
    <r>
      <rPr>
        <b/>
        <sz val="10"/>
        <color theme="1"/>
        <rFont val="Consolas"/>
        <family val="3"/>
      </rPr>
      <t xml:space="preserve"> cop_contractor_link_history </t>
    </r>
    <r>
      <rPr>
        <b/>
        <sz val="10"/>
        <color rgb="FF0080FF"/>
        <rFont val="Consolas"/>
        <family val="3"/>
      </rPr>
      <t>IS</t>
    </r>
    <r>
      <rPr>
        <b/>
        <sz val="10"/>
        <color theme="1"/>
        <rFont val="Consolas"/>
        <family val="3"/>
      </rPr>
      <t xml:space="preserve"> </t>
    </r>
    <r>
      <rPr>
        <b/>
        <sz val="10"/>
        <color rgb="FFFF2800"/>
        <rFont val="Consolas"/>
        <family val="3"/>
      </rPr>
      <t>'b_cop_契約者リンク履歴'</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</si>
  <si>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cop_contractor_link_history</t>
    </r>
    <r>
      <rPr>
        <b/>
        <sz val="10"/>
        <color rgb="FF808080"/>
        <rFont val="Consolas"/>
        <family val="3"/>
      </rPr>
      <t>.</t>
    </r>
    <r>
      <rPr>
        <b/>
        <sz val="10"/>
        <color theme="1"/>
        <rFont val="Consolas"/>
        <family val="3"/>
      </rPr>
      <t xml:space="preserve">id </t>
    </r>
    <r>
      <rPr>
        <b/>
        <sz val="10"/>
        <color rgb="FF0080FF"/>
        <rFont val="Consolas"/>
        <family val="3"/>
      </rPr>
      <t>IS</t>
    </r>
    <r>
      <rPr>
        <b/>
        <sz val="10"/>
        <color theme="1"/>
        <rFont val="Consolas"/>
        <family val="3"/>
      </rPr>
      <t xml:space="preserve"> </t>
    </r>
    <r>
      <rPr>
        <b/>
        <sz val="10"/>
        <color rgb="FFFF2800"/>
        <rFont val="Consolas"/>
        <family val="3"/>
      </rPr>
      <t>'id'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</si>
  <si>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cop_contractor_link_history</t>
    </r>
    <r>
      <rPr>
        <b/>
        <sz val="10"/>
        <color rgb="FF808080"/>
        <rFont val="Consolas"/>
        <family val="3"/>
      </rPr>
      <t>.</t>
    </r>
    <r>
      <rPr>
        <b/>
        <sz val="10"/>
        <color theme="1"/>
        <rFont val="Consolas"/>
        <family val="3"/>
      </rPr>
      <t xml:space="preserve">contractor_id </t>
    </r>
    <r>
      <rPr>
        <b/>
        <sz val="10"/>
        <color rgb="FF0080FF"/>
        <rFont val="Consolas"/>
        <family val="3"/>
      </rPr>
      <t>IS</t>
    </r>
    <r>
      <rPr>
        <b/>
        <sz val="10"/>
        <color theme="1"/>
        <rFont val="Consolas"/>
        <family val="3"/>
      </rPr>
      <t xml:space="preserve"> </t>
    </r>
    <r>
      <rPr>
        <b/>
        <sz val="10"/>
        <color rgb="FFFF2800"/>
        <rFont val="Consolas"/>
        <family val="3"/>
      </rPr>
      <t>'請負業者ID'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</si>
  <si>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cop_contractor_link_history</t>
    </r>
    <r>
      <rPr>
        <b/>
        <sz val="10"/>
        <color rgb="FF808080"/>
        <rFont val="Consolas"/>
        <family val="3"/>
      </rPr>
      <t>.</t>
    </r>
    <r>
      <rPr>
        <b/>
        <sz val="10"/>
        <color theme="1"/>
        <rFont val="Consolas"/>
        <family val="3"/>
      </rPr>
      <t xml:space="preserve">created_dt </t>
    </r>
    <r>
      <rPr>
        <b/>
        <sz val="10"/>
        <color rgb="FF0080FF"/>
        <rFont val="Consolas"/>
        <family val="3"/>
      </rPr>
      <t>IS</t>
    </r>
    <r>
      <rPr>
        <b/>
        <sz val="10"/>
        <color theme="1"/>
        <rFont val="Consolas"/>
        <family val="3"/>
      </rPr>
      <t xml:space="preserve"> </t>
    </r>
    <r>
      <rPr>
        <b/>
        <sz val="10"/>
        <color rgb="FFFF2800"/>
        <rFont val="Consolas"/>
        <family val="3"/>
      </rPr>
      <t>'作成日時'</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</si>
  <si>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cop_contractor_link_history</t>
    </r>
    <r>
      <rPr>
        <b/>
        <sz val="10"/>
        <color rgb="FF808080"/>
        <rFont val="Consolas"/>
        <family val="3"/>
      </rPr>
      <t>.</t>
    </r>
    <r>
      <rPr>
        <b/>
        <sz val="10"/>
        <color theme="1"/>
        <rFont val="Consolas"/>
        <family val="3"/>
      </rPr>
      <t xml:space="preserve">service_id </t>
    </r>
    <r>
      <rPr>
        <b/>
        <sz val="10"/>
        <color rgb="FF0080FF"/>
        <rFont val="Consolas"/>
        <family val="3"/>
      </rPr>
      <t>IS</t>
    </r>
    <r>
      <rPr>
        <b/>
        <sz val="10"/>
        <color theme="1"/>
        <rFont val="Consolas"/>
        <family val="3"/>
      </rPr>
      <t xml:space="preserve"> </t>
    </r>
    <r>
      <rPr>
        <b/>
        <sz val="10"/>
        <color rgb="FFFF2800"/>
        <rFont val="Consolas"/>
        <family val="3"/>
      </rPr>
      <t>'サービスID'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</si>
  <si>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cop_contractor_link_history</t>
    </r>
    <r>
      <rPr>
        <b/>
        <sz val="10"/>
        <color rgb="FF808080"/>
        <rFont val="Consolas"/>
        <family val="3"/>
      </rPr>
      <t>.</t>
    </r>
    <r>
      <rPr>
        <b/>
        <sz val="10"/>
        <color theme="1"/>
        <rFont val="Consolas"/>
        <family val="3"/>
      </rPr>
      <t xml:space="preserve">effective_dt_from </t>
    </r>
    <r>
      <rPr>
        <b/>
        <sz val="10"/>
        <color rgb="FF0080FF"/>
        <rFont val="Consolas"/>
        <family val="3"/>
      </rPr>
      <t>IS</t>
    </r>
    <r>
      <rPr>
        <b/>
        <sz val="10"/>
        <color theme="1"/>
        <rFont val="Consolas"/>
        <family val="3"/>
      </rPr>
      <t xml:space="preserve"> </t>
    </r>
    <r>
      <rPr>
        <b/>
        <sz val="10"/>
        <color rgb="FFFF2800"/>
        <rFont val="Consolas"/>
        <family val="3"/>
      </rPr>
      <t>'有効日時開始日時'</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</si>
  <si>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cop_contractor_link_history</t>
    </r>
    <r>
      <rPr>
        <b/>
        <sz val="10"/>
        <color rgb="FF808080"/>
        <rFont val="Consolas"/>
        <family val="3"/>
      </rPr>
      <t>.</t>
    </r>
    <r>
      <rPr>
        <b/>
        <sz val="10"/>
        <color theme="1"/>
        <rFont val="Consolas"/>
        <family val="3"/>
      </rPr>
      <t xml:space="preserve">effective_dt_to </t>
    </r>
    <r>
      <rPr>
        <b/>
        <sz val="10"/>
        <color rgb="FF0080FF"/>
        <rFont val="Consolas"/>
        <family val="3"/>
      </rPr>
      <t>IS</t>
    </r>
    <r>
      <rPr>
        <b/>
        <sz val="10"/>
        <color theme="1"/>
        <rFont val="Consolas"/>
        <family val="3"/>
      </rPr>
      <t xml:space="preserve"> </t>
    </r>
    <r>
      <rPr>
        <b/>
        <sz val="10"/>
        <color rgb="FFFF2800"/>
        <rFont val="Consolas"/>
        <family val="3"/>
      </rPr>
      <t>'有効日時終了日時'</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</si>
  <si>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cop_contractor_link_history</t>
    </r>
    <r>
      <rPr>
        <b/>
        <sz val="10"/>
        <color rgb="FF808080"/>
        <rFont val="Consolas"/>
        <family val="3"/>
      </rPr>
      <t>.</t>
    </r>
    <r>
      <rPr>
        <b/>
        <sz val="10"/>
        <color theme="1"/>
        <rFont val="Consolas"/>
        <family val="3"/>
      </rPr>
      <t xml:space="preserve">delete_ind </t>
    </r>
    <r>
      <rPr>
        <b/>
        <sz val="10"/>
        <color rgb="FF0080FF"/>
        <rFont val="Consolas"/>
        <family val="3"/>
      </rPr>
      <t>IS</t>
    </r>
    <r>
      <rPr>
        <b/>
        <sz val="10"/>
        <color theme="1"/>
        <rFont val="Consolas"/>
        <family val="3"/>
      </rPr>
      <t xml:space="preserve"> </t>
    </r>
    <r>
      <rPr>
        <b/>
        <sz val="10"/>
        <color rgb="FFFF2800"/>
        <rFont val="Consolas"/>
        <family val="3"/>
      </rPr>
      <t>'削除インデックス'</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</si>
  <si>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cop_contractor_link_history</t>
    </r>
    <r>
      <rPr>
        <b/>
        <sz val="10"/>
        <color rgb="FF808080"/>
        <rFont val="Consolas"/>
        <family val="3"/>
      </rPr>
      <t>.</t>
    </r>
    <r>
      <rPr>
        <b/>
        <sz val="10"/>
        <color theme="1"/>
        <rFont val="Consolas"/>
        <family val="3"/>
      </rPr>
      <t xml:space="preserve">record_sequence_nbr </t>
    </r>
    <r>
      <rPr>
        <b/>
        <sz val="10"/>
        <color rgb="FF0080FF"/>
        <rFont val="Consolas"/>
        <family val="3"/>
      </rPr>
      <t>IS</t>
    </r>
    <r>
      <rPr>
        <b/>
        <sz val="10"/>
        <color theme="1"/>
        <rFont val="Consolas"/>
        <family val="3"/>
      </rPr>
      <t xml:space="preserve"> </t>
    </r>
    <r>
      <rPr>
        <b/>
        <sz val="10"/>
        <color rgb="FFFF2800"/>
        <rFont val="Consolas"/>
        <family val="3"/>
      </rPr>
      <t>'レコードシーケンス番号'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</si>
  <si>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cop_contractor_link_history</t>
    </r>
    <r>
      <rPr>
        <b/>
        <sz val="10"/>
        <color rgb="FF808080"/>
        <rFont val="Consolas"/>
        <family val="3"/>
      </rPr>
      <t>.</t>
    </r>
    <r>
      <rPr>
        <b/>
        <sz val="10"/>
        <color theme="1"/>
        <rFont val="Consolas"/>
        <family val="3"/>
      </rPr>
      <t xml:space="preserve">deactivate_ind </t>
    </r>
    <r>
      <rPr>
        <b/>
        <sz val="10"/>
        <color rgb="FF0080FF"/>
        <rFont val="Consolas"/>
        <family val="3"/>
      </rPr>
      <t>IS</t>
    </r>
    <r>
      <rPr>
        <b/>
        <sz val="10"/>
        <color theme="1"/>
        <rFont val="Consolas"/>
        <family val="3"/>
      </rPr>
      <t xml:space="preserve"> </t>
    </r>
    <r>
      <rPr>
        <b/>
        <sz val="10"/>
        <color rgb="FFFF2800"/>
        <rFont val="Consolas"/>
        <family val="3"/>
      </rPr>
      <t>'無効化インデックス'</t>
    </r>
    <r>
      <rPr>
        <b/>
        <sz val="10"/>
        <color rgb="FF808080"/>
        <rFont val="Consolas"/>
        <family val="3"/>
      </rPr>
      <t>;</t>
    </r>
  </si>
  <si>
    <t>b_cop_svcリンク履歴</t>
    <phoneticPr fontId="2"/>
  </si>
  <si>
    <t>B_SVCリンク履歴_[権限]</t>
  </si>
  <si>
    <t>V000446</t>
  </si>
  <si>
    <t>cop_svc_link_history</t>
    <phoneticPr fontId="2"/>
  </si>
  <si>
    <t>請求先に属する回線とのリンクを管理。</t>
  </si>
  <si>
    <r>
      <t>DROP</t>
    </r>
    <r>
      <rPr>
        <sz val="10"/>
        <color theme="1"/>
        <rFont val="Consolas"/>
        <family val="3"/>
      </rPr>
      <t xml:space="preserve"> </t>
    </r>
    <r>
      <rPr>
        <sz val="10"/>
        <color rgb="FF0080FF"/>
        <rFont val="Consolas"/>
        <family val="3"/>
      </rPr>
      <t>TABLE</t>
    </r>
    <r>
      <rPr>
        <sz val="10"/>
        <color theme="1"/>
        <rFont val="Consolas"/>
        <family val="3"/>
      </rPr>
      <t xml:space="preserve"> </t>
    </r>
    <r>
      <rPr>
        <sz val="10"/>
        <color rgb="FF0080FF"/>
        <rFont val="Consolas"/>
        <family val="3"/>
      </rPr>
      <t>IF</t>
    </r>
    <r>
      <rPr>
        <sz val="10"/>
        <color theme="1"/>
        <rFont val="Consolas"/>
        <family val="3"/>
      </rPr>
      <t xml:space="preserve"> </t>
    </r>
    <r>
      <rPr>
        <sz val="10"/>
        <color rgb="FF0080FF"/>
        <rFont val="Consolas"/>
        <family val="3"/>
      </rPr>
      <t>EXISTS</t>
    </r>
    <r>
      <rPr>
        <sz val="10"/>
        <color theme="1"/>
        <rFont val="Consolas"/>
        <family val="3"/>
      </rPr>
      <t xml:space="preserve"> cop_svc_link_history </t>
    </r>
    <r>
      <rPr>
        <sz val="10"/>
        <color rgb="FF0080FF"/>
        <rFont val="Consolas"/>
        <family val="3"/>
      </rPr>
      <t>CASCADE</t>
    </r>
    <r>
      <rPr>
        <sz val="10"/>
        <color rgb="FF808080"/>
        <rFont val="Consolas"/>
        <family val="3"/>
      </rPr>
      <t>;</t>
    </r>
  </si>
  <si>
    <r>
      <t>CREATE</t>
    </r>
    <r>
      <rPr>
        <sz val="10"/>
        <color theme="1"/>
        <rFont val="Consolas"/>
        <family val="3"/>
      </rPr>
      <t xml:space="preserve"> </t>
    </r>
    <r>
      <rPr>
        <sz val="10"/>
        <color rgb="FF0080FF"/>
        <rFont val="Consolas"/>
        <family val="3"/>
      </rPr>
      <t>TABLE</t>
    </r>
    <r>
      <rPr>
        <sz val="10"/>
        <color theme="1"/>
        <rFont val="Consolas"/>
        <family val="3"/>
      </rPr>
      <t xml:space="preserve"> </t>
    </r>
    <r>
      <rPr>
        <sz val="10"/>
        <color rgb="FF0080FF"/>
        <rFont val="Consolas"/>
        <family val="3"/>
      </rPr>
      <t>IF</t>
    </r>
    <r>
      <rPr>
        <sz val="10"/>
        <color theme="1"/>
        <rFont val="Consolas"/>
        <family val="3"/>
      </rPr>
      <t xml:space="preserve"> </t>
    </r>
    <r>
      <rPr>
        <sz val="10"/>
        <color rgb="FF0080FF"/>
        <rFont val="Consolas"/>
        <family val="3"/>
      </rPr>
      <t>NOT</t>
    </r>
    <r>
      <rPr>
        <sz val="10"/>
        <color theme="1"/>
        <rFont val="Consolas"/>
        <family val="3"/>
      </rPr>
      <t xml:space="preserve"> </t>
    </r>
    <r>
      <rPr>
        <sz val="10"/>
        <color rgb="FF0080FF"/>
        <rFont val="Consolas"/>
        <family val="3"/>
      </rPr>
      <t>EXISTS</t>
    </r>
    <r>
      <rPr>
        <sz val="10"/>
        <color theme="1"/>
        <rFont val="Consolas"/>
        <family val="3"/>
      </rPr>
      <t xml:space="preserve"> cop_svc_link_history </t>
    </r>
    <r>
      <rPr>
        <sz val="10"/>
        <color rgb="FF808080"/>
        <rFont val="Consolas"/>
        <family val="3"/>
      </rPr>
      <t>(</t>
    </r>
    <r>
      <rPr>
        <sz val="10"/>
        <color theme="1"/>
        <rFont val="Consolas"/>
        <family val="3"/>
      </rPr>
      <t xml:space="preserve"> </t>
    </r>
  </si>
  <si>
    <r>
      <t xml:space="preserve">id BIGINT GENERATED </t>
    </r>
    <r>
      <rPr>
        <sz val="10"/>
        <color rgb="FF0080FF"/>
        <rFont val="Consolas"/>
        <family val="3"/>
      </rPr>
      <t>BY</t>
    </r>
    <r>
      <rPr>
        <sz val="10"/>
        <color theme="1"/>
        <rFont val="Consolas"/>
        <family val="3"/>
      </rPr>
      <t xml:space="preserve"> </t>
    </r>
    <r>
      <rPr>
        <sz val="10"/>
        <color rgb="FF0080FF"/>
        <rFont val="Consolas"/>
        <family val="3"/>
      </rPr>
      <t>DEFAULT</t>
    </r>
    <r>
      <rPr>
        <sz val="10"/>
        <color theme="1"/>
        <rFont val="Consolas"/>
        <family val="3"/>
      </rPr>
      <t xml:space="preserve"> </t>
    </r>
    <r>
      <rPr>
        <sz val="10"/>
        <color rgb="FF0080FF"/>
        <rFont val="Consolas"/>
        <family val="3"/>
      </rPr>
      <t>AS</t>
    </r>
    <r>
      <rPr>
        <sz val="10"/>
        <color theme="1"/>
        <rFont val="Consolas"/>
        <family val="3"/>
      </rPr>
      <t xml:space="preserve"> </t>
    </r>
    <r>
      <rPr>
        <sz val="10"/>
        <color rgb="FF0080FF"/>
        <rFont val="Consolas"/>
        <family val="3"/>
      </rPr>
      <t>IDENTITY</t>
    </r>
    <r>
      <rPr>
        <sz val="10"/>
        <color rgb="FF808080"/>
        <rFont val="Consolas"/>
        <family val="3"/>
      </rPr>
      <t>,</t>
    </r>
    <r>
      <rPr>
        <sz val="10"/>
        <color theme="1"/>
        <rFont val="Consolas"/>
        <family val="3"/>
      </rPr>
      <t xml:space="preserve"> </t>
    </r>
  </si>
  <si>
    <r>
      <t xml:space="preserve">record_sequence_nbr </t>
    </r>
    <r>
      <rPr>
        <sz val="10"/>
        <color rgb="FF0080FF"/>
        <rFont val="Consolas"/>
        <family val="3"/>
      </rPr>
      <t>DECIMAL</t>
    </r>
    <r>
      <rPr>
        <sz val="10"/>
        <color rgb="FF808080"/>
        <rFont val="Consolas"/>
        <family val="3"/>
      </rPr>
      <t>(</t>
    </r>
    <r>
      <rPr>
        <sz val="10"/>
        <color rgb="FFFF2800"/>
        <rFont val="Consolas"/>
        <family val="3"/>
      </rPr>
      <t>38</t>
    </r>
    <r>
      <rPr>
        <sz val="10"/>
        <color rgb="FF808080"/>
        <rFont val="Consolas"/>
        <family val="3"/>
      </rPr>
      <t>,</t>
    </r>
    <r>
      <rPr>
        <sz val="10"/>
        <color rgb="FFFF2800"/>
        <rFont val="Consolas"/>
        <family val="3"/>
      </rPr>
      <t>0</t>
    </r>
    <r>
      <rPr>
        <sz val="10"/>
        <color rgb="FF808080"/>
        <rFont val="Consolas"/>
        <family val="3"/>
      </rPr>
      <t>),</t>
    </r>
  </si>
  <si>
    <t>ifdb_proc_type</t>
  </si>
  <si>
    <t>変更種別</t>
  </si>
  <si>
    <t>DWHコードリファレンス#0008</t>
  </si>
  <si>
    <r>
      <t xml:space="preserve">ifdb_proc_type </t>
    </r>
    <r>
      <rPr>
        <sz val="10"/>
        <color rgb="FF0080FF"/>
        <rFont val="Consolas"/>
        <family val="3"/>
      </rPr>
      <t>VARCHAR</t>
    </r>
    <r>
      <rPr>
        <sz val="10"/>
        <color rgb="FF808080"/>
        <rFont val="Consolas"/>
        <family val="3"/>
      </rPr>
      <t>(</t>
    </r>
    <r>
      <rPr>
        <sz val="10"/>
        <color rgb="FFFF2800"/>
        <rFont val="Consolas"/>
        <family val="3"/>
      </rPr>
      <t>2</t>
    </r>
    <r>
      <rPr>
        <sz val="10"/>
        <color rgb="FF808080"/>
        <rFont val="Consolas"/>
        <family val="3"/>
      </rPr>
      <t>),</t>
    </r>
  </si>
  <si>
    <r>
      <t xml:space="preserve">service_id </t>
    </r>
    <r>
      <rPr>
        <sz val="10"/>
        <color rgb="FF0080FF"/>
        <rFont val="Consolas"/>
        <family val="3"/>
      </rPr>
      <t>VARCHAR</t>
    </r>
    <r>
      <rPr>
        <sz val="10"/>
        <color rgb="FF808080"/>
        <rFont val="Consolas"/>
        <family val="3"/>
      </rPr>
      <t>(</t>
    </r>
    <r>
      <rPr>
        <sz val="10"/>
        <color rgb="FFFF2800"/>
        <rFont val="Consolas"/>
        <family val="3"/>
      </rPr>
      <t>40</t>
    </r>
    <r>
      <rPr>
        <sz val="10"/>
        <color rgb="FF808080"/>
        <rFont val="Consolas"/>
        <family val="3"/>
      </rPr>
      <t>),</t>
    </r>
  </si>
  <si>
    <t>bill_group_id</t>
  </si>
  <si>
    <t>請求グループID</t>
  </si>
  <si>
    <t>請求グループID(B#)</t>
  </si>
  <si>
    <r>
      <t xml:space="preserve">bill_group_id </t>
    </r>
    <r>
      <rPr>
        <sz val="10"/>
        <color rgb="FF0080FF"/>
        <rFont val="Consolas"/>
        <family val="3"/>
      </rPr>
      <t>VARCHAR</t>
    </r>
    <r>
      <rPr>
        <sz val="10"/>
        <color rgb="FF808080"/>
        <rFont val="Consolas"/>
        <family val="3"/>
      </rPr>
      <t>(</t>
    </r>
    <r>
      <rPr>
        <sz val="10"/>
        <color rgb="FFFF2800"/>
        <rFont val="Consolas"/>
        <family val="3"/>
      </rPr>
      <t>40</t>
    </r>
    <r>
      <rPr>
        <sz val="10"/>
        <color rgb="FF808080"/>
        <rFont val="Consolas"/>
        <family val="3"/>
      </rPr>
      <t>),</t>
    </r>
  </si>
  <si>
    <t>linkage_type_cde</t>
  </si>
  <si>
    <t>リンケージタイプCDE</t>
  </si>
  <si>
    <t>リンケージタイプコード</t>
  </si>
  <si>
    <t>OMコードリファレンス#0009</t>
  </si>
  <si>
    <r>
      <t xml:space="preserve">linkage_type_cde </t>
    </r>
    <r>
      <rPr>
        <sz val="10"/>
        <color rgb="FF0080FF"/>
        <rFont val="Consolas"/>
        <family val="3"/>
      </rPr>
      <t>VARCHAR</t>
    </r>
    <r>
      <rPr>
        <sz val="10"/>
        <color rgb="FF808080"/>
        <rFont val="Consolas"/>
        <family val="3"/>
      </rPr>
      <t>(</t>
    </r>
    <r>
      <rPr>
        <sz val="10"/>
        <color rgb="FFFF2800"/>
        <rFont val="Consolas"/>
        <family val="3"/>
      </rPr>
      <t>4</t>
    </r>
    <r>
      <rPr>
        <sz val="10"/>
        <color rgb="FF808080"/>
        <rFont val="Consolas"/>
        <family val="3"/>
      </rPr>
      <t>),</t>
    </r>
  </si>
  <si>
    <t>有効データ転送元</t>
  </si>
  <si>
    <r>
      <t xml:space="preserve">effective_dt_from </t>
    </r>
    <r>
      <rPr>
        <sz val="10"/>
        <color rgb="FF0080FF"/>
        <rFont val="Consolas"/>
        <family val="3"/>
      </rPr>
      <t>VARCHAR</t>
    </r>
    <r>
      <rPr>
        <sz val="10"/>
        <color rgb="FF808080"/>
        <rFont val="Consolas"/>
        <family val="3"/>
      </rPr>
      <t>(</t>
    </r>
    <r>
      <rPr>
        <sz val="10"/>
        <color rgb="FFFF2800"/>
        <rFont val="Consolas"/>
        <family val="3"/>
      </rPr>
      <t>16</t>
    </r>
    <r>
      <rPr>
        <sz val="10"/>
        <color rgb="FF808080"/>
        <rFont val="Consolas"/>
        <family val="3"/>
      </rPr>
      <t>),</t>
    </r>
  </si>
  <si>
    <t>有効データ転送先</t>
  </si>
  <si>
    <r>
      <t xml:space="preserve">effective_dt_to </t>
    </r>
    <r>
      <rPr>
        <sz val="10"/>
        <color rgb="FF0080FF"/>
        <rFont val="Consolas"/>
        <family val="3"/>
      </rPr>
      <t>VARCHAR</t>
    </r>
    <r>
      <rPr>
        <sz val="10"/>
        <color rgb="FF808080"/>
        <rFont val="Consolas"/>
        <family val="3"/>
      </rPr>
      <t>(</t>
    </r>
    <r>
      <rPr>
        <sz val="10"/>
        <color rgb="FFFF2800"/>
        <rFont val="Consolas"/>
        <family val="3"/>
      </rPr>
      <t>16</t>
    </r>
    <r>
      <rPr>
        <sz val="10"/>
        <color rgb="FF808080"/>
        <rFont val="Consolas"/>
        <family val="3"/>
      </rPr>
      <t>),</t>
    </r>
  </si>
  <si>
    <t>transaction_nbr</t>
  </si>
  <si>
    <t>トランザクション番号</t>
  </si>
  <si>
    <t>15,0</t>
  </si>
  <si>
    <r>
      <t xml:space="preserve">transaction_nbr </t>
    </r>
    <r>
      <rPr>
        <sz val="10"/>
        <color rgb="FF0080FF"/>
        <rFont val="Consolas"/>
        <family val="3"/>
      </rPr>
      <t>DECIMAL</t>
    </r>
    <r>
      <rPr>
        <sz val="10"/>
        <color rgb="FF808080"/>
        <rFont val="Consolas"/>
        <family val="3"/>
      </rPr>
      <t>(</t>
    </r>
    <r>
      <rPr>
        <sz val="10"/>
        <color rgb="FFFF2800"/>
        <rFont val="Consolas"/>
        <family val="3"/>
      </rPr>
      <t>15</t>
    </r>
    <r>
      <rPr>
        <sz val="10"/>
        <color rgb="FF808080"/>
        <rFont val="Consolas"/>
        <family val="3"/>
      </rPr>
      <t>,</t>
    </r>
    <r>
      <rPr>
        <sz val="10"/>
        <color rgb="FFFF2800"/>
        <rFont val="Consolas"/>
        <family val="3"/>
      </rPr>
      <t>0</t>
    </r>
    <r>
      <rPr>
        <sz val="10"/>
        <color rgb="FF808080"/>
        <rFont val="Consolas"/>
        <family val="3"/>
      </rPr>
      <t>),</t>
    </r>
  </si>
  <si>
    <r>
      <t xml:space="preserve">created_dt </t>
    </r>
    <r>
      <rPr>
        <sz val="10"/>
        <color rgb="FF0080FF"/>
        <rFont val="Consolas"/>
        <family val="3"/>
      </rPr>
      <t>VARCHAR</t>
    </r>
    <r>
      <rPr>
        <sz val="10"/>
        <color rgb="FF808080"/>
        <rFont val="Consolas"/>
        <family val="3"/>
      </rPr>
      <t>(</t>
    </r>
    <r>
      <rPr>
        <sz val="10"/>
        <color rgb="FFFF2800"/>
        <rFont val="Consolas"/>
        <family val="3"/>
      </rPr>
      <t>16</t>
    </r>
    <r>
      <rPr>
        <sz val="10"/>
        <color rgb="FF808080"/>
        <rFont val="Consolas"/>
        <family val="3"/>
      </rPr>
      <t>),</t>
    </r>
  </si>
  <si>
    <t>created_tm</t>
  </si>
  <si>
    <t>作成日時TM</t>
  </si>
  <si>
    <t>作成時間(HHMMSS)</t>
  </si>
  <si>
    <r>
      <t xml:space="preserve">created_tm </t>
    </r>
    <r>
      <rPr>
        <sz val="10"/>
        <color rgb="FF0080FF"/>
        <rFont val="Consolas"/>
        <family val="3"/>
      </rPr>
      <t>VARCHAR</t>
    </r>
    <r>
      <rPr>
        <sz val="10"/>
        <color rgb="FF808080"/>
        <rFont val="Consolas"/>
        <family val="3"/>
      </rPr>
      <t>(</t>
    </r>
    <r>
      <rPr>
        <sz val="10"/>
        <color rgb="FFFF2800"/>
        <rFont val="Consolas"/>
        <family val="3"/>
      </rPr>
      <t>12</t>
    </r>
    <r>
      <rPr>
        <sz val="10"/>
        <color rgb="FF808080"/>
        <rFont val="Consolas"/>
        <family val="3"/>
      </rPr>
      <t>),</t>
    </r>
  </si>
  <si>
    <t>last_updated_dt</t>
  </si>
  <si>
    <t>最終更新日時TM</t>
  </si>
  <si>
    <t>最終更新日(YYYYMMDD)</t>
  </si>
  <si>
    <r>
      <t xml:space="preserve">last_updated_dt </t>
    </r>
    <r>
      <rPr>
        <sz val="10"/>
        <color rgb="FF0080FF"/>
        <rFont val="Consolas"/>
        <family val="3"/>
      </rPr>
      <t>VARCHAR</t>
    </r>
    <r>
      <rPr>
        <sz val="10"/>
        <color rgb="FF808080"/>
        <rFont val="Consolas"/>
        <family val="3"/>
      </rPr>
      <t>(</t>
    </r>
    <r>
      <rPr>
        <sz val="10"/>
        <color rgb="FFFF2800"/>
        <rFont val="Consolas"/>
        <family val="3"/>
      </rPr>
      <t>16</t>
    </r>
    <r>
      <rPr>
        <sz val="10"/>
        <color rgb="FF808080"/>
        <rFont val="Consolas"/>
        <family val="3"/>
      </rPr>
      <t>),</t>
    </r>
  </si>
  <si>
    <t>last_updated_tm</t>
  </si>
  <si>
    <t>最終更新時間(HHMMSS)</t>
  </si>
  <si>
    <r>
      <t xml:space="preserve">last_updated_tm </t>
    </r>
    <r>
      <rPr>
        <sz val="10"/>
        <color rgb="FF0080FF"/>
        <rFont val="Consolas"/>
        <family val="3"/>
      </rPr>
      <t>VARCHAR</t>
    </r>
    <r>
      <rPr>
        <sz val="10"/>
        <color rgb="FF808080"/>
        <rFont val="Consolas"/>
        <family val="3"/>
      </rPr>
      <t>(</t>
    </r>
    <r>
      <rPr>
        <sz val="10"/>
        <color rgb="FFFF2800"/>
        <rFont val="Consolas"/>
        <family val="3"/>
      </rPr>
      <t>12</t>
    </r>
    <r>
      <rPr>
        <sz val="10"/>
        <color rgb="FF808080"/>
        <rFont val="Consolas"/>
        <family val="3"/>
      </rPr>
      <t>),</t>
    </r>
  </si>
  <si>
    <t>インデックス削除</t>
  </si>
  <si>
    <r>
      <t xml:space="preserve">delete_ind </t>
    </r>
    <r>
      <rPr>
        <sz val="10"/>
        <color rgb="FF0080FF"/>
        <rFont val="Consolas"/>
        <family val="3"/>
      </rPr>
      <t>VARCHAR</t>
    </r>
    <r>
      <rPr>
        <sz val="10"/>
        <color rgb="FF808080"/>
        <rFont val="Consolas"/>
        <family val="3"/>
      </rPr>
      <t>(</t>
    </r>
    <r>
      <rPr>
        <sz val="10"/>
        <color rgb="FFFF2800"/>
        <rFont val="Consolas"/>
        <family val="3"/>
      </rPr>
      <t>2</t>
    </r>
    <r>
      <rPr>
        <sz val="10"/>
        <color rgb="FF808080"/>
        <rFont val="Consolas"/>
        <family val="3"/>
      </rPr>
      <t>),</t>
    </r>
  </si>
  <si>
    <r>
      <t xml:space="preserve">deactivate_ind </t>
    </r>
    <r>
      <rPr>
        <sz val="10"/>
        <color rgb="FF0080FF"/>
        <rFont val="Consolas"/>
        <family val="3"/>
      </rPr>
      <t>VARCHAR</t>
    </r>
    <r>
      <rPr>
        <sz val="10"/>
        <color rgb="FF808080"/>
        <rFont val="Consolas"/>
        <family val="3"/>
      </rPr>
      <t>(</t>
    </r>
    <r>
      <rPr>
        <sz val="10"/>
        <color rgb="FFFF2800"/>
        <rFont val="Consolas"/>
        <family val="3"/>
      </rPr>
      <t>2</t>
    </r>
    <r>
      <rPr>
        <sz val="10"/>
        <color rgb="FF808080"/>
        <rFont val="Consolas"/>
        <family val="3"/>
      </rPr>
      <t>),</t>
    </r>
  </si>
  <si>
    <t>インデックス無効化</t>
  </si>
  <si>
    <r>
      <t>CONSTRAINT</t>
    </r>
    <r>
      <rPr>
        <sz val="10"/>
        <color theme="1"/>
        <rFont val="Consolas"/>
        <family val="3"/>
      </rPr>
      <t xml:space="preserve"> pk_cop_svc_link_history </t>
    </r>
    <r>
      <rPr>
        <sz val="10"/>
        <color rgb="FF0080FF"/>
        <rFont val="Consolas"/>
        <family val="3"/>
      </rPr>
      <t>PRIMARY</t>
    </r>
    <r>
      <rPr>
        <sz val="10"/>
        <color theme="1"/>
        <rFont val="Consolas"/>
        <family val="3"/>
      </rPr>
      <t xml:space="preserve"> </t>
    </r>
    <r>
      <rPr>
        <sz val="10"/>
        <color rgb="FF0080FF"/>
        <rFont val="Consolas"/>
        <family val="3"/>
      </rPr>
      <t>KEY</t>
    </r>
    <r>
      <rPr>
        <sz val="10"/>
        <color theme="1"/>
        <rFont val="Consolas"/>
        <family val="3"/>
      </rPr>
      <t xml:space="preserve"> </t>
    </r>
    <r>
      <rPr>
        <sz val="10"/>
        <color rgb="FF808080"/>
        <rFont val="Consolas"/>
        <family val="3"/>
      </rPr>
      <t>(</t>
    </r>
    <r>
      <rPr>
        <sz val="10"/>
        <color theme="1"/>
        <rFont val="Consolas"/>
        <family val="3"/>
      </rPr>
      <t>id</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</si>
  <si>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TABLE</t>
    </r>
    <r>
      <rPr>
        <sz val="10"/>
        <color theme="1"/>
        <rFont val="Consolas"/>
        <family val="3"/>
      </rPr>
      <t xml:space="preserve"> cop_svc_link_history </t>
    </r>
    <r>
      <rPr>
        <sz val="10"/>
        <color rgb="FF0080FF"/>
        <rFont val="Consolas"/>
        <family val="3"/>
      </rPr>
      <t>IS</t>
    </r>
    <r>
      <rPr>
        <sz val="10"/>
        <color theme="1"/>
        <rFont val="Consolas"/>
        <family val="3"/>
      </rPr>
      <t xml:space="preserve"> </t>
    </r>
    <r>
      <rPr>
        <sz val="10"/>
        <color rgb="FFFF2800"/>
        <rFont val="Consolas"/>
        <family val="3"/>
      </rPr>
      <t>'b_cop_svcリンク履歴'</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</si>
  <si>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cop_svc_link_history</t>
    </r>
    <r>
      <rPr>
        <sz val="10"/>
        <color rgb="FF808080"/>
        <rFont val="Consolas"/>
        <family val="3"/>
      </rPr>
      <t>.</t>
    </r>
    <r>
      <rPr>
        <sz val="10"/>
        <color theme="1"/>
        <rFont val="Consolas"/>
        <family val="3"/>
      </rPr>
      <t xml:space="preserve">id </t>
    </r>
    <r>
      <rPr>
        <sz val="10"/>
        <color rgb="FF0080FF"/>
        <rFont val="Consolas"/>
        <family val="3"/>
      </rPr>
      <t>IS</t>
    </r>
    <r>
      <rPr>
        <sz val="10"/>
        <color theme="1"/>
        <rFont val="Consolas"/>
        <family val="3"/>
      </rPr>
      <t xml:space="preserve"> </t>
    </r>
    <r>
      <rPr>
        <sz val="10"/>
        <color rgb="FFFF2800"/>
        <rFont val="Consolas"/>
        <family val="3"/>
      </rPr>
      <t>'id'</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</si>
  <si>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cop_svc_link_history</t>
    </r>
    <r>
      <rPr>
        <sz val="10"/>
        <color rgb="FF808080"/>
        <rFont val="Consolas"/>
        <family val="3"/>
      </rPr>
      <t>.</t>
    </r>
    <r>
      <rPr>
        <sz val="10"/>
        <color theme="1"/>
        <rFont val="Consolas"/>
        <family val="3"/>
      </rPr>
      <t xml:space="preserve">record_sequence_nbr </t>
    </r>
    <r>
      <rPr>
        <sz val="10"/>
        <color rgb="FF0080FF"/>
        <rFont val="Consolas"/>
        <family val="3"/>
      </rPr>
      <t>IS</t>
    </r>
    <r>
      <rPr>
        <sz val="10"/>
        <color theme="1"/>
        <rFont val="Consolas"/>
        <family val="3"/>
      </rPr>
      <t xml:space="preserve"> </t>
    </r>
    <r>
      <rPr>
        <sz val="10"/>
        <color rgb="FFFF2800"/>
        <rFont val="Consolas"/>
        <family val="3"/>
      </rPr>
      <t>'レコードシーケンス番号'</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</si>
  <si>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cop_svc_link_history</t>
    </r>
    <r>
      <rPr>
        <sz val="10"/>
        <color rgb="FF808080"/>
        <rFont val="Consolas"/>
        <family val="3"/>
      </rPr>
      <t>.</t>
    </r>
    <r>
      <rPr>
        <sz val="10"/>
        <color theme="1"/>
        <rFont val="Consolas"/>
        <family val="3"/>
      </rPr>
      <t xml:space="preserve">ifdb_proc_type </t>
    </r>
    <r>
      <rPr>
        <sz val="10"/>
        <color rgb="FF0080FF"/>
        <rFont val="Consolas"/>
        <family val="3"/>
      </rPr>
      <t>IS</t>
    </r>
    <r>
      <rPr>
        <sz val="10"/>
        <color theme="1"/>
        <rFont val="Consolas"/>
        <family val="3"/>
      </rPr>
      <t xml:space="preserve"> </t>
    </r>
    <r>
      <rPr>
        <sz val="10"/>
        <color rgb="FFFF2800"/>
        <rFont val="Consolas"/>
        <family val="3"/>
      </rPr>
      <t>'ifdb_proc_type'</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</si>
  <si>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cop_svc_link_history</t>
    </r>
    <r>
      <rPr>
        <sz val="10"/>
        <color rgb="FF808080"/>
        <rFont val="Consolas"/>
        <family val="3"/>
      </rPr>
      <t>.</t>
    </r>
    <r>
      <rPr>
        <sz val="10"/>
        <color theme="1"/>
        <rFont val="Consolas"/>
        <family val="3"/>
      </rPr>
      <t xml:space="preserve">service_id </t>
    </r>
    <r>
      <rPr>
        <sz val="10"/>
        <color rgb="FF0080FF"/>
        <rFont val="Consolas"/>
        <family val="3"/>
      </rPr>
      <t>IS</t>
    </r>
    <r>
      <rPr>
        <sz val="10"/>
        <color theme="1"/>
        <rFont val="Consolas"/>
        <family val="3"/>
      </rPr>
      <t xml:space="preserve"> </t>
    </r>
    <r>
      <rPr>
        <sz val="10"/>
        <color rgb="FFFF2800"/>
        <rFont val="Consolas"/>
        <family val="3"/>
      </rPr>
      <t>'サービスID'</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</si>
  <si>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cop_svc_link_history</t>
    </r>
    <r>
      <rPr>
        <sz val="10"/>
        <color rgb="FF808080"/>
        <rFont val="Consolas"/>
        <family val="3"/>
      </rPr>
      <t>.</t>
    </r>
    <r>
      <rPr>
        <sz val="10"/>
        <color theme="1"/>
        <rFont val="Consolas"/>
        <family val="3"/>
      </rPr>
      <t xml:space="preserve">bill_group_id </t>
    </r>
    <r>
      <rPr>
        <sz val="10"/>
        <color rgb="FF0080FF"/>
        <rFont val="Consolas"/>
        <family val="3"/>
      </rPr>
      <t>IS</t>
    </r>
    <r>
      <rPr>
        <sz val="10"/>
        <color theme="1"/>
        <rFont val="Consolas"/>
        <family val="3"/>
      </rPr>
      <t xml:space="preserve"> </t>
    </r>
    <r>
      <rPr>
        <sz val="10"/>
        <color rgb="FFFF2800"/>
        <rFont val="Consolas"/>
        <family val="3"/>
      </rPr>
      <t>'請求グループID'</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</si>
  <si>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cop_svc_link_history</t>
    </r>
    <r>
      <rPr>
        <sz val="10"/>
        <color rgb="FF808080"/>
        <rFont val="Consolas"/>
        <family val="3"/>
      </rPr>
      <t>.</t>
    </r>
    <r>
      <rPr>
        <sz val="10"/>
        <color theme="1"/>
        <rFont val="Consolas"/>
        <family val="3"/>
      </rPr>
      <t xml:space="preserve">linkage_type_cde </t>
    </r>
    <r>
      <rPr>
        <sz val="10"/>
        <color rgb="FF0080FF"/>
        <rFont val="Consolas"/>
        <family val="3"/>
      </rPr>
      <t>IS</t>
    </r>
    <r>
      <rPr>
        <sz val="10"/>
        <color theme="1"/>
        <rFont val="Consolas"/>
        <family val="3"/>
      </rPr>
      <t xml:space="preserve"> </t>
    </r>
    <r>
      <rPr>
        <sz val="10"/>
        <color rgb="FFFF2800"/>
        <rFont val="Consolas"/>
        <family val="3"/>
      </rPr>
      <t>'リンケージタイプCDE'</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</si>
  <si>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cop_svc_link_history</t>
    </r>
    <r>
      <rPr>
        <sz val="10"/>
        <color rgb="FF808080"/>
        <rFont val="Consolas"/>
        <family val="3"/>
      </rPr>
      <t>.</t>
    </r>
    <r>
      <rPr>
        <sz val="10"/>
        <color theme="1"/>
        <rFont val="Consolas"/>
        <family val="3"/>
      </rPr>
      <t xml:space="preserve">effective_dt_from </t>
    </r>
    <r>
      <rPr>
        <sz val="10"/>
        <color rgb="FF0080FF"/>
        <rFont val="Consolas"/>
        <family val="3"/>
      </rPr>
      <t>IS</t>
    </r>
    <r>
      <rPr>
        <sz val="10"/>
        <color theme="1"/>
        <rFont val="Consolas"/>
        <family val="3"/>
      </rPr>
      <t xml:space="preserve"> </t>
    </r>
    <r>
      <rPr>
        <sz val="10"/>
        <color rgb="FFFF2800"/>
        <rFont val="Consolas"/>
        <family val="3"/>
      </rPr>
      <t>'有効データ転送元'</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</si>
  <si>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cop_svc_link_history</t>
    </r>
    <r>
      <rPr>
        <sz val="10"/>
        <color rgb="FF808080"/>
        <rFont val="Consolas"/>
        <family val="3"/>
      </rPr>
      <t>.</t>
    </r>
    <r>
      <rPr>
        <sz val="10"/>
        <color theme="1"/>
        <rFont val="Consolas"/>
        <family val="3"/>
      </rPr>
      <t xml:space="preserve">effective_dt_to </t>
    </r>
    <r>
      <rPr>
        <sz val="10"/>
        <color rgb="FF0080FF"/>
        <rFont val="Consolas"/>
        <family val="3"/>
      </rPr>
      <t>IS</t>
    </r>
    <r>
      <rPr>
        <sz val="10"/>
        <color theme="1"/>
        <rFont val="Consolas"/>
        <family val="3"/>
      </rPr>
      <t xml:space="preserve"> </t>
    </r>
    <r>
      <rPr>
        <sz val="10"/>
        <color rgb="FFFF2800"/>
        <rFont val="Consolas"/>
        <family val="3"/>
      </rPr>
      <t>'有効データ転送先'</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</si>
  <si>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cop_svc_link_history</t>
    </r>
    <r>
      <rPr>
        <sz val="10"/>
        <color rgb="FF808080"/>
        <rFont val="Consolas"/>
        <family val="3"/>
      </rPr>
      <t>.</t>
    </r>
    <r>
      <rPr>
        <sz val="10"/>
        <color theme="1"/>
        <rFont val="Consolas"/>
        <family val="3"/>
      </rPr>
      <t xml:space="preserve">transaction_nbr </t>
    </r>
    <r>
      <rPr>
        <sz val="10"/>
        <color rgb="FF0080FF"/>
        <rFont val="Consolas"/>
        <family val="3"/>
      </rPr>
      <t>IS</t>
    </r>
    <r>
      <rPr>
        <sz val="10"/>
        <color theme="1"/>
        <rFont val="Consolas"/>
        <family val="3"/>
      </rPr>
      <t xml:space="preserve"> </t>
    </r>
    <r>
      <rPr>
        <sz val="10"/>
        <color rgb="FFFF2800"/>
        <rFont val="Consolas"/>
        <family val="3"/>
      </rPr>
      <t>'トランザクション番号'</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</si>
  <si>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cop_svc_link_history</t>
    </r>
    <r>
      <rPr>
        <sz val="10"/>
        <color rgb="FF808080"/>
        <rFont val="Consolas"/>
        <family val="3"/>
      </rPr>
      <t>.</t>
    </r>
    <r>
      <rPr>
        <sz val="10"/>
        <color theme="1"/>
        <rFont val="Consolas"/>
        <family val="3"/>
      </rPr>
      <t xml:space="preserve">created_dt </t>
    </r>
    <r>
      <rPr>
        <sz val="10"/>
        <color rgb="FF0080FF"/>
        <rFont val="Consolas"/>
        <family val="3"/>
      </rPr>
      <t>IS</t>
    </r>
    <r>
      <rPr>
        <sz val="10"/>
        <color theme="1"/>
        <rFont val="Consolas"/>
        <family val="3"/>
      </rPr>
      <t xml:space="preserve"> </t>
    </r>
    <r>
      <rPr>
        <sz val="10"/>
        <color rgb="FFFF2800"/>
        <rFont val="Consolas"/>
        <family val="3"/>
      </rPr>
      <t>'作成日時'</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</si>
  <si>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cop_svc_link_history</t>
    </r>
    <r>
      <rPr>
        <sz val="10"/>
        <color rgb="FF808080"/>
        <rFont val="Consolas"/>
        <family val="3"/>
      </rPr>
      <t>.</t>
    </r>
    <r>
      <rPr>
        <sz val="10"/>
        <color theme="1"/>
        <rFont val="Consolas"/>
        <family val="3"/>
      </rPr>
      <t xml:space="preserve">created_tm </t>
    </r>
    <r>
      <rPr>
        <sz val="10"/>
        <color rgb="FF0080FF"/>
        <rFont val="Consolas"/>
        <family val="3"/>
      </rPr>
      <t>IS</t>
    </r>
    <r>
      <rPr>
        <sz val="10"/>
        <color theme="1"/>
        <rFont val="Consolas"/>
        <family val="3"/>
      </rPr>
      <t xml:space="preserve"> </t>
    </r>
    <r>
      <rPr>
        <sz val="10"/>
        <color rgb="FFFF2800"/>
        <rFont val="Consolas"/>
        <family val="3"/>
      </rPr>
      <t>'作成日時TM'</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</si>
  <si>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cop_svc_link_history</t>
    </r>
    <r>
      <rPr>
        <sz val="10"/>
        <color rgb="FF808080"/>
        <rFont val="Consolas"/>
        <family val="3"/>
      </rPr>
      <t>.</t>
    </r>
    <r>
      <rPr>
        <sz val="10"/>
        <color theme="1"/>
        <rFont val="Consolas"/>
        <family val="3"/>
      </rPr>
      <t xml:space="preserve">last_updated_dt </t>
    </r>
    <r>
      <rPr>
        <sz val="10"/>
        <color rgb="FF0080FF"/>
        <rFont val="Consolas"/>
        <family val="3"/>
      </rPr>
      <t>IS</t>
    </r>
    <r>
      <rPr>
        <sz val="10"/>
        <color theme="1"/>
        <rFont val="Consolas"/>
        <family val="3"/>
      </rPr>
      <t xml:space="preserve"> </t>
    </r>
    <r>
      <rPr>
        <sz val="10"/>
        <color rgb="FFFF2800"/>
        <rFont val="Consolas"/>
        <family val="3"/>
      </rPr>
      <t>'最終更新日時TM'</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</si>
  <si>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cop_svc_link_history</t>
    </r>
    <r>
      <rPr>
        <sz val="10"/>
        <color rgb="FF808080"/>
        <rFont val="Consolas"/>
        <family val="3"/>
      </rPr>
      <t>.</t>
    </r>
    <r>
      <rPr>
        <sz val="10"/>
        <color theme="1"/>
        <rFont val="Consolas"/>
        <family val="3"/>
      </rPr>
      <t xml:space="preserve">last_updated_tm </t>
    </r>
    <r>
      <rPr>
        <sz val="10"/>
        <color rgb="FF0080FF"/>
        <rFont val="Consolas"/>
        <family val="3"/>
      </rPr>
      <t>IS</t>
    </r>
    <r>
      <rPr>
        <sz val="10"/>
        <color theme="1"/>
        <rFont val="Consolas"/>
        <family val="3"/>
      </rPr>
      <t xml:space="preserve"> </t>
    </r>
    <r>
      <rPr>
        <sz val="10"/>
        <color rgb="FFFF2800"/>
        <rFont val="Consolas"/>
        <family val="3"/>
      </rPr>
      <t>'最終更新日時TM'</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</si>
  <si>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cop_svc_link_history</t>
    </r>
    <r>
      <rPr>
        <sz val="10"/>
        <color rgb="FF808080"/>
        <rFont val="Consolas"/>
        <family val="3"/>
      </rPr>
      <t>.</t>
    </r>
    <r>
      <rPr>
        <sz val="10"/>
        <color theme="1"/>
        <rFont val="Consolas"/>
        <family val="3"/>
      </rPr>
      <t xml:space="preserve">delete_ind </t>
    </r>
    <r>
      <rPr>
        <sz val="10"/>
        <color rgb="FF0080FF"/>
        <rFont val="Consolas"/>
        <family val="3"/>
      </rPr>
      <t>IS</t>
    </r>
    <r>
      <rPr>
        <sz val="10"/>
        <color theme="1"/>
        <rFont val="Consolas"/>
        <family val="3"/>
      </rPr>
      <t xml:space="preserve"> </t>
    </r>
    <r>
      <rPr>
        <sz val="10"/>
        <color rgb="FFFF2800"/>
        <rFont val="Consolas"/>
        <family val="3"/>
      </rPr>
      <t>'インデックス削除'</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</si>
  <si>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cop_svc_link_history</t>
    </r>
    <r>
      <rPr>
        <sz val="10"/>
        <color rgb="FF808080"/>
        <rFont val="Consolas"/>
        <family val="3"/>
      </rPr>
      <t>.</t>
    </r>
    <r>
      <rPr>
        <sz val="10"/>
        <color theme="1"/>
        <rFont val="Consolas"/>
        <family val="3"/>
      </rPr>
      <t xml:space="preserve">deactivate_ind </t>
    </r>
    <r>
      <rPr>
        <sz val="10"/>
        <color rgb="FF0080FF"/>
        <rFont val="Consolas"/>
        <family val="3"/>
      </rPr>
      <t>IS</t>
    </r>
    <r>
      <rPr>
        <sz val="10"/>
        <color theme="1"/>
        <rFont val="Consolas"/>
        <family val="3"/>
      </rPr>
      <t xml:space="preserve"> </t>
    </r>
    <r>
      <rPr>
        <sz val="10"/>
        <color rgb="FFFF2800"/>
        <rFont val="Consolas"/>
        <family val="3"/>
      </rPr>
      <t>'インデックス無効化'</t>
    </r>
    <r>
      <rPr>
        <sz val="10"/>
        <color rgb="FF808080"/>
        <rFont val="Consolas"/>
        <family val="3"/>
      </rPr>
      <t>;</t>
    </r>
  </si>
  <si>
    <t>b_cop_販売履歴</t>
  </si>
  <si>
    <t>B_販売履歴_[権限]</t>
  </si>
  <si>
    <t>V000748</t>
  </si>
  <si>
    <t>cop_sales_history</t>
    <phoneticPr fontId="2"/>
  </si>
  <si>
    <t>移動機や付属品、その他商品の販売履歴を管理。</t>
  </si>
  <si>
    <r>
      <t>DROP</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EXISTS</t>
    </r>
    <r>
      <rPr>
        <b/>
        <sz val="10"/>
        <color theme="1"/>
        <rFont val="Consolas"/>
        <family val="3"/>
      </rPr>
      <t xml:space="preserve"> cop_sales_history </t>
    </r>
    <r>
      <rPr>
        <b/>
        <sz val="10"/>
        <color rgb="FF0080FF"/>
        <rFont val="Consolas"/>
        <family val="3"/>
      </rPr>
      <t>CASCADE</t>
    </r>
    <r>
      <rPr>
        <b/>
        <sz val="10"/>
        <color rgb="FF808080"/>
        <rFont val="Consolas"/>
        <family val="3"/>
      </rPr>
      <t>;</t>
    </r>
    <r>
      <rPr>
        <b/>
        <sz val="10"/>
        <color theme="1"/>
        <rFont val="Consolas"/>
        <family val="3"/>
      </rPr>
      <t xml:space="preserve"> </t>
    </r>
  </si>
  <si>
    <r>
      <t>CREATE</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NOT</t>
    </r>
    <r>
      <rPr>
        <b/>
        <sz val="10"/>
        <color theme="1"/>
        <rFont val="Consolas"/>
        <family val="3"/>
      </rPr>
      <t xml:space="preserve"> </t>
    </r>
    <r>
      <rPr>
        <b/>
        <sz val="10"/>
        <color rgb="FF0080FF"/>
        <rFont val="Consolas"/>
        <family val="3"/>
      </rPr>
      <t>EXISTS</t>
    </r>
    <r>
      <rPr>
        <b/>
        <sz val="10"/>
        <color theme="1"/>
        <rFont val="Consolas"/>
        <family val="3"/>
      </rPr>
      <t xml:space="preserve"> cop_sales_history </t>
    </r>
    <r>
      <rPr>
        <b/>
        <sz val="10"/>
        <color rgb="FF808080"/>
        <rFont val="Consolas"/>
        <family val="3"/>
      </rPr>
      <t>(</t>
    </r>
    <r>
      <rPr>
        <b/>
        <sz val="10"/>
        <color theme="1"/>
        <rFont val="Consolas"/>
        <family val="3"/>
      </rPr>
      <t xml:space="preserve"> </t>
    </r>
  </si>
  <si>
    <t>請求書グループID</t>
  </si>
  <si>
    <r>
      <t xml:space="preserve">bill_group_id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</si>
  <si>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契約者ID</t>
  </si>
  <si>
    <t>item_nbr</t>
    <phoneticPr fontId="2"/>
  </si>
  <si>
    <t>商品番号</t>
  </si>
  <si>
    <t>アイテム番号</t>
  </si>
  <si>
    <r>
      <t xml:space="preserve">item_nbr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</si>
  <si>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equipment_serial_nbr</t>
  </si>
  <si>
    <t>機器シリアル番号</t>
  </si>
  <si>
    <t>機器のシリアル番号</t>
  </si>
  <si>
    <r>
      <t xml:space="preserve">equipment_serial_nbr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</si>
  <si>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t>(International Mobile Equipment Identity) IMT-2000対応移動機を特定するための内部的ID</t>
  </si>
  <si>
    <r>
      <t xml:space="preserve">created_tm </t>
    </r>
    <r>
      <rPr>
        <b/>
        <sz val="10"/>
        <color rgb="FF0080FF"/>
        <rFont val="Consolas"/>
        <family val="3"/>
      </rPr>
      <t>VARCHAR</t>
    </r>
    <r>
      <rPr>
        <b/>
        <sz val="10"/>
        <color rgb="FF808080"/>
        <rFont val="Consolas"/>
        <family val="3"/>
      </rPr>
      <t>(</t>
    </r>
    <r>
      <rPr>
        <b/>
        <sz val="10"/>
        <color rgb="FFFF2800"/>
        <rFont val="Consolas"/>
        <family val="3"/>
      </rPr>
      <t>12</t>
    </r>
    <r>
      <rPr>
        <b/>
        <sz val="10"/>
        <color rgb="FF808080"/>
        <rFont val="Consolas"/>
        <family val="3"/>
      </rPr>
      <t>),</t>
    </r>
  </si>
  <si>
    <t>作成日時_tm</t>
  </si>
  <si>
    <t>削除_ind</t>
  </si>
  <si>
    <r>
      <t xml:space="preserve">selling_dt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</si>
  <si>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r>
      <t xml:space="preserve">selling_cancel_dt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</si>
  <si>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selling_dt</t>
  </si>
  <si>
    <t>販売日時_tt</t>
  </si>
  <si>
    <t>DOの場合:発送予定日(YYYYMMDD)</t>
  </si>
  <si>
    <r>
      <t xml:space="preserve">selling_type_cde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</si>
  <si>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それ以外は画面入力の販売日(YYYYMMDD)</t>
  </si>
  <si>
    <r>
      <t xml:space="preserve">selling_reason_cde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</si>
  <si>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selling_cancel_dt</t>
  </si>
  <si>
    <t>販売キャンセル日時_tt</t>
  </si>
  <si>
    <t>移動機販売取消日(YYYYMMDD)</t>
  </si>
  <si>
    <r>
      <t xml:space="preserve">cancellation_reason_cde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</si>
  <si>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selling_type_cde</t>
  </si>
  <si>
    <t>販売タイプ_cde</t>
  </si>
  <si>
    <t>移動機販売種別コード</t>
  </si>
  <si>
    <t>OMコードリファレンス#0034</t>
  </si>
  <si>
    <r>
      <t xml:space="preserve">selling_status_cde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</si>
  <si>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selling_reason_cde</t>
  </si>
  <si>
    <t>販売理由_cde</t>
  </si>
  <si>
    <t>販売理由コード</t>
  </si>
  <si>
    <t>OMコードリファレンス#0035</t>
  </si>
  <si>
    <r>
      <t xml:space="preserve">svc_org_id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</si>
  <si>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cancellation_reason_cde</t>
  </si>
  <si>
    <t>キャンセル理由_cde</t>
  </si>
  <si>
    <t>キャンセル理由コード</t>
  </si>
  <si>
    <t>OMコードリファレンス#0037</t>
  </si>
  <si>
    <r>
      <t xml:space="preserve">cancellation_svc_org_id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</si>
  <si>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selling_status_cde</t>
  </si>
  <si>
    <t>販売ステータス_cde</t>
  </si>
  <si>
    <t>販売状態</t>
  </si>
  <si>
    <t>OMコードリファレンス#0036</t>
  </si>
  <si>
    <r>
      <t xml:space="preserve">selling_method_cde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</si>
  <si>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svc_org_id</t>
  </si>
  <si>
    <t>サービス提供組織ID</t>
  </si>
  <si>
    <t>サービス組織ID</t>
  </si>
  <si>
    <r>
      <t xml:space="preserve">battery_pack_stat_cde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</si>
  <si>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cancellation_svc_org_id</t>
  </si>
  <si>
    <t>キャンセルサービス提供組織ID</t>
  </si>
  <si>
    <t>サービス組織ID(取消時）</t>
  </si>
  <si>
    <r>
      <t xml:space="preserve">item_quantity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</si>
  <si>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selling_method_cde</t>
  </si>
  <si>
    <t>販売方法_cde</t>
  </si>
  <si>
    <t>販売方法コード</t>
  </si>
  <si>
    <t>OMコードリファレンス#0038</t>
  </si>
  <si>
    <t>battery_pack_stat_cde</t>
  </si>
  <si>
    <t>バッテリーパックステータス_cde</t>
  </si>
  <si>
    <t>電池パック提供状況コード</t>
  </si>
  <si>
    <t>OMコードリファレンス#0039</t>
  </si>
  <si>
    <r>
      <t xml:space="preserve">battery_pack_request_dt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</si>
  <si>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item_quantity</t>
  </si>
  <si>
    <t>商品数量</t>
  </si>
  <si>
    <t>10,0</t>
  </si>
  <si>
    <t>アイテム数量</t>
  </si>
  <si>
    <r>
      <t xml:space="preserve">pymt_method_cde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</si>
  <si>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r>
      <t xml:space="preserve">repair_acceptance_dt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</si>
  <si>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battery_pack_request_dt</t>
  </si>
  <si>
    <t>バッテリーパック要求日時</t>
  </si>
  <si>
    <t>電池パック要求日(YYYYMMDD)</t>
  </si>
  <si>
    <r>
      <t xml:space="preserve">replace_reason_cde01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</si>
  <si>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pymt_method_cde</t>
  </si>
  <si>
    <t>支払い方法 cde</t>
  </si>
  <si>
    <t>支払い方法コード</t>
  </si>
  <si>
    <t>DWHコードリファレンス#0018</t>
  </si>
  <si>
    <r>
      <t xml:space="preserve">warranty_service_ind01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</si>
  <si>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repair_acceptance_dt</t>
  </si>
  <si>
    <t>修理受付 dt</t>
  </si>
  <si>
    <t>故障・修理受付日</t>
  </si>
  <si>
    <r>
      <t xml:space="preserve">replace_reason_cde02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</si>
  <si>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replace_reason_cde01</t>
  </si>
  <si>
    <t>交換理由 cde01</t>
  </si>
  <si>
    <t>故障交換理由コード01</t>
  </si>
  <si>
    <t>OMコードリファレンス#0076</t>
  </si>
  <si>
    <r>
      <t xml:space="preserve">warranty_service_ind02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</si>
  <si>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warranty_service_ind01</t>
  </si>
  <si>
    <t>保証サービス ind01</t>
  </si>
  <si>
    <t>保証サービス利用インジケータ01</t>
  </si>
  <si>
    <r>
      <t xml:space="preserve">replace_reason_cde03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</si>
  <si>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Y：保証サービス利用あり</t>
  </si>
  <si>
    <r>
      <t xml:space="preserve">warranty_service_ind03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</si>
  <si>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replace_reason_cde02</t>
  </si>
  <si>
    <t>交換理由 cde02</t>
  </si>
  <si>
    <t>故障交換理由コード02</t>
  </si>
  <si>
    <r>
      <t xml:space="preserve">replace_reason_cde04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</si>
  <si>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warranty_service_ind02</t>
  </si>
  <si>
    <t>保証サービス ind02</t>
  </si>
  <si>
    <t>保証サービス利用インジケータ02</t>
  </si>
  <si>
    <r>
      <t xml:space="preserve">warranty_service_ind04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</si>
  <si>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r>
      <t xml:space="preserve">replace_reason_cde05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</si>
  <si>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replace_reason_cde03</t>
  </si>
  <si>
    <t>交換理由 cde03</t>
  </si>
  <si>
    <t>故障交換理由コード03</t>
  </si>
  <si>
    <r>
      <t xml:space="preserve">warranty_service_ind05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</si>
  <si>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warranty_service_ind03</t>
  </si>
  <si>
    <t>保証サービス ind03</t>
  </si>
  <si>
    <t>保証サービス利用インジケータ03</t>
  </si>
  <si>
    <r>
      <t xml:space="preserve">before_equipment_serial_nbr </t>
    </r>
    <r>
      <rPr>
        <b/>
        <sz val="10"/>
        <color rgb="FF0080FF"/>
        <rFont val="Consolas"/>
        <family val="3"/>
      </rPr>
      <t>VARCHAR</t>
    </r>
    <r>
      <rPr>
        <b/>
        <sz val="10"/>
        <color rgb="FF808080"/>
        <rFont val="Consolas"/>
        <family val="3"/>
      </rPr>
      <t>(</t>
    </r>
    <r>
      <rPr>
        <b/>
        <sz val="10"/>
        <color rgb="FFFF2800"/>
        <rFont val="Consolas"/>
        <family val="3"/>
      </rPr>
      <t>60</t>
    </r>
    <r>
      <rPr>
        <b/>
        <sz val="10"/>
        <color rgb="FF808080"/>
        <rFont val="Consolas"/>
        <family val="3"/>
      </rPr>
      <t>),</t>
    </r>
  </si>
  <si>
    <r>
      <t xml:space="preserve">before_rec_seq_nbr </t>
    </r>
    <r>
      <rPr>
        <b/>
        <sz val="10"/>
        <color rgb="FF0080FF"/>
        <rFont val="Consolas"/>
        <family val="3"/>
      </rPr>
      <t>DECIMAL</t>
    </r>
    <r>
      <rPr>
        <b/>
        <sz val="10"/>
        <color rgb="FF808080"/>
        <rFont val="Consolas"/>
        <family val="3"/>
      </rPr>
      <t>(</t>
    </r>
    <r>
      <rPr>
        <b/>
        <sz val="10"/>
        <color rgb="FFFF2800"/>
        <rFont val="Consolas"/>
        <family val="3"/>
      </rPr>
      <t>38</t>
    </r>
    <r>
      <rPr>
        <b/>
        <sz val="10"/>
        <color rgb="FF808080"/>
        <rFont val="Consolas"/>
        <family val="3"/>
      </rPr>
      <t>,</t>
    </r>
    <r>
      <rPr>
        <b/>
        <sz val="10"/>
        <color rgb="FFFF2800"/>
        <rFont val="Consolas"/>
        <family val="3"/>
      </rPr>
      <t>0</t>
    </r>
    <r>
      <rPr>
        <b/>
        <sz val="10"/>
        <color rgb="FF808080"/>
        <rFont val="Consolas"/>
        <family val="3"/>
      </rPr>
      <t>),</t>
    </r>
  </si>
  <si>
    <t>replace_reason_cde04</t>
  </si>
  <si>
    <t>交換理由 cde04</t>
  </si>
  <si>
    <t>故障交換理由コード04</t>
  </si>
  <si>
    <r>
      <t xml:space="preserve">loaner_status_cde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</si>
  <si>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warranty_service_ind04</t>
  </si>
  <si>
    <t>保証サービス ind04</t>
  </si>
  <si>
    <t>保証サービス利用インジケータ04</t>
  </si>
  <si>
    <r>
      <t>CONSTRAINT</t>
    </r>
    <r>
      <rPr>
        <b/>
        <sz val="10"/>
        <color theme="1"/>
        <rFont val="Consolas"/>
        <family val="3"/>
      </rPr>
      <t xml:space="preserve"> pk_cop_sales_history </t>
    </r>
    <r>
      <rPr>
        <b/>
        <sz val="10"/>
        <color rgb="FF0080FF"/>
        <rFont val="Consolas"/>
        <family val="3"/>
      </rPr>
      <t>PRIMARY</t>
    </r>
    <r>
      <rPr>
        <b/>
        <sz val="10"/>
        <color theme="1"/>
        <rFont val="Consolas"/>
        <family val="3"/>
      </rPr>
      <t xml:space="preserve"> </t>
    </r>
    <r>
      <rPr>
        <b/>
        <sz val="10"/>
        <color rgb="FF0080FF"/>
        <rFont val="Consolas"/>
        <family val="3"/>
      </rPr>
      <t>KEY</t>
    </r>
    <r>
      <rPr>
        <b/>
        <sz val="10"/>
        <color theme="1"/>
        <rFont val="Consolas"/>
        <family val="3"/>
      </rPr>
      <t xml:space="preserve"> </t>
    </r>
    <r>
      <rPr>
        <b/>
        <sz val="10"/>
        <color rgb="FF808080"/>
        <rFont val="Consolas"/>
        <family val="3"/>
      </rPr>
      <t>(</t>
    </r>
    <r>
      <rPr>
        <b/>
        <sz val="10"/>
        <color theme="1"/>
        <rFont val="Consolas"/>
        <family val="3"/>
      </rPr>
      <t>id</t>
    </r>
    <r>
      <rPr>
        <b/>
        <sz val="10"/>
        <color rgb="FF808080"/>
        <rFont val="Consolas"/>
        <family val="3"/>
      </rPr>
      <t>));</t>
    </r>
    <r>
      <rPr>
        <b/>
        <sz val="10"/>
        <color theme="1"/>
        <rFont val="Consolas"/>
        <family val="3"/>
      </rPr>
      <t xml:space="preserve"> </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</si>
  <si>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TABLE</t>
    </r>
    <r>
      <rPr>
        <b/>
        <sz val="10"/>
        <color theme="1"/>
        <rFont val="Consolas"/>
        <family val="3"/>
      </rPr>
      <t xml:space="preserve"> cop_sales_history </t>
    </r>
    <r>
      <rPr>
        <b/>
        <sz val="10"/>
        <color rgb="FF0080FF"/>
        <rFont val="Consolas"/>
        <family val="3"/>
      </rPr>
      <t>IS</t>
    </r>
    <r>
      <rPr>
        <b/>
        <sz val="10"/>
        <color theme="1"/>
        <rFont val="Consolas"/>
        <family val="3"/>
      </rPr>
      <t xml:space="preserve"> </t>
    </r>
    <r>
      <rPr>
        <b/>
        <sz val="10"/>
        <color rgb="FFFF2800"/>
        <rFont val="Consolas"/>
        <family val="3"/>
      </rPr>
      <t>'b_cop_販売履歴'</t>
    </r>
    <r>
      <rPr>
        <b/>
        <sz val="10"/>
        <color rgb="FF808080"/>
        <rFont val="Consolas"/>
        <family val="3"/>
      </rPr>
      <t>;</t>
    </r>
  </si>
  <si>
    <t>replace_reason_cde05</t>
  </si>
  <si>
    <t>交換理由 cde05</t>
  </si>
  <si>
    <t>故障交換理由コード05</t>
  </si>
  <si>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id </t>
    </r>
    <r>
      <rPr>
        <b/>
        <sz val="10"/>
        <color rgb="FF0080FF"/>
        <rFont val="Consolas"/>
        <family val="3"/>
      </rPr>
      <t>IS</t>
    </r>
    <r>
      <rPr>
        <b/>
        <sz val="10"/>
        <color theme="1"/>
        <rFont val="Consolas"/>
        <family val="3"/>
      </rPr>
      <t xml:space="preserve"> </t>
    </r>
    <r>
      <rPr>
        <b/>
        <sz val="10"/>
        <color rgb="FFFF2800"/>
        <rFont val="Consolas"/>
        <family val="3"/>
      </rPr>
      <t>'id'</t>
    </r>
    <r>
      <rPr>
        <b/>
        <sz val="10"/>
        <color rgb="FF808080"/>
        <rFont val="Consolas"/>
        <family val="3"/>
      </rPr>
      <t>;</t>
    </r>
  </si>
  <si>
    <t>warranty_service_ind05</t>
  </si>
  <si>
    <t>保証サービス ind05</t>
  </si>
  <si>
    <t>保証サービス利用インジケータ05</t>
  </si>
  <si>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service_id </t>
    </r>
    <r>
      <rPr>
        <b/>
        <sz val="10"/>
        <color rgb="FF0080FF"/>
        <rFont val="Consolas"/>
        <family val="3"/>
      </rPr>
      <t>IS</t>
    </r>
    <r>
      <rPr>
        <b/>
        <sz val="10"/>
        <color theme="1"/>
        <rFont val="Consolas"/>
        <family val="3"/>
      </rPr>
      <t xml:space="preserve"> </t>
    </r>
    <r>
      <rPr>
        <b/>
        <sz val="10"/>
        <color rgb="FFFF2800"/>
        <rFont val="Consolas"/>
        <family val="3"/>
      </rPr>
      <t>'サービスID'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</si>
  <si>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bill_group_id </t>
    </r>
    <r>
      <rPr>
        <b/>
        <sz val="10"/>
        <color rgb="FF0080FF"/>
        <rFont val="Consolas"/>
        <family val="3"/>
      </rPr>
      <t>IS</t>
    </r>
    <r>
      <rPr>
        <b/>
        <sz val="10"/>
        <color theme="1"/>
        <rFont val="Consolas"/>
        <family val="3"/>
      </rPr>
      <t xml:space="preserve"> </t>
    </r>
    <r>
      <rPr>
        <b/>
        <sz val="10"/>
        <color rgb="FFFF2800"/>
        <rFont val="Consolas"/>
        <family val="3"/>
      </rPr>
      <t>'請求書グループID'</t>
    </r>
    <r>
      <rPr>
        <b/>
        <sz val="10"/>
        <color rgb="FF808080"/>
        <rFont val="Consolas"/>
        <family val="3"/>
      </rPr>
      <t>;</t>
    </r>
  </si>
  <si>
    <t>before_equipment_serial_nbr</t>
  </si>
  <si>
    <t>交換前機器シリアル番号</t>
  </si>
  <si>
    <t>変更前シリアル番号</t>
  </si>
  <si>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contractor_id </t>
    </r>
    <r>
      <rPr>
        <b/>
        <sz val="10"/>
        <color rgb="FF0080FF"/>
        <rFont val="Consolas"/>
        <family val="3"/>
      </rPr>
      <t>IS</t>
    </r>
    <r>
      <rPr>
        <b/>
        <sz val="10"/>
        <color theme="1"/>
        <rFont val="Consolas"/>
        <family val="3"/>
      </rPr>
      <t xml:space="preserve"> </t>
    </r>
    <r>
      <rPr>
        <b/>
        <sz val="10"/>
        <color rgb="FFFF2800"/>
        <rFont val="Consolas"/>
        <family val="3"/>
      </rPr>
      <t>'契約者ID'</t>
    </r>
    <r>
      <rPr>
        <b/>
        <sz val="10"/>
        <color rgb="FF808080"/>
        <rFont val="Consolas"/>
        <family val="3"/>
      </rPr>
      <t>;</t>
    </r>
  </si>
  <si>
    <t>before_rec_seq_nbr</t>
  </si>
  <si>
    <t>交換前受付シーケンス番号</t>
  </si>
  <si>
    <t>変更前レコード通番</t>
  </si>
  <si>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item_nbr </t>
    </r>
    <r>
      <rPr>
        <b/>
        <sz val="10"/>
        <color rgb="FF0080FF"/>
        <rFont val="Consolas"/>
        <family val="3"/>
      </rPr>
      <t>IS</t>
    </r>
    <r>
      <rPr>
        <b/>
        <sz val="10"/>
        <color theme="1"/>
        <rFont val="Consolas"/>
        <family val="3"/>
      </rPr>
      <t xml:space="preserve"> </t>
    </r>
    <r>
      <rPr>
        <b/>
        <sz val="10"/>
        <color rgb="FFFF2800"/>
        <rFont val="Consolas"/>
        <family val="3"/>
      </rPr>
      <t>'商品番号'</t>
    </r>
    <r>
      <rPr>
        <b/>
        <sz val="10"/>
        <color rgb="FF808080"/>
        <rFont val="Consolas"/>
        <family val="3"/>
      </rPr>
      <t>;</t>
    </r>
  </si>
  <si>
    <t>loaner_status_cde</t>
  </si>
  <si>
    <t>貸出状況 cde</t>
  </si>
  <si>
    <t>代替機ステータスコード</t>
  </si>
  <si>
    <t>OMコードリファレンス#0075</t>
  </si>
  <si>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equipment_serial_nbr </t>
    </r>
    <r>
      <rPr>
        <b/>
        <sz val="10"/>
        <color rgb="FF0080FF"/>
        <rFont val="Consolas"/>
        <family val="3"/>
      </rPr>
      <t>IS</t>
    </r>
    <r>
      <rPr>
        <b/>
        <sz val="10"/>
        <color theme="1"/>
        <rFont val="Consolas"/>
        <family val="3"/>
      </rPr>
      <t xml:space="preserve"> </t>
    </r>
    <r>
      <rPr>
        <b/>
        <sz val="10"/>
        <color rgb="FFFF2800"/>
        <rFont val="Consolas"/>
        <family val="3"/>
      </rPr>
      <t>'機器シリアル番号'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</si>
  <si>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created_dt </t>
    </r>
    <r>
      <rPr>
        <b/>
        <sz val="10"/>
        <color rgb="FF0080FF"/>
        <rFont val="Consolas"/>
        <family val="3"/>
      </rPr>
      <t>IS</t>
    </r>
    <r>
      <rPr>
        <b/>
        <sz val="10"/>
        <color theme="1"/>
        <rFont val="Consolas"/>
        <family val="3"/>
      </rPr>
      <t xml:space="preserve"> </t>
    </r>
    <r>
      <rPr>
        <b/>
        <sz val="10"/>
        <color rgb="FFFF2800"/>
        <rFont val="Consolas"/>
        <family val="3"/>
      </rPr>
      <t>'作成日時'</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</si>
  <si>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created_tm </t>
    </r>
    <r>
      <rPr>
        <b/>
        <sz val="10"/>
        <color rgb="FF0080FF"/>
        <rFont val="Consolas"/>
        <family val="3"/>
      </rPr>
      <t>IS</t>
    </r>
    <r>
      <rPr>
        <b/>
        <sz val="10"/>
        <color theme="1"/>
        <rFont val="Consolas"/>
        <family val="3"/>
      </rPr>
      <t xml:space="preserve"> </t>
    </r>
    <r>
      <rPr>
        <b/>
        <sz val="10"/>
        <color rgb="FFFF2800"/>
        <rFont val="Consolas"/>
        <family val="3"/>
      </rPr>
      <t>'作成日時_tm'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</si>
  <si>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delete_ind </t>
    </r>
    <r>
      <rPr>
        <b/>
        <sz val="10"/>
        <color rgb="FF0080FF"/>
        <rFont val="Consolas"/>
        <family val="3"/>
      </rPr>
      <t>IS</t>
    </r>
    <r>
      <rPr>
        <b/>
        <sz val="10"/>
        <color theme="1"/>
        <rFont val="Consolas"/>
        <family val="3"/>
      </rPr>
      <t xml:space="preserve"> </t>
    </r>
    <r>
      <rPr>
        <b/>
        <sz val="10"/>
        <color rgb="FFFF2800"/>
        <rFont val="Consolas"/>
        <family val="3"/>
      </rPr>
      <t>'削除_ind'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</si>
  <si>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selling_dt </t>
    </r>
    <r>
      <rPr>
        <b/>
        <sz val="10"/>
        <color rgb="FF0080FF"/>
        <rFont val="Consolas"/>
        <family val="3"/>
      </rPr>
      <t>IS</t>
    </r>
    <r>
      <rPr>
        <b/>
        <sz val="10"/>
        <color theme="1"/>
        <rFont val="Consolas"/>
        <family val="3"/>
      </rPr>
      <t xml:space="preserve"> </t>
    </r>
    <r>
      <rPr>
        <b/>
        <sz val="10"/>
        <color rgb="FFFF2800"/>
        <rFont val="Consolas"/>
        <family val="3"/>
      </rPr>
      <t>'販売日時_tt'</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</si>
  <si>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selling_cancel_dt </t>
    </r>
    <r>
      <rPr>
        <b/>
        <sz val="10"/>
        <color rgb="FF0080FF"/>
        <rFont val="Consolas"/>
        <family val="3"/>
      </rPr>
      <t>IS</t>
    </r>
    <r>
      <rPr>
        <b/>
        <sz val="10"/>
        <color theme="1"/>
        <rFont val="Consolas"/>
        <family val="3"/>
      </rPr>
      <t xml:space="preserve"> </t>
    </r>
    <r>
      <rPr>
        <b/>
        <sz val="10"/>
        <color rgb="FFFF2800"/>
        <rFont val="Consolas"/>
        <family val="3"/>
      </rPr>
      <t>'販売キャンセル日時_tt'</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</si>
  <si>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selling_type_cde </t>
    </r>
    <r>
      <rPr>
        <b/>
        <sz val="10"/>
        <color rgb="FF0080FF"/>
        <rFont val="Consolas"/>
        <family val="3"/>
      </rPr>
      <t>IS</t>
    </r>
    <r>
      <rPr>
        <b/>
        <sz val="10"/>
        <color theme="1"/>
        <rFont val="Consolas"/>
        <family val="3"/>
      </rPr>
      <t xml:space="preserve"> </t>
    </r>
    <r>
      <rPr>
        <b/>
        <sz val="10"/>
        <color rgb="FFFF2800"/>
        <rFont val="Consolas"/>
        <family val="3"/>
      </rPr>
      <t>'販売タイプ_cde'</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</si>
  <si>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selling_reason_cde </t>
    </r>
    <r>
      <rPr>
        <b/>
        <sz val="10"/>
        <color rgb="FF0080FF"/>
        <rFont val="Consolas"/>
        <family val="3"/>
      </rPr>
      <t>IS</t>
    </r>
    <r>
      <rPr>
        <b/>
        <sz val="10"/>
        <color theme="1"/>
        <rFont val="Consolas"/>
        <family val="3"/>
      </rPr>
      <t xml:space="preserve"> </t>
    </r>
    <r>
      <rPr>
        <b/>
        <sz val="10"/>
        <color rgb="FFFF2800"/>
        <rFont val="Consolas"/>
        <family val="3"/>
      </rPr>
      <t>'販売理由_cde'</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</si>
  <si>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cancellation_reason_cde </t>
    </r>
    <r>
      <rPr>
        <b/>
        <sz val="10"/>
        <color rgb="FF0080FF"/>
        <rFont val="Consolas"/>
        <family val="3"/>
      </rPr>
      <t>IS</t>
    </r>
    <r>
      <rPr>
        <b/>
        <sz val="10"/>
        <color theme="1"/>
        <rFont val="Consolas"/>
        <family val="3"/>
      </rPr>
      <t xml:space="preserve"> </t>
    </r>
    <r>
      <rPr>
        <b/>
        <sz val="10"/>
        <color rgb="FFFF2800"/>
        <rFont val="Consolas"/>
        <family val="3"/>
      </rPr>
      <t>'キャンセル理由_cde'</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</si>
  <si>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selling_status_cde </t>
    </r>
    <r>
      <rPr>
        <b/>
        <sz val="10"/>
        <color rgb="FF0080FF"/>
        <rFont val="Consolas"/>
        <family val="3"/>
      </rPr>
      <t>IS</t>
    </r>
    <r>
      <rPr>
        <b/>
        <sz val="10"/>
        <color theme="1"/>
        <rFont val="Consolas"/>
        <family val="3"/>
      </rPr>
      <t xml:space="preserve"> </t>
    </r>
    <r>
      <rPr>
        <b/>
        <sz val="10"/>
        <color rgb="FFFF2800"/>
        <rFont val="Consolas"/>
        <family val="3"/>
      </rPr>
      <t>'販売ステータス_cde'</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</si>
  <si>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svc_org_id </t>
    </r>
    <r>
      <rPr>
        <b/>
        <sz val="10"/>
        <color rgb="FF0080FF"/>
        <rFont val="Consolas"/>
        <family val="3"/>
      </rPr>
      <t>IS</t>
    </r>
    <r>
      <rPr>
        <b/>
        <sz val="10"/>
        <color theme="1"/>
        <rFont val="Consolas"/>
        <family val="3"/>
      </rPr>
      <t xml:space="preserve"> </t>
    </r>
    <r>
      <rPr>
        <b/>
        <sz val="10"/>
        <color rgb="FFFF2800"/>
        <rFont val="Consolas"/>
        <family val="3"/>
      </rPr>
      <t>'サービス提供組織ID'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</si>
  <si>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cancellation_svc_org_id </t>
    </r>
    <r>
      <rPr>
        <b/>
        <sz val="10"/>
        <color rgb="FF0080FF"/>
        <rFont val="Consolas"/>
        <family val="3"/>
      </rPr>
      <t>IS</t>
    </r>
    <r>
      <rPr>
        <b/>
        <sz val="10"/>
        <color theme="1"/>
        <rFont val="Consolas"/>
        <family val="3"/>
      </rPr>
      <t xml:space="preserve"> </t>
    </r>
    <r>
      <rPr>
        <b/>
        <sz val="10"/>
        <color rgb="FFFF2800"/>
        <rFont val="Consolas"/>
        <family val="3"/>
      </rPr>
      <t>'キャンセルサービス提供組織ID'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</si>
  <si>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selling_method_cde </t>
    </r>
    <r>
      <rPr>
        <b/>
        <sz val="10"/>
        <color rgb="FF0080FF"/>
        <rFont val="Consolas"/>
        <family val="3"/>
      </rPr>
      <t>IS</t>
    </r>
    <r>
      <rPr>
        <b/>
        <sz val="10"/>
        <color theme="1"/>
        <rFont val="Consolas"/>
        <family val="3"/>
      </rPr>
      <t xml:space="preserve"> </t>
    </r>
    <r>
      <rPr>
        <b/>
        <sz val="10"/>
        <color rgb="FFFF2800"/>
        <rFont val="Consolas"/>
        <family val="3"/>
      </rPr>
      <t>'販売方法_cde'</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</si>
  <si>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battery_pack_stat_cde </t>
    </r>
    <r>
      <rPr>
        <b/>
        <sz val="10"/>
        <color rgb="FF0080FF"/>
        <rFont val="Consolas"/>
        <family val="3"/>
      </rPr>
      <t>IS</t>
    </r>
    <r>
      <rPr>
        <b/>
        <sz val="10"/>
        <color theme="1"/>
        <rFont val="Consolas"/>
        <family val="3"/>
      </rPr>
      <t xml:space="preserve"> </t>
    </r>
    <r>
      <rPr>
        <b/>
        <sz val="10"/>
        <color rgb="FFFF2800"/>
        <rFont val="Consolas"/>
        <family val="3"/>
      </rPr>
      <t>'バッテリーパックステータス_cde'</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</si>
  <si>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item_quantity </t>
    </r>
    <r>
      <rPr>
        <b/>
        <sz val="10"/>
        <color rgb="FF0080FF"/>
        <rFont val="Consolas"/>
        <family val="3"/>
      </rPr>
      <t>IS</t>
    </r>
    <r>
      <rPr>
        <b/>
        <sz val="10"/>
        <color theme="1"/>
        <rFont val="Consolas"/>
        <family val="3"/>
      </rPr>
      <t xml:space="preserve"> </t>
    </r>
    <r>
      <rPr>
        <b/>
        <sz val="10"/>
        <color rgb="FFFF2800"/>
        <rFont val="Consolas"/>
        <family val="3"/>
      </rPr>
      <t>'商品数量'</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</si>
  <si>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record_sequence_nbr </t>
    </r>
    <r>
      <rPr>
        <b/>
        <sz val="10"/>
        <color rgb="FF0080FF"/>
        <rFont val="Consolas"/>
        <family val="3"/>
      </rPr>
      <t>IS</t>
    </r>
    <r>
      <rPr>
        <b/>
        <sz val="10"/>
        <color theme="1"/>
        <rFont val="Consolas"/>
        <family val="3"/>
      </rPr>
      <t xml:space="preserve"> </t>
    </r>
    <r>
      <rPr>
        <b/>
        <sz val="10"/>
        <color rgb="FFFF2800"/>
        <rFont val="Consolas"/>
        <family val="3"/>
      </rPr>
      <t>'レコードシーケンス番号'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</si>
  <si>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battery_pack_request_dt </t>
    </r>
    <r>
      <rPr>
        <b/>
        <sz val="10"/>
        <color rgb="FF0080FF"/>
        <rFont val="Consolas"/>
        <family val="3"/>
      </rPr>
      <t>IS</t>
    </r>
    <r>
      <rPr>
        <b/>
        <sz val="10"/>
        <color theme="1"/>
        <rFont val="Consolas"/>
        <family val="3"/>
      </rPr>
      <t xml:space="preserve"> </t>
    </r>
    <r>
      <rPr>
        <b/>
        <sz val="10"/>
        <color rgb="FFFF2800"/>
        <rFont val="Consolas"/>
        <family val="3"/>
      </rPr>
      <t>'バッテリーパック要求日時'</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</si>
  <si>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pymt_method_cde </t>
    </r>
    <r>
      <rPr>
        <b/>
        <sz val="10"/>
        <color rgb="FF0080FF"/>
        <rFont val="Consolas"/>
        <family val="3"/>
      </rPr>
      <t>IS</t>
    </r>
    <r>
      <rPr>
        <b/>
        <sz val="10"/>
        <color theme="1"/>
        <rFont val="Consolas"/>
        <family val="3"/>
      </rPr>
      <t xml:space="preserve"> </t>
    </r>
    <r>
      <rPr>
        <b/>
        <sz val="10"/>
        <color rgb="FFFF2800"/>
        <rFont val="Consolas"/>
        <family val="3"/>
      </rPr>
      <t>'支払い方法 cde'</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</si>
  <si>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repair_acceptance_dt </t>
    </r>
    <r>
      <rPr>
        <b/>
        <sz val="10"/>
        <color rgb="FF0080FF"/>
        <rFont val="Consolas"/>
        <family val="3"/>
      </rPr>
      <t>IS</t>
    </r>
    <r>
      <rPr>
        <b/>
        <sz val="10"/>
        <color theme="1"/>
        <rFont val="Consolas"/>
        <family val="3"/>
      </rPr>
      <t xml:space="preserve"> </t>
    </r>
    <r>
      <rPr>
        <b/>
        <sz val="10"/>
        <color rgb="FFFF2800"/>
        <rFont val="Consolas"/>
        <family val="3"/>
      </rPr>
      <t>'修理受付 dt'</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</si>
  <si>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replace_reason_cde01 </t>
    </r>
    <r>
      <rPr>
        <b/>
        <sz val="10"/>
        <color rgb="FF0080FF"/>
        <rFont val="Consolas"/>
        <family val="3"/>
      </rPr>
      <t>IS</t>
    </r>
    <r>
      <rPr>
        <b/>
        <sz val="10"/>
        <color theme="1"/>
        <rFont val="Consolas"/>
        <family val="3"/>
      </rPr>
      <t xml:space="preserve"> </t>
    </r>
    <r>
      <rPr>
        <b/>
        <sz val="10"/>
        <color rgb="FFFF2800"/>
        <rFont val="Consolas"/>
        <family val="3"/>
      </rPr>
      <t>'交換理由 cde01'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</si>
  <si>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warranty_service_ind01 </t>
    </r>
    <r>
      <rPr>
        <b/>
        <sz val="10"/>
        <color rgb="FF0080FF"/>
        <rFont val="Consolas"/>
        <family val="3"/>
      </rPr>
      <t>IS</t>
    </r>
    <r>
      <rPr>
        <b/>
        <sz val="10"/>
        <color theme="1"/>
        <rFont val="Consolas"/>
        <family val="3"/>
      </rPr>
      <t xml:space="preserve"> </t>
    </r>
    <r>
      <rPr>
        <b/>
        <sz val="10"/>
        <color rgb="FFFF2800"/>
        <rFont val="Consolas"/>
        <family val="3"/>
      </rPr>
      <t>'保証サービス ind01'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</si>
  <si>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replace_reason_cde02 </t>
    </r>
    <r>
      <rPr>
        <b/>
        <sz val="10"/>
        <color rgb="FF0080FF"/>
        <rFont val="Consolas"/>
        <family val="3"/>
      </rPr>
      <t>IS</t>
    </r>
    <r>
      <rPr>
        <b/>
        <sz val="10"/>
        <color theme="1"/>
        <rFont val="Consolas"/>
        <family val="3"/>
      </rPr>
      <t xml:space="preserve"> </t>
    </r>
    <r>
      <rPr>
        <b/>
        <sz val="10"/>
        <color rgb="FFFF2800"/>
        <rFont val="Consolas"/>
        <family val="3"/>
      </rPr>
      <t>'交換理由 cde02'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</si>
  <si>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warranty_service_ind02 </t>
    </r>
    <r>
      <rPr>
        <b/>
        <sz val="10"/>
        <color rgb="FF0080FF"/>
        <rFont val="Consolas"/>
        <family val="3"/>
      </rPr>
      <t>IS</t>
    </r>
    <r>
      <rPr>
        <b/>
        <sz val="10"/>
        <color theme="1"/>
        <rFont val="Consolas"/>
        <family val="3"/>
      </rPr>
      <t xml:space="preserve"> </t>
    </r>
    <r>
      <rPr>
        <b/>
        <sz val="10"/>
        <color rgb="FFFF2800"/>
        <rFont val="Consolas"/>
        <family val="3"/>
      </rPr>
      <t>'保証サービス ind02'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</si>
  <si>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replace_reason_cde03 </t>
    </r>
    <r>
      <rPr>
        <b/>
        <sz val="10"/>
        <color rgb="FF0080FF"/>
        <rFont val="Consolas"/>
        <family val="3"/>
      </rPr>
      <t>IS</t>
    </r>
    <r>
      <rPr>
        <b/>
        <sz val="10"/>
        <color theme="1"/>
        <rFont val="Consolas"/>
        <family val="3"/>
      </rPr>
      <t xml:space="preserve"> </t>
    </r>
    <r>
      <rPr>
        <b/>
        <sz val="10"/>
        <color rgb="FFFF2800"/>
        <rFont val="Consolas"/>
        <family val="3"/>
      </rPr>
      <t>'交換理由 cde03'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</si>
  <si>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warranty_service_ind03 </t>
    </r>
    <r>
      <rPr>
        <b/>
        <sz val="10"/>
        <color rgb="FF0080FF"/>
        <rFont val="Consolas"/>
        <family val="3"/>
      </rPr>
      <t>IS</t>
    </r>
    <r>
      <rPr>
        <b/>
        <sz val="10"/>
        <color theme="1"/>
        <rFont val="Consolas"/>
        <family val="3"/>
      </rPr>
      <t xml:space="preserve"> </t>
    </r>
    <r>
      <rPr>
        <b/>
        <sz val="10"/>
        <color rgb="FFFF2800"/>
        <rFont val="Consolas"/>
        <family val="3"/>
      </rPr>
      <t>'保証サービス ind03'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</si>
  <si>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replace_reason_cde04 </t>
    </r>
    <r>
      <rPr>
        <b/>
        <sz val="10"/>
        <color rgb="FF0080FF"/>
        <rFont val="Consolas"/>
        <family val="3"/>
      </rPr>
      <t>IS</t>
    </r>
    <r>
      <rPr>
        <b/>
        <sz val="10"/>
        <color theme="1"/>
        <rFont val="Consolas"/>
        <family val="3"/>
      </rPr>
      <t xml:space="preserve"> </t>
    </r>
    <r>
      <rPr>
        <b/>
        <sz val="10"/>
        <color rgb="FFFF2800"/>
        <rFont val="Consolas"/>
        <family val="3"/>
      </rPr>
      <t>'交換理由 cde04'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</si>
  <si>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warranty_service_ind04 </t>
    </r>
    <r>
      <rPr>
        <b/>
        <sz val="10"/>
        <color rgb="FF0080FF"/>
        <rFont val="Consolas"/>
        <family val="3"/>
      </rPr>
      <t>IS</t>
    </r>
    <r>
      <rPr>
        <b/>
        <sz val="10"/>
        <color theme="1"/>
        <rFont val="Consolas"/>
        <family val="3"/>
      </rPr>
      <t xml:space="preserve"> </t>
    </r>
    <r>
      <rPr>
        <b/>
        <sz val="10"/>
        <color rgb="FFFF2800"/>
        <rFont val="Consolas"/>
        <family val="3"/>
      </rPr>
      <t>'保証サービス ind04'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</si>
  <si>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replace_reason_cde05 </t>
    </r>
    <r>
      <rPr>
        <b/>
        <sz val="10"/>
        <color rgb="FF0080FF"/>
        <rFont val="Consolas"/>
        <family val="3"/>
      </rPr>
      <t>IS</t>
    </r>
    <r>
      <rPr>
        <b/>
        <sz val="10"/>
        <color theme="1"/>
        <rFont val="Consolas"/>
        <family val="3"/>
      </rPr>
      <t xml:space="preserve"> </t>
    </r>
    <r>
      <rPr>
        <b/>
        <sz val="10"/>
        <color rgb="FFFF2800"/>
        <rFont val="Consolas"/>
        <family val="3"/>
      </rPr>
      <t>'交換理由 cde05'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</si>
  <si>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warranty_service_ind05 </t>
    </r>
    <r>
      <rPr>
        <b/>
        <sz val="10"/>
        <color rgb="FF0080FF"/>
        <rFont val="Consolas"/>
        <family val="3"/>
      </rPr>
      <t>IS</t>
    </r>
    <r>
      <rPr>
        <b/>
        <sz val="10"/>
        <color theme="1"/>
        <rFont val="Consolas"/>
        <family val="3"/>
      </rPr>
      <t xml:space="preserve"> </t>
    </r>
    <r>
      <rPr>
        <b/>
        <sz val="10"/>
        <color rgb="FFFF2800"/>
        <rFont val="Consolas"/>
        <family val="3"/>
      </rPr>
      <t>'保証サービス ind05'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</si>
  <si>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before_equipment_serial_nbr </t>
    </r>
    <r>
      <rPr>
        <b/>
        <sz val="10"/>
        <color rgb="FF0080FF"/>
        <rFont val="Consolas"/>
        <family val="3"/>
      </rPr>
      <t>IS</t>
    </r>
    <r>
      <rPr>
        <b/>
        <sz val="10"/>
        <color theme="1"/>
        <rFont val="Consolas"/>
        <family val="3"/>
      </rPr>
      <t xml:space="preserve"> </t>
    </r>
    <r>
      <rPr>
        <b/>
        <sz val="10"/>
        <color rgb="FFFF2800"/>
        <rFont val="Consolas"/>
        <family val="3"/>
      </rPr>
      <t>'交換前機器シリアル番号'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</si>
  <si>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before_rec_seq_nbr </t>
    </r>
    <r>
      <rPr>
        <b/>
        <sz val="10"/>
        <color rgb="FF0080FF"/>
        <rFont val="Consolas"/>
        <family val="3"/>
      </rPr>
      <t>IS</t>
    </r>
    <r>
      <rPr>
        <b/>
        <sz val="10"/>
        <color theme="1"/>
        <rFont val="Consolas"/>
        <family val="3"/>
      </rPr>
      <t xml:space="preserve"> </t>
    </r>
    <r>
      <rPr>
        <b/>
        <sz val="10"/>
        <color rgb="FFFF2800"/>
        <rFont val="Consolas"/>
        <family val="3"/>
      </rPr>
      <t>'交換前受付シーケンス番号'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</si>
  <si>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cop_sales_history</t>
    </r>
    <r>
      <rPr>
        <b/>
        <sz val="10"/>
        <color rgb="FF808080"/>
        <rFont val="Consolas"/>
        <family val="3"/>
      </rPr>
      <t>.</t>
    </r>
    <r>
      <rPr>
        <b/>
        <sz val="10"/>
        <color theme="1"/>
        <rFont val="Consolas"/>
        <family val="3"/>
      </rPr>
      <t xml:space="preserve">loaner_status_cde </t>
    </r>
    <r>
      <rPr>
        <b/>
        <sz val="10"/>
        <color rgb="FF0080FF"/>
        <rFont val="Consolas"/>
        <family val="3"/>
      </rPr>
      <t>IS</t>
    </r>
    <r>
      <rPr>
        <b/>
        <sz val="10"/>
        <color theme="1"/>
        <rFont val="Consolas"/>
        <family val="3"/>
      </rPr>
      <t xml:space="preserve"> </t>
    </r>
    <r>
      <rPr>
        <b/>
        <sz val="10"/>
        <color rgb="FFFF2800"/>
        <rFont val="Consolas"/>
        <family val="3"/>
      </rPr>
      <t>'貸出状況 cde'</t>
    </r>
    <r>
      <rPr>
        <b/>
        <sz val="10"/>
        <color rgb="FF808080"/>
        <rFont val="Consolas"/>
        <family val="3"/>
      </rPr>
      <t>;</t>
    </r>
  </si>
  <si>
    <t>b_cop_機器割当</t>
    <phoneticPr fontId="2"/>
  </si>
  <si>
    <t>B_機器割当_[権限]</t>
  </si>
  <si>
    <t>V000678</t>
  </si>
  <si>
    <t>cop_equipment_allocation</t>
  </si>
  <si>
    <t>回線が使用している機器（USIM、2G/3G移動機など）を管理。</t>
  </si>
  <si>
    <r>
      <t>DROP</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EXISTS</t>
    </r>
    <r>
      <rPr>
        <b/>
        <sz val="10"/>
        <color theme="1"/>
        <rFont val="Consolas"/>
        <family val="3"/>
      </rPr>
      <t xml:space="preserve"> cop_equipment_allocation </t>
    </r>
    <r>
      <rPr>
        <b/>
        <sz val="10"/>
        <color rgb="FF0080FF"/>
        <rFont val="Consolas"/>
        <family val="3"/>
      </rPr>
      <t>CASCADE</t>
    </r>
    <r>
      <rPr>
        <b/>
        <sz val="10"/>
        <color rgb="FF808080"/>
        <rFont val="Consolas"/>
        <family val="3"/>
      </rPr>
      <t>;</t>
    </r>
    <r>
      <rPr>
        <b/>
        <sz val="10"/>
        <color theme="1"/>
        <rFont val="Consolas"/>
        <family val="3"/>
      </rPr>
      <t xml:space="preserve"> </t>
    </r>
  </si>
  <si>
    <r>
      <t>CREATE</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NOT</t>
    </r>
    <r>
      <rPr>
        <b/>
        <sz val="10"/>
        <color theme="1"/>
        <rFont val="Consolas"/>
        <family val="3"/>
      </rPr>
      <t xml:space="preserve"> </t>
    </r>
    <r>
      <rPr>
        <b/>
        <sz val="10"/>
        <color rgb="FF0080FF"/>
        <rFont val="Consolas"/>
        <family val="3"/>
      </rPr>
      <t>EXISTS</t>
    </r>
    <r>
      <rPr>
        <b/>
        <sz val="10"/>
        <color theme="1"/>
        <rFont val="Consolas"/>
        <family val="3"/>
      </rPr>
      <t xml:space="preserve"> cop_equipment_allocation </t>
    </r>
    <r>
      <rPr>
        <b/>
        <sz val="10"/>
        <color rgb="FF808080"/>
        <rFont val="Consolas"/>
        <family val="3"/>
      </rPr>
      <t>(</t>
    </r>
    <r>
      <rPr>
        <b/>
        <sz val="10"/>
        <color theme="1"/>
        <rFont val="Consolas"/>
        <family val="3"/>
      </rPr>
      <t xml:space="preserve"> </t>
    </r>
  </si>
  <si>
    <t>ifdb プロセスタイプ</t>
  </si>
  <si>
    <r>
      <t xml:space="preserve">ifdb_proc_type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</si>
  <si>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equipment_type_cde</t>
  </si>
  <si>
    <t>機器タイプ CDE</t>
  </si>
  <si>
    <t>機器タイプコード</t>
  </si>
  <si>
    <t>OMコードリファレンス#0031</t>
  </si>
  <si>
    <r>
      <t xml:space="preserve">equipment_type_cde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</si>
  <si>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(Integrated Circuit Card Identity) USIMを特定するためのICカードID</t>
  </si>
  <si>
    <t>有効日付開始</t>
  </si>
  <si>
    <t>有効日付終了</t>
  </si>
  <si>
    <t>有効終了日(YYYYMMDD): 有効である場合は9999/12/3</t>
  </si>
  <si>
    <r>
      <t xml:space="preserve">transaction_nbr </t>
    </r>
    <r>
      <rPr>
        <b/>
        <sz val="10"/>
        <color rgb="FF0080FF"/>
        <rFont val="Consolas"/>
        <family val="3"/>
      </rPr>
      <t>DECIMAL</t>
    </r>
    <r>
      <rPr>
        <b/>
        <sz val="10"/>
        <color rgb="FF808080"/>
        <rFont val="Consolas"/>
        <family val="3"/>
      </rPr>
      <t>(</t>
    </r>
    <r>
      <rPr>
        <b/>
        <sz val="10"/>
        <color rgb="FFFF2800"/>
        <rFont val="Consolas"/>
        <family val="3"/>
      </rPr>
      <t>15</t>
    </r>
    <r>
      <rPr>
        <b/>
        <sz val="10"/>
        <color rgb="FF808080"/>
        <rFont val="Consolas"/>
        <family val="3"/>
      </rPr>
      <t>,</t>
    </r>
    <r>
      <rPr>
        <b/>
        <sz val="10"/>
        <color rgb="FFFF2800"/>
        <rFont val="Consolas"/>
        <family val="3"/>
      </rPr>
      <t>0</t>
    </r>
    <r>
      <rPr>
        <b/>
        <sz val="10"/>
        <color rgb="FF808080"/>
        <rFont val="Consolas"/>
        <family val="3"/>
      </rPr>
      <t>),</t>
    </r>
  </si>
  <si>
    <t>作成日付</t>
  </si>
  <si>
    <t>作成日(YYYYMMDD): 移動機が販売され、回線と移動機が紐づいた日付</t>
  </si>
  <si>
    <r>
      <t xml:space="preserve">last_updated_dt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</si>
  <si>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最終更新日付</t>
  </si>
  <si>
    <t>最終更新日(YYYYMMDD): 最後に買替や解約が行われた日付</t>
  </si>
  <si>
    <r>
      <t xml:space="preserve">last_updated_tm </t>
    </r>
    <r>
      <rPr>
        <b/>
        <sz val="10"/>
        <color rgb="FF0080FF"/>
        <rFont val="Consolas"/>
        <family val="3"/>
      </rPr>
      <t>VARCHAR</t>
    </r>
    <r>
      <rPr>
        <b/>
        <sz val="10"/>
        <color rgb="FF808080"/>
        <rFont val="Consolas"/>
        <family val="3"/>
      </rPr>
      <t>(</t>
    </r>
    <r>
      <rPr>
        <b/>
        <sz val="10"/>
        <color rgb="FFFF2800"/>
        <rFont val="Consolas"/>
        <family val="3"/>
      </rPr>
      <t>12</t>
    </r>
    <r>
      <rPr>
        <b/>
        <sz val="10"/>
        <color rgb="FF808080"/>
        <rFont val="Consolas"/>
        <family val="3"/>
      </rPr>
      <t>),</t>
    </r>
  </si>
  <si>
    <t>最終更新日時</t>
  </si>
  <si>
    <r>
      <t xml:space="preserve">imsi_nbr </t>
    </r>
    <r>
      <rPr>
        <b/>
        <sz val="10"/>
        <color rgb="FF0080FF"/>
        <rFont val="Consolas"/>
        <family val="3"/>
      </rPr>
      <t>VARCHAR</t>
    </r>
    <r>
      <rPr>
        <b/>
        <sz val="10"/>
        <color rgb="FF808080"/>
        <rFont val="Consolas"/>
        <family val="3"/>
      </rPr>
      <t>(</t>
    </r>
    <r>
      <rPr>
        <b/>
        <sz val="10"/>
        <color rgb="FFFF2800"/>
        <rFont val="Consolas"/>
        <family val="3"/>
      </rPr>
      <t>30</t>
    </r>
    <r>
      <rPr>
        <b/>
        <sz val="10"/>
        <color rgb="FF808080"/>
        <rFont val="Consolas"/>
        <family val="3"/>
      </rPr>
      <t>),</t>
    </r>
  </si>
  <si>
    <t>imsi_nbr</t>
  </si>
  <si>
    <t>IMSI 番号</t>
  </si>
  <si>
    <t>IMSI番号</t>
  </si>
  <si>
    <t>item_nbr</t>
  </si>
  <si>
    <r>
      <t>CONSTRAINT</t>
    </r>
    <r>
      <rPr>
        <b/>
        <sz val="10"/>
        <color theme="1"/>
        <rFont val="Consolas"/>
        <family val="3"/>
      </rPr>
      <t xml:space="preserve"> pk_cop_equipment_allocation </t>
    </r>
    <r>
      <rPr>
        <b/>
        <sz val="10"/>
        <color rgb="FF0080FF"/>
        <rFont val="Consolas"/>
        <family val="3"/>
      </rPr>
      <t>PRIMARY</t>
    </r>
    <r>
      <rPr>
        <b/>
        <sz val="10"/>
        <color theme="1"/>
        <rFont val="Consolas"/>
        <family val="3"/>
      </rPr>
      <t xml:space="preserve"> </t>
    </r>
    <r>
      <rPr>
        <b/>
        <sz val="10"/>
        <color rgb="FF0080FF"/>
        <rFont val="Consolas"/>
        <family val="3"/>
      </rPr>
      <t>KEY</t>
    </r>
    <r>
      <rPr>
        <b/>
        <sz val="10"/>
        <color theme="1"/>
        <rFont val="Consolas"/>
        <family val="3"/>
      </rPr>
      <t xml:space="preserve"> </t>
    </r>
    <r>
      <rPr>
        <b/>
        <sz val="10"/>
        <color rgb="FF808080"/>
        <rFont val="Consolas"/>
        <family val="3"/>
      </rPr>
      <t>(</t>
    </r>
    <r>
      <rPr>
        <b/>
        <sz val="10"/>
        <color theme="1"/>
        <rFont val="Consolas"/>
        <family val="3"/>
      </rPr>
      <t>id</t>
    </r>
    <r>
      <rPr>
        <b/>
        <sz val="10"/>
        <color rgb="FF808080"/>
        <rFont val="Consolas"/>
        <family val="3"/>
      </rPr>
      <t>));</t>
    </r>
    <r>
      <rPr>
        <b/>
        <sz val="10"/>
        <color theme="1"/>
        <rFont val="Consolas"/>
        <family val="3"/>
      </rPr>
      <t xml:space="preserve"> </t>
    </r>
  </si>
  <si>
    <t>解約インジケータ: 回線が解約された日付</t>
  </si>
  <si>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TABLE</t>
    </r>
    <r>
      <rPr>
        <sz val="10"/>
        <color theme="1"/>
        <rFont val="Consolas"/>
        <family val="3"/>
      </rPr>
      <t xml:space="preserve"> cop_equipment_allocation </t>
    </r>
    <r>
      <rPr>
        <sz val="10"/>
        <color rgb="FF0080FF"/>
        <rFont val="Consolas"/>
        <family val="3"/>
      </rPr>
      <t>IS</t>
    </r>
    <r>
      <rPr>
        <sz val="10"/>
        <color theme="1"/>
        <rFont val="Consolas"/>
        <family val="3"/>
      </rPr>
      <t xml:space="preserve"> </t>
    </r>
    <r>
      <rPr>
        <sz val="10"/>
        <color rgb="FFFF2800"/>
        <rFont val="Consolas"/>
        <family val="3"/>
      </rPr>
      <t>'b_cop_機器割当'</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</si>
  <si>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cop_equipment_allocation</t>
    </r>
    <r>
      <rPr>
        <sz val="10"/>
        <color rgb="FF808080"/>
        <rFont val="Consolas"/>
        <family val="3"/>
      </rPr>
      <t>.</t>
    </r>
    <r>
      <rPr>
        <sz val="10"/>
        <color theme="1"/>
        <rFont val="Consolas"/>
        <family val="3"/>
      </rPr>
      <t xml:space="preserve">id </t>
    </r>
    <r>
      <rPr>
        <sz val="10"/>
        <color rgb="FF0080FF"/>
        <rFont val="Consolas"/>
        <family val="3"/>
      </rPr>
      <t>IS</t>
    </r>
    <r>
      <rPr>
        <sz val="10"/>
        <color theme="1"/>
        <rFont val="Consolas"/>
        <family val="3"/>
      </rPr>
      <t xml:space="preserve"> </t>
    </r>
    <r>
      <rPr>
        <sz val="10"/>
        <color rgb="FFFF2800"/>
        <rFont val="Consolas"/>
        <family val="3"/>
      </rPr>
      <t>'id'</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</si>
  <si>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cop_equipment_allocation</t>
    </r>
    <r>
      <rPr>
        <sz val="10"/>
        <color rgb="FF808080"/>
        <rFont val="Consolas"/>
        <family val="3"/>
      </rPr>
      <t>.</t>
    </r>
    <r>
      <rPr>
        <sz val="10"/>
        <color theme="1"/>
        <rFont val="Consolas"/>
        <family val="3"/>
      </rPr>
      <t xml:space="preserve">ifdb_proc_type </t>
    </r>
    <r>
      <rPr>
        <sz val="10"/>
        <color rgb="FF0080FF"/>
        <rFont val="Consolas"/>
        <family val="3"/>
      </rPr>
      <t>IS</t>
    </r>
    <r>
      <rPr>
        <sz val="10"/>
        <color theme="1"/>
        <rFont val="Consolas"/>
        <family val="3"/>
      </rPr>
      <t xml:space="preserve"> </t>
    </r>
    <r>
      <rPr>
        <sz val="10"/>
        <color rgb="FFFF2800"/>
        <rFont val="Consolas"/>
        <family val="3"/>
      </rPr>
      <t>'ifdb プロセスタイプ'</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</si>
  <si>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cop_equipment_allocation</t>
    </r>
    <r>
      <rPr>
        <sz val="10"/>
        <color rgb="FF808080"/>
        <rFont val="Consolas"/>
        <family val="3"/>
      </rPr>
      <t>.</t>
    </r>
    <r>
      <rPr>
        <sz val="10"/>
        <color theme="1"/>
        <rFont val="Consolas"/>
        <family val="3"/>
      </rPr>
      <t xml:space="preserve">service_id </t>
    </r>
    <r>
      <rPr>
        <sz val="10"/>
        <color rgb="FF0080FF"/>
        <rFont val="Consolas"/>
        <family val="3"/>
      </rPr>
      <t>IS</t>
    </r>
    <r>
      <rPr>
        <sz val="10"/>
        <color theme="1"/>
        <rFont val="Consolas"/>
        <family val="3"/>
      </rPr>
      <t xml:space="preserve"> </t>
    </r>
    <r>
      <rPr>
        <sz val="10"/>
        <color rgb="FFFF2800"/>
        <rFont val="Consolas"/>
        <family val="3"/>
      </rPr>
      <t>'サービスID'</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</si>
  <si>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cop_equipment_allocation</t>
    </r>
    <r>
      <rPr>
        <sz val="10"/>
        <color rgb="FF808080"/>
        <rFont val="Consolas"/>
        <family val="3"/>
      </rPr>
      <t>.</t>
    </r>
    <r>
      <rPr>
        <sz val="10"/>
        <color theme="1"/>
        <rFont val="Consolas"/>
        <family val="3"/>
      </rPr>
      <t xml:space="preserve">equipment_type_cde </t>
    </r>
    <r>
      <rPr>
        <sz val="10"/>
        <color rgb="FF0080FF"/>
        <rFont val="Consolas"/>
        <family val="3"/>
      </rPr>
      <t>IS</t>
    </r>
    <r>
      <rPr>
        <sz val="10"/>
        <color theme="1"/>
        <rFont val="Consolas"/>
        <family val="3"/>
      </rPr>
      <t xml:space="preserve"> </t>
    </r>
    <r>
      <rPr>
        <sz val="10"/>
        <color rgb="FFFF2800"/>
        <rFont val="Consolas"/>
        <family val="3"/>
      </rPr>
      <t>'機器タイプ CDE'</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</si>
  <si>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cop_equipment_allocation</t>
    </r>
    <r>
      <rPr>
        <sz val="10"/>
        <color rgb="FF808080"/>
        <rFont val="Consolas"/>
        <family val="3"/>
      </rPr>
      <t>.</t>
    </r>
    <r>
      <rPr>
        <sz val="10"/>
        <color theme="1"/>
        <rFont val="Consolas"/>
        <family val="3"/>
      </rPr>
      <t xml:space="preserve">equipment_serial_nbr </t>
    </r>
    <r>
      <rPr>
        <sz val="10"/>
        <color rgb="FF0080FF"/>
        <rFont val="Consolas"/>
        <family val="3"/>
      </rPr>
      <t>IS</t>
    </r>
    <r>
      <rPr>
        <sz val="10"/>
        <color theme="1"/>
        <rFont val="Consolas"/>
        <family val="3"/>
      </rPr>
      <t xml:space="preserve"> </t>
    </r>
    <r>
      <rPr>
        <sz val="10"/>
        <color rgb="FFFF2800"/>
        <rFont val="Consolas"/>
        <family val="3"/>
      </rPr>
      <t>'機器シリアル番号'</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</si>
  <si>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cop_equipment_allocation</t>
    </r>
    <r>
      <rPr>
        <sz val="10"/>
        <color rgb="FF808080"/>
        <rFont val="Consolas"/>
        <family val="3"/>
      </rPr>
      <t>.</t>
    </r>
    <r>
      <rPr>
        <sz val="10"/>
        <color theme="1"/>
        <rFont val="Consolas"/>
        <family val="3"/>
      </rPr>
      <t xml:space="preserve">effective_dt_from </t>
    </r>
    <r>
      <rPr>
        <sz val="10"/>
        <color rgb="FF0080FF"/>
        <rFont val="Consolas"/>
        <family val="3"/>
      </rPr>
      <t>IS</t>
    </r>
    <r>
      <rPr>
        <sz val="10"/>
        <color theme="1"/>
        <rFont val="Consolas"/>
        <family val="3"/>
      </rPr>
      <t xml:space="preserve"> </t>
    </r>
    <r>
      <rPr>
        <sz val="10"/>
        <color rgb="FFFF2800"/>
        <rFont val="Consolas"/>
        <family val="3"/>
      </rPr>
      <t>'有効日付開始'</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</si>
  <si>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cop_equipment_allocation</t>
    </r>
    <r>
      <rPr>
        <sz val="10"/>
        <color rgb="FF808080"/>
        <rFont val="Consolas"/>
        <family val="3"/>
      </rPr>
      <t>.</t>
    </r>
    <r>
      <rPr>
        <sz val="10"/>
        <color theme="1"/>
        <rFont val="Consolas"/>
        <family val="3"/>
      </rPr>
      <t xml:space="preserve">effective_dt_to </t>
    </r>
    <r>
      <rPr>
        <sz val="10"/>
        <color rgb="FF0080FF"/>
        <rFont val="Consolas"/>
        <family val="3"/>
      </rPr>
      <t>IS</t>
    </r>
    <r>
      <rPr>
        <sz val="10"/>
        <color theme="1"/>
        <rFont val="Consolas"/>
        <family val="3"/>
      </rPr>
      <t xml:space="preserve"> </t>
    </r>
    <r>
      <rPr>
        <sz val="10"/>
        <color rgb="FFFF2800"/>
        <rFont val="Consolas"/>
        <family val="3"/>
      </rPr>
      <t>'有効日付終了'</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</si>
  <si>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cop_equipment_allocation</t>
    </r>
    <r>
      <rPr>
        <sz val="10"/>
        <color rgb="FF808080"/>
        <rFont val="Consolas"/>
        <family val="3"/>
      </rPr>
      <t>.</t>
    </r>
    <r>
      <rPr>
        <sz val="10"/>
        <color theme="1"/>
        <rFont val="Consolas"/>
        <family val="3"/>
      </rPr>
      <t xml:space="preserve">record_sequence_nbr </t>
    </r>
    <r>
      <rPr>
        <sz val="10"/>
        <color rgb="FF0080FF"/>
        <rFont val="Consolas"/>
        <family val="3"/>
      </rPr>
      <t>IS</t>
    </r>
    <r>
      <rPr>
        <sz val="10"/>
        <color theme="1"/>
        <rFont val="Consolas"/>
        <family val="3"/>
      </rPr>
      <t xml:space="preserve"> </t>
    </r>
    <r>
      <rPr>
        <sz val="10"/>
        <color rgb="FFFF2800"/>
        <rFont val="Consolas"/>
        <family val="3"/>
      </rPr>
      <t>'レコードシーケンス番号'</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</si>
  <si>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cop_equipment_allocation</t>
    </r>
    <r>
      <rPr>
        <sz val="10"/>
        <color rgb="FF808080"/>
        <rFont val="Consolas"/>
        <family val="3"/>
      </rPr>
      <t>.</t>
    </r>
    <r>
      <rPr>
        <sz val="10"/>
        <color theme="1"/>
        <rFont val="Consolas"/>
        <family val="3"/>
      </rPr>
      <t xml:space="preserve">transaction_nbr </t>
    </r>
    <r>
      <rPr>
        <sz val="10"/>
        <color rgb="FF0080FF"/>
        <rFont val="Consolas"/>
        <family val="3"/>
      </rPr>
      <t>IS</t>
    </r>
    <r>
      <rPr>
        <sz val="10"/>
        <color theme="1"/>
        <rFont val="Consolas"/>
        <family val="3"/>
      </rPr>
      <t xml:space="preserve"> </t>
    </r>
    <r>
      <rPr>
        <sz val="10"/>
        <color rgb="FFFF2800"/>
        <rFont val="Consolas"/>
        <family val="3"/>
      </rPr>
      <t>'トランザクション番号'</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</si>
  <si>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cop_equipment_allocation</t>
    </r>
    <r>
      <rPr>
        <sz val="10"/>
        <color rgb="FF808080"/>
        <rFont val="Consolas"/>
        <family val="3"/>
      </rPr>
      <t>.</t>
    </r>
    <r>
      <rPr>
        <sz val="10"/>
        <color theme="1"/>
        <rFont val="Consolas"/>
        <family val="3"/>
      </rPr>
      <t xml:space="preserve">created_dt </t>
    </r>
    <r>
      <rPr>
        <sz val="10"/>
        <color rgb="FF0080FF"/>
        <rFont val="Consolas"/>
        <family val="3"/>
      </rPr>
      <t>IS</t>
    </r>
    <r>
      <rPr>
        <sz val="10"/>
        <color theme="1"/>
        <rFont val="Consolas"/>
        <family val="3"/>
      </rPr>
      <t xml:space="preserve"> </t>
    </r>
    <r>
      <rPr>
        <sz val="10"/>
        <color rgb="FFFF2800"/>
        <rFont val="Consolas"/>
        <family val="3"/>
      </rPr>
      <t>'作成日付'</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</si>
  <si>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cop_equipment_allocation</t>
    </r>
    <r>
      <rPr>
        <sz val="10"/>
        <color rgb="FF808080"/>
        <rFont val="Consolas"/>
        <family val="3"/>
      </rPr>
      <t>.</t>
    </r>
    <r>
      <rPr>
        <sz val="10"/>
        <color theme="1"/>
        <rFont val="Consolas"/>
        <family val="3"/>
      </rPr>
      <t xml:space="preserve">created_tm </t>
    </r>
    <r>
      <rPr>
        <sz val="10"/>
        <color rgb="FF0080FF"/>
        <rFont val="Consolas"/>
        <family val="3"/>
      </rPr>
      <t>IS</t>
    </r>
    <r>
      <rPr>
        <sz val="10"/>
        <color theme="1"/>
        <rFont val="Consolas"/>
        <family val="3"/>
      </rPr>
      <t xml:space="preserve"> </t>
    </r>
    <r>
      <rPr>
        <sz val="10"/>
        <color rgb="FFFF2800"/>
        <rFont val="Consolas"/>
        <family val="3"/>
      </rPr>
      <t>'作成日時'</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</si>
  <si>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cop_equipment_allocation</t>
    </r>
    <r>
      <rPr>
        <sz val="10"/>
        <color rgb="FF808080"/>
        <rFont val="Consolas"/>
        <family val="3"/>
      </rPr>
      <t>.</t>
    </r>
    <r>
      <rPr>
        <sz val="10"/>
        <color theme="1"/>
        <rFont val="Consolas"/>
        <family val="3"/>
      </rPr>
      <t xml:space="preserve">last_updated_dt </t>
    </r>
    <r>
      <rPr>
        <sz val="10"/>
        <color rgb="FF0080FF"/>
        <rFont val="Consolas"/>
        <family val="3"/>
      </rPr>
      <t>IS</t>
    </r>
    <r>
      <rPr>
        <sz val="10"/>
        <color theme="1"/>
        <rFont val="Consolas"/>
        <family val="3"/>
      </rPr>
      <t xml:space="preserve"> </t>
    </r>
    <r>
      <rPr>
        <sz val="10"/>
        <color rgb="FFFF2800"/>
        <rFont val="Consolas"/>
        <family val="3"/>
      </rPr>
      <t>'最終更新日付'</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</si>
  <si>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cop_equipment_allocation</t>
    </r>
    <r>
      <rPr>
        <sz val="10"/>
        <color rgb="FF808080"/>
        <rFont val="Consolas"/>
        <family val="3"/>
      </rPr>
      <t>.</t>
    </r>
    <r>
      <rPr>
        <sz val="10"/>
        <color theme="1"/>
        <rFont val="Consolas"/>
        <family val="3"/>
      </rPr>
      <t xml:space="preserve">last_updated_tm </t>
    </r>
    <r>
      <rPr>
        <sz val="10"/>
        <color rgb="FF0080FF"/>
        <rFont val="Consolas"/>
        <family val="3"/>
      </rPr>
      <t>IS</t>
    </r>
    <r>
      <rPr>
        <sz val="10"/>
        <color theme="1"/>
        <rFont val="Consolas"/>
        <family val="3"/>
      </rPr>
      <t xml:space="preserve"> </t>
    </r>
    <r>
      <rPr>
        <sz val="10"/>
        <color rgb="FFFF2800"/>
        <rFont val="Consolas"/>
        <family val="3"/>
      </rPr>
      <t>'最終更新日時'</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</si>
  <si>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cop_equipment_allocation</t>
    </r>
    <r>
      <rPr>
        <sz val="10"/>
        <color rgb="FF808080"/>
        <rFont val="Consolas"/>
        <family val="3"/>
      </rPr>
      <t>.</t>
    </r>
    <r>
      <rPr>
        <sz val="10"/>
        <color theme="1"/>
        <rFont val="Consolas"/>
        <family val="3"/>
      </rPr>
      <t xml:space="preserve">delete_ind </t>
    </r>
    <r>
      <rPr>
        <sz val="10"/>
        <color rgb="FF0080FF"/>
        <rFont val="Consolas"/>
        <family val="3"/>
      </rPr>
      <t>IS</t>
    </r>
    <r>
      <rPr>
        <sz val="10"/>
        <color theme="1"/>
        <rFont val="Consolas"/>
        <family val="3"/>
      </rPr>
      <t xml:space="preserve"> </t>
    </r>
    <r>
      <rPr>
        <sz val="10"/>
        <color rgb="FFFF2800"/>
        <rFont val="Consolas"/>
        <family val="3"/>
      </rPr>
      <t>'インデックス削除'</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</si>
  <si>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cop_equipment_allocation</t>
    </r>
    <r>
      <rPr>
        <sz val="10"/>
        <color rgb="FF808080"/>
        <rFont val="Consolas"/>
        <family val="3"/>
      </rPr>
      <t>.</t>
    </r>
    <r>
      <rPr>
        <sz val="10"/>
        <color theme="1"/>
        <rFont val="Consolas"/>
        <family val="3"/>
      </rPr>
      <t xml:space="preserve">imsi_nbr </t>
    </r>
    <r>
      <rPr>
        <sz val="10"/>
        <color rgb="FF0080FF"/>
        <rFont val="Consolas"/>
        <family val="3"/>
      </rPr>
      <t>IS</t>
    </r>
    <r>
      <rPr>
        <sz val="10"/>
        <color theme="1"/>
        <rFont val="Consolas"/>
        <family val="3"/>
      </rPr>
      <t xml:space="preserve"> </t>
    </r>
    <r>
      <rPr>
        <sz val="10"/>
        <color rgb="FFFF2800"/>
        <rFont val="Consolas"/>
        <family val="3"/>
      </rPr>
      <t>'IMSI 番号'</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</si>
  <si>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cop_equipment_allocation</t>
    </r>
    <r>
      <rPr>
        <sz val="10"/>
        <color rgb="FF808080"/>
        <rFont val="Consolas"/>
        <family val="3"/>
      </rPr>
      <t>.</t>
    </r>
    <r>
      <rPr>
        <sz val="10"/>
        <color theme="1"/>
        <rFont val="Consolas"/>
        <family val="3"/>
      </rPr>
      <t xml:space="preserve">item_nbr </t>
    </r>
    <r>
      <rPr>
        <sz val="10"/>
        <color rgb="FF0080FF"/>
        <rFont val="Consolas"/>
        <family val="3"/>
      </rPr>
      <t>IS</t>
    </r>
    <r>
      <rPr>
        <sz val="10"/>
        <color theme="1"/>
        <rFont val="Consolas"/>
        <family val="3"/>
      </rPr>
      <t xml:space="preserve"> </t>
    </r>
    <r>
      <rPr>
        <sz val="10"/>
        <color rgb="FFFF2800"/>
        <rFont val="Consolas"/>
        <family val="3"/>
      </rPr>
      <t>'アイテム番号'</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</si>
  <si>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cop_equipment_allocation</t>
    </r>
    <r>
      <rPr>
        <sz val="10"/>
        <color rgb="FF808080"/>
        <rFont val="Consolas"/>
        <family val="3"/>
      </rPr>
      <t>.</t>
    </r>
    <r>
      <rPr>
        <sz val="10"/>
        <color theme="1"/>
        <rFont val="Consolas"/>
        <family val="3"/>
      </rPr>
      <t xml:space="preserve">deactivate_ind </t>
    </r>
    <r>
      <rPr>
        <sz val="10"/>
        <color rgb="FF0080FF"/>
        <rFont val="Consolas"/>
        <family val="3"/>
      </rPr>
      <t>IS</t>
    </r>
    <r>
      <rPr>
        <sz val="10"/>
        <color theme="1"/>
        <rFont val="Consolas"/>
        <family val="3"/>
      </rPr>
      <t xml:space="preserve"> </t>
    </r>
    <r>
      <rPr>
        <sz val="10"/>
        <color rgb="FFFF2800"/>
        <rFont val="Consolas"/>
        <family val="3"/>
      </rPr>
      <t>'インデックス無効化'</t>
    </r>
    <r>
      <rPr>
        <sz val="10"/>
        <color rgb="FF808080"/>
        <rFont val="Consolas"/>
        <family val="3"/>
      </rPr>
      <t>;</t>
    </r>
  </si>
  <si>
    <t>b_cop_プロダクト</t>
    <phoneticPr fontId="2"/>
  </si>
  <si>
    <t>B_プロダクト_[権限]</t>
  </si>
  <si>
    <t>V000517</t>
  </si>
  <si>
    <t>cop_product</t>
  </si>
  <si>
    <t>回線に提供されるプラン、オプションサービス、割引サービスや、請求Ｇに提供される割引サービスを管理。</t>
  </si>
  <si>
    <t>M_プロダクトINFOの「プロダクトID」と紐づけることでカタログ名を取得可能</t>
  </si>
  <si>
    <t>（参考資料）プロダクトカタログ、プロダクトデータモデル（配置場所：ユーザヘルプ＞データ項目一覧＞個別説明資料）</t>
  </si>
  <si>
    <t>※以下の場合にレコードが削除されます</t>
  </si>
  <si>
    <t>・該当のS＃が解約されて10年後</t>
  </si>
  <si>
    <t>・未来日の取り消し　→受付後、適用開始前にオプション解除パターン</t>
  </si>
  <si>
    <t>・受付と同じ日付でのオプション解除　→受付、即適用開始後、同日にオプション解除したパターン</t>
  </si>
  <si>
    <r>
      <t>DROP</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EXISTS</t>
    </r>
    <r>
      <rPr>
        <b/>
        <sz val="10"/>
        <color theme="1"/>
        <rFont val="Consolas"/>
        <family val="3"/>
      </rPr>
      <t xml:space="preserve"> cop_product </t>
    </r>
    <r>
      <rPr>
        <b/>
        <sz val="10"/>
        <color rgb="FF0080FF"/>
        <rFont val="Consolas"/>
        <family val="3"/>
      </rPr>
      <t>CASCADE</t>
    </r>
    <r>
      <rPr>
        <b/>
        <sz val="10"/>
        <color rgb="FF808080"/>
        <rFont val="Consolas"/>
        <family val="3"/>
      </rPr>
      <t>;</t>
    </r>
    <r>
      <rPr>
        <b/>
        <sz val="10"/>
        <color theme="1"/>
        <rFont val="Consolas"/>
        <family val="3"/>
      </rPr>
      <t xml:space="preserve"> </t>
    </r>
  </si>
  <si>
    <r>
      <t>CREATE</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NOT</t>
    </r>
    <r>
      <rPr>
        <b/>
        <sz val="10"/>
        <color theme="1"/>
        <rFont val="Consolas"/>
        <family val="3"/>
      </rPr>
      <t xml:space="preserve"> </t>
    </r>
    <r>
      <rPr>
        <b/>
        <sz val="10"/>
        <color rgb="FF0080FF"/>
        <rFont val="Consolas"/>
        <family val="3"/>
      </rPr>
      <t>EXISTS</t>
    </r>
    <r>
      <rPr>
        <b/>
        <sz val="10"/>
        <color theme="1"/>
        <rFont val="Consolas"/>
        <family val="3"/>
      </rPr>
      <t xml:space="preserve"> cop_product </t>
    </r>
    <r>
      <rPr>
        <b/>
        <sz val="10"/>
        <color rgb="FF808080"/>
        <rFont val="Consolas"/>
        <family val="3"/>
      </rPr>
      <t>(</t>
    </r>
    <r>
      <rPr>
        <b/>
        <sz val="10"/>
        <color theme="1"/>
        <rFont val="Consolas"/>
        <family val="3"/>
      </rPr>
      <t xml:space="preserve"> </t>
    </r>
  </si>
  <si>
    <t>レコード通番（B_プロダクト属性とのキー）</t>
  </si>
  <si>
    <t>ifdb proc タイプ</t>
  </si>
  <si>
    <t>key_type_cde</t>
  </si>
  <si>
    <t>キータイプ cde</t>
  </si>
  <si>
    <t>キータイプコード</t>
  </si>
  <si>
    <t>OMコードリファレンス#0021</t>
  </si>
  <si>
    <r>
      <t xml:space="preserve">key_type_cde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</si>
  <si>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key_id</t>
  </si>
  <si>
    <t>キー ID</t>
  </si>
  <si>
    <t>キーID</t>
  </si>
  <si>
    <r>
      <t xml:space="preserve">key_id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</si>
  <si>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※KEY_TYPE_CDEの値により、格納されている値の意味が変化</t>
  </si>
  <si>
    <r>
      <t xml:space="preserve">product_category_cde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</si>
  <si>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product_category_cde</t>
  </si>
  <si>
    <t>製品カテゴリ cde</t>
  </si>
  <si>
    <t>プロダクトカテゴリーコード</t>
  </si>
  <si>
    <t>★項目説明修正（2019/07/05）</t>
  </si>
  <si>
    <r>
      <t xml:space="preserve">product_id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</si>
  <si>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プロダクトカタログのプロダクト分類</t>
  </si>
  <si>
    <t>product_id</t>
  </si>
  <si>
    <t>製品 ID</t>
  </si>
  <si>
    <t>プロダクトID</t>
  </si>
  <si>
    <t>OMコードリファレンス#0043</t>
  </si>
  <si>
    <t>M_プロダクトINFOにて説明を確認可能</t>
  </si>
  <si>
    <t>有効データ送信元</t>
  </si>
  <si>
    <r>
      <t xml:space="preserve">created_by_user_id </t>
    </r>
    <r>
      <rPr>
        <b/>
        <sz val="10"/>
        <color rgb="FF0080FF"/>
        <rFont val="Consolas"/>
        <family val="3"/>
      </rPr>
      <t>VARCHAR</t>
    </r>
    <r>
      <rPr>
        <b/>
        <sz val="10"/>
        <color rgb="FF808080"/>
        <rFont val="Consolas"/>
        <family val="3"/>
      </rPr>
      <t>(</t>
    </r>
    <r>
      <rPr>
        <b/>
        <sz val="10"/>
        <color rgb="FFFF2800"/>
        <rFont val="Consolas"/>
        <family val="3"/>
      </rPr>
      <t>200</t>
    </r>
    <r>
      <rPr>
        <b/>
        <sz val="10"/>
        <color rgb="FF808080"/>
        <rFont val="Consolas"/>
        <family val="3"/>
      </rPr>
      <t>),</t>
    </r>
  </si>
  <si>
    <t>有効データ送信先</t>
  </si>
  <si>
    <t>created_by_user_id</t>
  </si>
  <si>
    <t>作成者ユーザー ID</t>
  </si>
  <si>
    <t>作成ユーザID</t>
  </si>
  <si>
    <t>★項目追加（2025/07/09）</t>
  </si>
  <si>
    <t>作成データ</t>
  </si>
  <si>
    <t>作成日時 tm</t>
  </si>
  <si>
    <r>
      <t xml:space="preserve">last_updated_user_id </t>
    </r>
    <r>
      <rPr>
        <b/>
        <sz val="10"/>
        <color rgb="FF0080FF"/>
        <rFont val="Consolas"/>
        <family val="3"/>
      </rPr>
      <t>VARCHAR</t>
    </r>
    <r>
      <rPr>
        <b/>
        <sz val="10"/>
        <color rgb="FF808080"/>
        <rFont val="Consolas"/>
        <family val="3"/>
      </rPr>
      <t>(</t>
    </r>
    <r>
      <rPr>
        <b/>
        <sz val="10"/>
        <color rgb="FFFF2800"/>
        <rFont val="Consolas"/>
        <family val="3"/>
      </rPr>
      <t>200</t>
    </r>
    <r>
      <rPr>
        <b/>
        <sz val="10"/>
        <color rgb="FF808080"/>
        <rFont val="Consolas"/>
        <family val="3"/>
      </rPr>
      <t>),</t>
    </r>
  </si>
  <si>
    <t>最終更新日時 tm</t>
  </si>
  <si>
    <t>last_updated_user_id</t>
  </si>
  <si>
    <t>最終更新ユーザー ID</t>
  </si>
  <si>
    <t>最終更新ユーザID</t>
  </si>
  <si>
    <r>
      <t xml:space="preserve">agent_id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</si>
  <si>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r>
      <t xml:space="preserve">application_dt </t>
    </r>
    <r>
      <rPr>
        <b/>
        <sz val="10"/>
        <color rgb="FF0080FF"/>
        <rFont val="Consolas"/>
        <family val="3"/>
      </rPr>
      <t>VARCHAR</t>
    </r>
    <r>
      <rPr>
        <b/>
        <sz val="10"/>
        <color rgb="FF808080"/>
        <rFont val="Consolas"/>
        <family val="3"/>
      </rPr>
      <t>(</t>
    </r>
    <r>
      <rPr>
        <b/>
        <sz val="10"/>
        <color rgb="FFFF2800"/>
        <rFont val="Consolas"/>
        <family val="3"/>
      </rPr>
      <t>20</t>
    </r>
    <r>
      <rPr>
        <b/>
        <sz val="10"/>
        <color rgb="FF808080"/>
        <rFont val="Consolas"/>
        <family val="3"/>
      </rPr>
      <t>),</t>
    </r>
  </si>
  <si>
    <t>サービス組織 ID</t>
  </si>
  <si>
    <r>
      <t>CONSTRAINT</t>
    </r>
    <r>
      <rPr>
        <b/>
        <sz val="10"/>
        <color theme="1"/>
        <rFont val="Consolas"/>
        <family val="3"/>
      </rPr>
      <t xml:space="preserve"> pk_cop_product </t>
    </r>
    <r>
      <rPr>
        <b/>
        <sz val="10"/>
        <color rgb="FF0080FF"/>
        <rFont val="Consolas"/>
        <family val="3"/>
      </rPr>
      <t>PRIMARY</t>
    </r>
    <r>
      <rPr>
        <b/>
        <sz val="10"/>
        <color theme="1"/>
        <rFont val="Consolas"/>
        <family val="3"/>
      </rPr>
      <t xml:space="preserve"> </t>
    </r>
    <r>
      <rPr>
        <b/>
        <sz val="10"/>
        <color rgb="FF0080FF"/>
        <rFont val="Consolas"/>
        <family val="3"/>
      </rPr>
      <t>KEY</t>
    </r>
    <r>
      <rPr>
        <b/>
        <sz val="10"/>
        <color theme="1"/>
        <rFont val="Consolas"/>
        <family val="3"/>
      </rPr>
      <t xml:space="preserve"> </t>
    </r>
    <r>
      <rPr>
        <b/>
        <sz val="10"/>
        <color rgb="FF808080"/>
        <rFont val="Consolas"/>
        <family val="3"/>
      </rPr>
      <t>(</t>
    </r>
    <r>
      <rPr>
        <b/>
        <sz val="10"/>
        <color theme="1"/>
        <rFont val="Consolas"/>
        <family val="3"/>
      </rPr>
      <t>id</t>
    </r>
    <r>
      <rPr>
        <b/>
        <sz val="10"/>
        <color rgb="FF808080"/>
        <rFont val="Consolas"/>
        <family val="3"/>
      </rPr>
      <t>));</t>
    </r>
    <r>
      <rPr>
        <b/>
        <sz val="10"/>
        <color theme="1"/>
        <rFont val="Consolas"/>
        <family val="3"/>
      </rPr>
      <t xml:space="preserve"> </t>
    </r>
  </si>
  <si>
    <t>agent_id</t>
  </si>
  <si>
    <t>エージェント ID</t>
  </si>
  <si>
    <t>営業担当者ID</t>
  </si>
  <si>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TABLE</t>
    </r>
    <r>
      <rPr>
        <sz val="10"/>
        <color theme="1"/>
        <rFont val="Consolas"/>
        <family val="3"/>
      </rPr>
      <t xml:space="preserve"> cop_product </t>
    </r>
    <r>
      <rPr>
        <sz val="10"/>
        <color rgb="FF0080FF"/>
        <rFont val="Consolas"/>
        <family val="3"/>
      </rPr>
      <t>IS</t>
    </r>
    <r>
      <rPr>
        <sz val="10"/>
        <color theme="1"/>
        <rFont val="Consolas"/>
        <family val="3"/>
      </rPr>
      <t xml:space="preserve"> </t>
    </r>
    <r>
      <rPr>
        <sz val="10"/>
        <color rgb="FFFF2800"/>
        <rFont val="Consolas"/>
        <family val="3"/>
      </rPr>
      <t>'b_cop_プロダクト'</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</si>
  <si>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cop_product</t>
    </r>
    <r>
      <rPr>
        <sz val="10"/>
        <color rgb="FF808080"/>
        <rFont val="Consolas"/>
        <family val="3"/>
      </rPr>
      <t>.</t>
    </r>
    <r>
      <rPr>
        <sz val="10"/>
        <color theme="1"/>
        <rFont val="Consolas"/>
        <family val="3"/>
      </rPr>
      <t xml:space="preserve">id </t>
    </r>
    <r>
      <rPr>
        <sz val="10"/>
        <color rgb="FF0080FF"/>
        <rFont val="Consolas"/>
        <family val="3"/>
      </rPr>
      <t>IS</t>
    </r>
    <r>
      <rPr>
        <sz val="10"/>
        <color theme="1"/>
        <rFont val="Consolas"/>
        <family val="3"/>
      </rPr>
      <t xml:space="preserve"> </t>
    </r>
    <r>
      <rPr>
        <sz val="10"/>
        <color rgb="FFFF2800"/>
        <rFont val="Consolas"/>
        <family val="3"/>
      </rPr>
      <t>'id'</t>
    </r>
    <r>
      <rPr>
        <sz val="10"/>
        <color rgb="FF808080"/>
        <rFont val="Consolas"/>
        <family val="3"/>
      </rPr>
      <t>;</t>
    </r>
  </si>
  <si>
    <t>application_dt</t>
  </si>
  <si>
    <t>アプリケーション ID</t>
  </si>
  <si>
    <t>申込日(YYYYMMDD HH:MM:SS)</t>
  </si>
  <si>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cop_product</t>
    </r>
    <r>
      <rPr>
        <sz val="10"/>
        <color rgb="FF808080"/>
        <rFont val="Consolas"/>
        <family val="3"/>
      </rPr>
      <t>.</t>
    </r>
    <r>
      <rPr>
        <sz val="10"/>
        <color theme="1"/>
        <rFont val="Consolas"/>
        <family val="3"/>
      </rPr>
      <t xml:space="preserve">record_sequence_nbr </t>
    </r>
    <r>
      <rPr>
        <sz val="10"/>
        <color rgb="FF0080FF"/>
        <rFont val="Consolas"/>
        <family val="3"/>
      </rPr>
      <t>IS</t>
    </r>
    <r>
      <rPr>
        <sz val="10"/>
        <color theme="1"/>
        <rFont val="Consolas"/>
        <family val="3"/>
      </rPr>
      <t xml:space="preserve"> </t>
    </r>
    <r>
      <rPr>
        <sz val="10"/>
        <color rgb="FFFF2800"/>
        <rFont val="Consolas"/>
        <family val="3"/>
      </rPr>
      <t>'レコードシーケンス番号'</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</si>
  <si>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cop_product</t>
    </r>
    <r>
      <rPr>
        <sz val="10"/>
        <color rgb="FF808080"/>
        <rFont val="Consolas"/>
        <family val="3"/>
      </rPr>
      <t>.</t>
    </r>
    <r>
      <rPr>
        <sz val="10"/>
        <color theme="1"/>
        <rFont val="Consolas"/>
        <family val="3"/>
      </rPr>
      <t xml:space="preserve">ifdb_proc_type </t>
    </r>
    <r>
      <rPr>
        <sz val="10"/>
        <color rgb="FF0080FF"/>
        <rFont val="Consolas"/>
        <family val="3"/>
      </rPr>
      <t>IS</t>
    </r>
    <r>
      <rPr>
        <sz val="10"/>
        <color theme="1"/>
        <rFont val="Consolas"/>
        <family val="3"/>
      </rPr>
      <t xml:space="preserve"> </t>
    </r>
    <r>
      <rPr>
        <sz val="10"/>
        <color rgb="FFFF2800"/>
        <rFont val="Consolas"/>
        <family val="3"/>
      </rPr>
      <t>'ifdb proc タイプ'</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</si>
  <si>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cop_product</t>
    </r>
    <r>
      <rPr>
        <sz val="10"/>
        <color rgb="FF808080"/>
        <rFont val="Consolas"/>
        <family val="3"/>
      </rPr>
      <t>.</t>
    </r>
    <r>
      <rPr>
        <sz val="10"/>
        <color theme="1"/>
        <rFont val="Consolas"/>
        <family val="3"/>
      </rPr>
      <t xml:space="preserve">key_type_cde </t>
    </r>
    <r>
      <rPr>
        <sz val="10"/>
        <color rgb="FF0080FF"/>
        <rFont val="Consolas"/>
        <family val="3"/>
      </rPr>
      <t>IS</t>
    </r>
    <r>
      <rPr>
        <sz val="10"/>
        <color theme="1"/>
        <rFont val="Consolas"/>
        <family val="3"/>
      </rPr>
      <t xml:space="preserve"> </t>
    </r>
    <r>
      <rPr>
        <sz val="10"/>
        <color rgb="FFFF2800"/>
        <rFont val="Consolas"/>
        <family val="3"/>
      </rPr>
      <t>'キータイプ cde'</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</si>
  <si>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cop_product</t>
    </r>
    <r>
      <rPr>
        <sz val="10"/>
        <color rgb="FF808080"/>
        <rFont val="Consolas"/>
        <family val="3"/>
      </rPr>
      <t>.</t>
    </r>
    <r>
      <rPr>
        <sz val="10"/>
        <color theme="1"/>
        <rFont val="Consolas"/>
        <family val="3"/>
      </rPr>
      <t xml:space="preserve">key_id </t>
    </r>
    <r>
      <rPr>
        <sz val="10"/>
        <color rgb="FF0080FF"/>
        <rFont val="Consolas"/>
        <family val="3"/>
      </rPr>
      <t>IS</t>
    </r>
    <r>
      <rPr>
        <sz val="10"/>
        <color theme="1"/>
        <rFont val="Consolas"/>
        <family val="3"/>
      </rPr>
      <t xml:space="preserve"> </t>
    </r>
    <r>
      <rPr>
        <sz val="10"/>
        <color rgb="FFFF2800"/>
        <rFont val="Consolas"/>
        <family val="3"/>
      </rPr>
      <t>'キー ID'</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</si>
  <si>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cop_product</t>
    </r>
    <r>
      <rPr>
        <sz val="10"/>
        <color rgb="FF808080"/>
        <rFont val="Consolas"/>
        <family val="3"/>
      </rPr>
      <t>.</t>
    </r>
    <r>
      <rPr>
        <sz val="10"/>
        <color theme="1"/>
        <rFont val="Consolas"/>
        <family val="3"/>
      </rPr>
      <t xml:space="preserve">product_category_cde </t>
    </r>
    <r>
      <rPr>
        <sz val="10"/>
        <color rgb="FF0080FF"/>
        <rFont val="Consolas"/>
        <family val="3"/>
      </rPr>
      <t>IS</t>
    </r>
    <r>
      <rPr>
        <sz val="10"/>
        <color theme="1"/>
        <rFont val="Consolas"/>
        <family val="3"/>
      </rPr>
      <t xml:space="preserve"> </t>
    </r>
    <r>
      <rPr>
        <sz val="10"/>
        <color rgb="FFFF2800"/>
        <rFont val="Consolas"/>
        <family val="3"/>
      </rPr>
      <t>'製品カテゴリ cde'</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</si>
  <si>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cop_product</t>
    </r>
    <r>
      <rPr>
        <sz val="10"/>
        <color rgb="FF808080"/>
        <rFont val="Consolas"/>
        <family val="3"/>
      </rPr>
      <t>.</t>
    </r>
    <r>
      <rPr>
        <sz val="10"/>
        <color theme="1"/>
        <rFont val="Consolas"/>
        <family val="3"/>
      </rPr>
      <t xml:space="preserve">product_id </t>
    </r>
    <r>
      <rPr>
        <sz val="10"/>
        <color rgb="FF0080FF"/>
        <rFont val="Consolas"/>
        <family val="3"/>
      </rPr>
      <t>IS</t>
    </r>
    <r>
      <rPr>
        <sz val="10"/>
        <color theme="1"/>
        <rFont val="Consolas"/>
        <family val="3"/>
      </rPr>
      <t xml:space="preserve"> </t>
    </r>
    <r>
      <rPr>
        <sz val="10"/>
        <color rgb="FFFF2800"/>
        <rFont val="Consolas"/>
        <family val="3"/>
      </rPr>
      <t>'製品 ID'</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</si>
  <si>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cop_product</t>
    </r>
    <r>
      <rPr>
        <sz val="10"/>
        <color rgb="FF808080"/>
        <rFont val="Consolas"/>
        <family val="3"/>
      </rPr>
      <t>.</t>
    </r>
    <r>
      <rPr>
        <sz val="10"/>
        <color theme="1"/>
        <rFont val="Consolas"/>
        <family val="3"/>
      </rPr>
      <t xml:space="preserve">effective_dt_from </t>
    </r>
    <r>
      <rPr>
        <sz val="10"/>
        <color rgb="FF0080FF"/>
        <rFont val="Consolas"/>
        <family val="3"/>
      </rPr>
      <t>IS</t>
    </r>
    <r>
      <rPr>
        <sz val="10"/>
        <color theme="1"/>
        <rFont val="Consolas"/>
        <family val="3"/>
      </rPr>
      <t xml:space="preserve"> </t>
    </r>
    <r>
      <rPr>
        <sz val="10"/>
        <color rgb="FFFF2800"/>
        <rFont val="Consolas"/>
        <family val="3"/>
      </rPr>
      <t>'有効データ送信元'</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</si>
  <si>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cop_product</t>
    </r>
    <r>
      <rPr>
        <sz val="10"/>
        <color rgb="FF808080"/>
        <rFont val="Consolas"/>
        <family val="3"/>
      </rPr>
      <t>.</t>
    </r>
    <r>
      <rPr>
        <sz val="10"/>
        <color theme="1"/>
        <rFont val="Consolas"/>
        <family val="3"/>
      </rPr>
      <t xml:space="preserve">effective_dt_to </t>
    </r>
    <r>
      <rPr>
        <sz val="10"/>
        <color rgb="FF0080FF"/>
        <rFont val="Consolas"/>
        <family val="3"/>
      </rPr>
      <t>IS</t>
    </r>
    <r>
      <rPr>
        <sz val="10"/>
        <color theme="1"/>
        <rFont val="Consolas"/>
        <family val="3"/>
      </rPr>
      <t xml:space="preserve"> </t>
    </r>
    <r>
      <rPr>
        <sz val="10"/>
        <color rgb="FFFF2800"/>
        <rFont val="Consolas"/>
        <family val="3"/>
      </rPr>
      <t>'有効データ送信先'</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</si>
  <si>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cop_product</t>
    </r>
    <r>
      <rPr>
        <sz val="10"/>
        <color rgb="FF808080"/>
        <rFont val="Consolas"/>
        <family val="3"/>
      </rPr>
      <t>.</t>
    </r>
    <r>
      <rPr>
        <sz val="10"/>
        <color theme="1"/>
        <rFont val="Consolas"/>
        <family val="3"/>
      </rPr>
      <t xml:space="preserve">transaction_nbr </t>
    </r>
    <r>
      <rPr>
        <sz val="10"/>
        <color rgb="FF0080FF"/>
        <rFont val="Consolas"/>
        <family val="3"/>
      </rPr>
      <t>IS</t>
    </r>
    <r>
      <rPr>
        <sz val="10"/>
        <color theme="1"/>
        <rFont val="Consolas"/>
        <family val="3"/>
      </rPr>
      <t xml:space="preserve"> </t>
    </r>
    <r>
      <rPr>
        <sz val="10"/>
        <color rgb="FFFF2800"/>
        <rFont val="Consolas"/>
        <family val="3"/>
      </rPr>
      <t>'トランザクション番号'</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</si>
  <si>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cop_product</t>
    </r>
    <r>
      <rPr>
        <sz val="10"/>
        <color rgb="FF808080"/>
        <rFont val="Consolas"/>
        <family val="3"/>
      </rPr>
      <t>.</t>
    </r>
    <r>
      <rPr>
        <sz val="10"/>
        <color theme="1"/>
        <rFont val="Consolas"/>
        <family val="3"/>
      </rPr>
      <t xml:space="preserve">created_by_user_id </t>
    </r>
    <r>
      <rPr>
        <sz val="10"/>
        <color rgb="FF0080FF"/>
        <rFont val="Consolas"/>
        <family val="3"/>
      </rPr>
      <t>IS</t>
    </r>
    <r>
      <rPr>
        <sz val="10"/>
        <color theme="1"/>
        <rFont val="Consolas"/>
        <family val="3"/>
      </rPr>
      <t xml:space="preserve"> </t>
    </r>
    <r>
      <rPr>
        <sz val="10"/>
        <color rgb="FFFF2800"/>
        <rFont val="Consolas"/>
        <family val="3"/>
      </rPr>
      <t>'作成者ユーザー ID'</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</si>
  <si>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cop_product</t>
    </r>
    <r>
      <rPr>
        <sz val="10"/>
        <color rgb="FF808080"/>
        <rFont val="Consolas"/>
        <family val="3"/>
      </rPr>
      <t>.</t>
    </r>
    <r>
      <rPr>
        <sz val="10"/>
        <color theme="1"/>
        <rFont val="Consolas"/>
        <family val="3"/>
      </rPr>
      <t xml:space="preserve">created_dt </t>
    </r>
    <r>
      <rPr>
        <sz val="10"/>
        <color rgb="FF0080FF"/>
        <rFont val="Consolas"/>
        <family val="3"/>
      </rPr>
      <t>IS</t>
    </r>
    <r>
      <rPr>
        <sz val="10"/>
        <color theme="1"/>
        <rFont val="Consolas"/>
        <family val="3"/>
      </rPr>
      <t xml:space="preserve"> </t>
    </r>
    <r>
      <rPr>
        <sz val="10"/>
        <color rgb="FFFF2800"/>
        <rFont val="Consolas"/>
        <family val="3"/>
      </rPr>
      <t>'作成データ'</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</si>
  <si>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cop_product</t>
    </r>
    <r>
      <rPr>
        <sz val="10"/>
        <color rgb="FF808080"/>
        <rFont val="Consolas"/>
        <family val="3"/>
      </rPr>
      <t>.</t>
    </r>
    <r>
      <rPr>
        <sz val="10"/>
        <color theme="1"/>
        <rFont val="Consolas"/>
        <family val="3"/>
      </rPr>
      <t xml:space="preserve">created_tm </t>
    </r>
    <r>
      <rPr>
        <sz val="10"/>
        <color rgb="FF0080FF"/>
        <rFont val="Consolas"/>
        <family val="3"/>
      </rPr>
      <t>IS</t>
    </r>
    <r>
      <rPr>
        <sz val="10"/>
        <color theme="1"/>
        <rFont val="Consolas"/>
        <family val="3"/>
      </rPr>
      <t xml:space="preserve"> </t>
    </r>
    <r>
      <rPr>
        <sz val="10"/>
        <color rgb="FFFF2800"/>
        <rFont val="Consolas"/>
        <family val="3"/>
      </rPr>
      <t>'作成日時 tm'</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</si>
  <si>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cop_product</t>
    </r>
    <r>
      <rPr>
        <sz val="10"/>
        <color rgb="FF808080"/>
        <rFont val="Consolas"/>
        <family val="3"/>
      </rPr>
      <t>.</t>
    </r>
    <r>
      <rPr>
        <sz val="10"/>
        <color theme="1"/>
        <rFont val="Consolas"/>
        <family val="3"/>
      </rPr>
      <t xml:space="preserve">last_updated_dt </t>
    </r>
    <r>
      <rPr>
        <sz val="10"/>
        <color rgb="FF0080FF"/>
        <rFont val="Consolas"/>
        <family val="3"/>
      </rPr>
      <t>IS</t>
    </r>
    <r>
      <rPr>
        <sz val="10"/>
        <color theme="1"/>
        <rFont val="Consolas"/>
        <family val="3"/>
      </rPr>
      <t xml:space="preserve"> </t>
    </r>
    <r>
      <rPr>
        <sz val="10"/>
        <color rgb="FFFF2800"/>
        <rFont val="Consolas"/>
        <family val="3"/>
      </rPr>
      <t>'最終更新日時 tm'</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</si>
  <si>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cop_product</t>
    </r>
    <r>
      <rPr>
        <sz val="10"/>
        <color rgb="FF808080"/>
        <rFont val="Consolas"/>
        <family val="3"/>
      </rPr>
      <t>.</t>
    </r>
    <r>
      <rPr>
        <sz val="10"/>
        <color theme="1"/>
        <rFont val="Consolas"/>
        <family val="3"/>
      </rPr>
      <t xml:space="preserve">last_updated_tm </t>
    </r>
    <r>
      <rPr>
        <sz val="10"/>
        <color rgb="FF0080FF"/>
        <rFont val="Consolas"/>
        <family val="3"/>
      </rPr>
      <t>IS</t>
    </r>
    <r>
      <rPr>
        <sz val="10"/>
        <color theme="1"/>
        <rFont val="Consolas"/>
        <family val="3"/>
      </rPr>
      <t xml:space="preserve"> </t>
    </r>
    <r>
      <rPr>
        <sz val="10"/>
        <color rgb="FFFF2800"/>
        <rFont val="Consolas"/>
        <family val="3"/>
      </rPr>
      <t>'最終更新日時 tm'</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</si>
  <si>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cop_product</t>
    </r>
    <r>
      <rPr>
        <sz val="10"/>
        <color rgb="FF808080"/>
        <rFont val="Consolas"/>
        <family val="3"/>
      </rPr>
      <t>.</t>
    </r>
    <r>
      <rPr>
        <sz val="10"/>
        <color theme="1"/>
        <rFont val="Consolas"/>
        <family val="3"/>
      </rPr>
      <t xml:space="preserve">last_updated_user_id </t>
    </r>
    <r>
      <rPr>
        <sz val="10"/>
        <color rgb="FF0080FF"/>
        <rFont val="Consolas"/>
        <family val="3"/>
      </rPr>
      <t>IS</t>
    </r>
    <r>
      <rPr>
        <sz val="10"/>
        <color theme="1"/>
        <rFont val="Consolas"/>
        <family val="3"/>
      </rPr>
      <t xml:space="preserve"> </t>
    </r>
    <r>
      <rPr>
        <sz val="10"/>
        <color rgb="FFFF2800"/>
        <rFont val="Consolas"/>
        <family val="3"/>
      </rPr>
      <t>'最終更新ユーザー ID'</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</si>
  <si>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cop_product</t>
    </r>
    <r>
      <rPr>
        <sz val="10"/>
        <color rgb="FF808080"/>
        <rFont val="Consolas"/>
        <family val="3"/>
      </rPr>
      <t>.</t>
    </r>
    <r>
      <rPr>
        <sz val="10"/>
        <color theme="1"/>
        <rFont val="Consolas"/>
        <family val="3"/>
      </rPr>
      <t xml:space="preserve">delete_ind </t>
    </r>
    <r>
      <rPr>
        <sz val="10"/>
        <color rgb="FF0080FF"/>
        <rFont val="Consolas"/>
        <family val="3"/>
      </rPr>
      <t>IS</t>
    </r>
    <r>
      <rPr>
        <sz val="10"/>
        <color theme="1"/>
        <rFont val="Consolas"/>
        <family val="3"/>
      </rPr>
      <t xml:space="preserve"> </t>
    </r>
    <r>
      <rPr>
        <sz val="10"/>
        <color rgb="FFFF2800"/>
        <rFont val="Consolas"/>
        <family val="3"/>
      </rPr>
      <t>'削除インデックス'</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</si>
  <si>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cop_product</t>
    </r>
    <r>
      <rPr>
        <sz val="10"/>
        <color rgb="FF808080"/>
        <rFont val="Consolas"/>
        <family val="3"/>
      </rPr>
      <t>.</t>
    </r>
    <r>
      <rPr>
        <sz val="10"/>
        <color theme="1"/>
        <rFont val="Consolas"/>
        <family val="3"/>
      </rPr>
      <t xml:space="preserve">svc_org_id </t>
    </r>
    <r>
      <rPr>
        <sz val="10"/>
        <color rgb="FF0080FF"/>
        <rFont val="Consolas"/>
        <family val="3"/>
      </rPr>
      <t>IS</t>
    </r>
    <r>
      <rPr>
        <sz val="10"/>
        <color theme="1"/>
        <rFont val="Consolas"/>
        <family val="3"/>
      </rPr>
      <t xml:space="preserve"> </t>
    </r>
    <r>
      <rPr>
        <sz val="10"/>
        <color rgb="FFFF2800"/>
        <rFont val="Consolas"/>
        <family val="3"/>
      </rPr>
      <t>'サービス組織 ID'</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</si>
  <si>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cop_product</t>
    </r>
    <r>
      <rPr>
        <sz val="10"/>
        <color rgb="FF808080"/>
        <rFont val="Consolas"/>
        <family val="3"/>
      </rPr>
      <t>.</t>
    </r>
    <r>
      <rPr>
        <sz val="10"/>
        <color theme="1"/>
        <rFont val="Consolas"/>
        <family val="3"/>
      </rPr>
      <t xml:space="preserve">agent_id </t>
    </r>
    <r>
      <rPr>
        <sz val="10"/>
        <color rgb="FF0080FF"/>
        <rFont val="Consolas"/>
        <family val="3"/>
      </rPr>
      <t>IS</t>
    </r>
    <r>
      <rPr>
        <sz val="10"/>
        <color theme="1"/>
        <rFont val="Consolas"/>
        <family val="3"/>
      </rPr>
      <t xml:space="preserve"> </t>
    </r>
    <r>
      <rPr>
        <sz val="10"/>
        <color rgb="FFFF2800"/>
        <rFont val="Consolas"/>
        <family val="3"/>
      </rPr>
      <t>'エージェント ID'</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</si>
  <si>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cop_product</t>
    </r>
    <r>
      <rPr>
        <sz val="10"/>
        <color rgb="FF808080"/>
        <rFont val="Consolas"/>
        <family val="3"/>
      </rPr>
      <t>.</t>
    </r>
    <r>
      <rPr>
        <sz val="10"/>
        <color theme="1"/>
        <rFont val="Consolas"/>
        <family val="3"/>
      </rPr>
      <t xml:space="preserve">deactivate_ind </t>
    </r>
    <r>
      <rPr>
        <sz val="10"/>
        <color rgb="FF0080FF"/>
        <rFont val="Consolas"/>
        <family val="3"/>
      </rPr>
      <t>IS</t>
    </r>
    <r>
      <rPr>
        <sz val="10"/>
        <color theme="1"/>
        <rFont val="Consolas"/>
        <family val="3"/>
      </rPr>
      <t xml:space="preserve"> </t>
    </r>
    <r>
      <rPr>
        <sz val="10"/>
        <color rgb="FFFF2800"/>
        <rFont val="Consolas"/>
        <family val="3"/>
      </rPr>
      <t>'無効化インデックス'</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</si>
  <si>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cop_product</t>
    </r>
    <r>
      <rPr>
        <sz val="10"/>
        <color rgb="FF808080"/>
        <rFont val="Consolas"/>
        <family val="3"/>
      </rPr>
      <t>.</t>
    </r>
    <r>
      <rPr>
        <sz val="10"/>
        <color theme="1"/>
        <rFont val="Consolas"/>
        <family val="3"/>
      </rPr>
      <t xml:space="preserve">application_dt </t>
    </r>
    <r>
      <rPr>
        <sz val="10"/>
        <color rgb="FF0080FF"/>
        <rFont val="Consolas"/>
        <family val="3"/>
      </rPr>
      <t>IS</t>
    </r>
    <r>
      <rPr>
        <sz val="10"/>
        <color theme="1"/>
        <rFont val="Consolas"/>
        <family val="3"/>
      </rPr>
      <t xml:space="preserve"> </t>
    </r>
    <r>
      <rPr>
        <sz val="10"/>
        <color rgb="FFFF2800"/>
        <rFont val="Consolas"/>
        <family val="3"/>
      </rPr>
      <t>'アプリケーション ID'</t>
    </r>
    <r>
      <rPr>
        <sz val="10"/>
        <color rgb="FF808080"/>
        <rFont val="Consolas"/>
        <family val="3"/>
      </rPr>
      <t>;</t>
    </r>
  </si>
  <si>
    <t>m_取次店</t>
  </si>
  <si>
    <t>V001776</t>
  </si>
  <si>
    <t>user_l2</t>
  </si>
  <si>
    <t>mars_agency_store</t>
    <phoneticPr fontId="2"/>
  </si>
  <si>
    <t>データ概要： 全ての代理店（親代理店及び、子代理店）情報を保有。 店舗で扱う商材についてソフトバンクや一次代理店等への発注、ソフトバンクからの請求を行う業務から「受注先」「請求先」という説明を記載しております。 M_取次店 :M_取次店_ALLから最新フラグが「1」のデータのみ抽出（前日断面情報、有効開始日が当日を除く） 有効終了日が1年以内の情報</t>
  </si>
  <si>
    <r>
      <t>DROP</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EXISTS</t>
    </r>
    <r>
      <rPr>
        <b/>
        <sz val="10"/>
        <color theme="1"/>
        <rFont val="Consolas"/>
        <family val="3"/>
      </rPr>
      <t xml:space="preserve"> mars_agency_store </t>
    </r>
    <r>
      <rPr>
        <b/>
        <sz val="10"/>
        <color rgb="FF0080FF"/>
        <rFont val="Consolas"/>
        <family val="3"/>
      </rPr>
      <t>CASCADE</t>
    </r>
    <r>
      <rPr>
        <b/>
        <sz val="10"/>
        <color rgb="FF808080"/>
        <rFont val="Consolas"/>
        <family val="3"/>
      </rPr>
      <t>;</t>
    </r>
    <r>
      <rPr>
        <b/>
        <sz val="10"/>
        <color theme="1"/>
        <rFont val="Consolas"/>
        <family val="3"/>
      </rPr>
      <t xml:space="preserve"> </t>
    </r>
  </si>
  <si>
    <r>
      <t>CREATE</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NOT</t>
    </r>
    <r>
      <rPr>
        <b/>
        <sz val="10"/>
        <color theme="1"/>
        <rFont val="Consolas"/>
        <family val="3"/>
      </rPr>
      <t xml:space="preserve"> </t>
    </r>
    <r>
      <rPr>
        <b/>
        <sz val="10"/>
        <color rgb="FF0080FF"/>
        <rFont val="Consolas"/>
        <family val="3"/>
      </rPr>
      <t>EXISTS</t>
    </r>
    <r>
      <rPr>
        <b/>
        <sz val="10"/>
        <color theme="1"/>
        <rFont val="Consolas"/>
        <family val="3"/>
      </rPr>
      <t xml:space="preserve"> mars_agency_store </t>
    </r>
    <r>
      <rPr>
        <b/>
        <sz val="10"/>
        <color rgb="FF808080"/>
        <rFont val="Consolas"/>
        <family val="3"/>
      </rPr>
      <t>(</t>
    </r>
    <r>
      <rPr>
        <b/>
        <sz val="10"/>
        <color theme="1"/>
        <rFont val="Consolas"/>
        <family val="3"/>
      </rPr>
      <t xml:space="preserve"> </t>
    </r>
  </si>
  <si>
    <t>agent_code</t>
  </si>
  <si>
    <r>
      <t xml:space="preserve">agent_code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</si>
  <si>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valid_start_date</t>
  </si>
  <si>
    <r>
      <t xml:space="preserve">valid_start_date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</si>
  <si>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valid_end_date</t>
  </si>
  <si>
    <r>
      <t xml:space="preserve">valid_end_date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</si>
  <si>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共通店舗コード</t>
  </si>
  <si>
    <t>common_store_code</t>
  </si>
  <si>
    <r>
      <t xml:space="preserve">common_store_code </t>
    </r>
    <r>
      <rPr>
        <b/>
        <sz val="10"/>
        <color rgb="FF0080FF"/>
        <rFont val="Consolas"/>
        <family val="3"/>
      </rPr>
      <t>VARCHAR</t>
    </r>
    <r>
      <rPr>
        <b/>
        <sz val="10"/>
        <color rgb="FF808080"/>
        <rFont val="Consolas"/>
        <family val="3"/>
      </rPr>
      <t>(</t>
    </r>
    <r>
      <rPr>
        <b/>
        <sz val="10"/>
        <color rgb="FFFF2800"/>
        <rFont val="Consolas"/>
        <family val="3"/>
      </rPr>
      <t>20</t>
    </r>
    <r>
      <rPr>
        <b/>
        <sz val="10"/>
        <color rgb="FF808080"/>
        <rFont val="Consolas"/>
        <family val="3"/>
      </rPr>
      <t>),</t>
    </r>
  </si>
  <si>
    <t>chkdigit共通店舗cd</t>
  </si>
  <si>
    <t>chkdigit_common_store_cd</t>
  </si>
  <si>
    <r>
      <t xml:space="preserve">chkdigit_common_store_cd </t>
    </r>
    <r>
      <rPr>
        <b/>
        <sz val="10"/>
        <color rgb="FF0080FF"/>
        <rFont val="Consolas"/>
        <family val="3"/>
      </rPr>
      <t>VARCHAR</t>
    </r>
    <r>
      <rPr>
        <b/>
        <sz val="10"/>
        <color rgb="FF808080"/>
        <rFont val="Consolas"/>
        <family val="3"/>
      </rPr>
      <t>(</t>
    </r>
    <r>
      <rPr>
        <b/>
        <sz val="10"/>
        <color rgb="FFFF2800"/>
        <rFont val="Consolas"/>
        <family val="3"/>
      </rPr>
      <t>22</t>
    </r>
    <r>
      <rPr>
        <b/>
        <sz val="10"/>
        <color rgb="FF808080"/>
        <rFont val="Consolas"/>
        <family val="3"/>
      </rPr>
      <t>),</t>
    </r>
  </si>
  <si>
    <t>物流取次店コード</t>
  </si>
  <si>
    <t>logistics_agent_code</t>
  </si>
  <si>
    <r>
      <t xml:space="preserve">logistics_agent_code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</si>
  <si>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chkdigit取次店cd</t>
  </si>
  <si>
    <t>chkdigit_agent_cd</t>
  </si>
  <si>
    <r>
      <t xml:space="preserve">chkdigit_agent_cd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</si>
  <si>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フロント用コード</t>
  </si>
  <si>
    <t>front_desk_code</t>
  </si>
  <si>
    <r>
      <t xml:space="preserve">front_desk_code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</si>
  <si>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一次代理店コード</t>
  </si>
  <si>
    <t>primary_agent_code</t>
  </si>
  <si>
    <r>
      <t xml:space="preserve">primary_agent_code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</si>
  <si>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chkdigit一次代理店cd</t>
  </si>
  <si>
    <t>chkdigit_primary_agent_cd</t>
  </si>
  <si>
    <r>
      <t xml:space="preserve">chkdigit_primary_agent_cd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</si>
  <si>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集約一次代理店コード</t>
  </si>
  <si>
    <t>aggregated_primary_agent_code</t>
  </si>
  <si>
    <r>
      <t xml:space="preserve">aggregated_primary_agent_code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</si>
  <si>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chkdigit_集_一次代理店cd</t>
  </si>
  <si>
    <t>chkdigit_collected_primary_agent_cd</t>
  </si>
  <si>
    <r>
      <t xml:space="preserve">chkdigit_collected_primary_agent_cd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</si>
  <si>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集約取次店コード</t>
  </si>
  <si>
    <t>aggregated_agent_code</t>
  </si>
  <si>
    <r>
      <t xml:space="preserve">aggregated_agent_code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</si>
  <si>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chkdigit集約取次店cd</t>
  </si>
  <si>
    <t>chkdigit_aggregated_agent_cd</t>
  </si>
  <si>
    <r>
      <t xml:space="preserve">chkdigit_aggregated_agent_cd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</si>
  <si>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企業区分</t>
  </si>
  <si>
    <t>company_category</t>
  </si>
  <si>
    <r>
      <t xml:space="preserve">company_category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</si>
  <si>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企業区分正式名称</t>
  </si>
  <si>
    <t>company_category_official_name</t>
  </si>
  <si>
    <r>
      <t xml:space="preserve">company_category_official_name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</si>
  <si>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店舗種別コード</t>
  </si>
  <si>
    <t>store_type_code</t>
  </si>
  <si>
    <r>
      <t xml:space="preserve">store_type_code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</si>
  <si>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店舗登録設定ptn_cd</t>
  </si>
  <si>
    <t>store_registration_settings_ptn_cd</t>
  </si>
  <si>
    <r>
      <t xml:space="preserve">store_registration_settings_ptn_cd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</si>
  <si>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取次店正式名称</t>
  </si>
  <si>
    <t>aggregator_official_name</t>
  </si>
  <si>
    <r>
      <t xml:space="preserve">aggregator_official_name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</si>
  <si>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取次店略称</t>
  </si>
  <si>
    <t>aggregator_abbreviation</t>
  </si>
  <si>
    <r>
      <t xml:space="preserve">aggregator_abbreviation </t>
    </r>
    <r>
      <rPr>
        <b/>
        <sz val="10"/>
        <color rgb="FF0080FF"/>
        <rFont val="Consolas"/>
        <family val="3"/>
      </rPr>
      <t>VARCHAR</t>
    </r>
    <r>
      <rPr>
        <b/>
        <sz val="10"/>
        <color rgb="FF808080"/>
        <rFont val="Consolas"/>
        <family val="3"/>
      </rPr>
      <t>(</t>
    </r>
    <r>
      <rPr>
        <b/>
        <sz val="10"/>
        <color rgb="FFFF2800"/>
        <rFont val="Consolas"/>
        <family val="3"/>
      </rPr>
      <t>240</t>
    </r>
    <r>
      <rPr>
        <b/>
        <sz val="10"/>
        <color rgb="FF808080"/>
        <rFont val="Consolas"/>
        <family val="3"/>
      </rPr>
      <t>),</t>
    </r>
  </si>
  <si>
    <t>取次店カナ名称</t>
  </si>
  <si>
    <t>aggregator_name_katakana</t>
  </si>
  <si>
    <r>
      <t xml:space="preserve">aggregator_name_katakana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</si>
  <si>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取次店英語名称</t>
  </si>
  <si>
    <t>aggregator_store_name_in_english</t>
  </si>
  <si>
    <r>
      <t xml:space="preserve">aggregator_store_name_in_english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</si>
  <si>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登記簿登録法人名</t>
  </si>
  <si>
    <t>registered_corporate_name</t>
  </si>
  <si>
    <r>
      <t xml:space="preserve">registered_corporate_name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</si>
  <si>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地域コード</t>
  </si>
  <si>
    <t>area_code</t>
  </si>
  <si>
    <r>
      <t xml:space="preserve">area_code </t>
    </r>
    <r>
      <rPr>
        <b/>
        <sz val="10"/>
        <color rgb="FF0080FF"/>
        <rFont val="Consolas"/>
        <family val="3"/>
      </rPr>
      <t>VARCHAR</t>
    </r>
    <r>
      <rPr>
        <b/>
        <sz val="10"/>
        <color rgb="FF808080"/>
        <rFont val="Consolas"/>
        <family val="3"/>
      </rPr>
      <t>(</t>
    </r>
    <r>
      <rPr>
        <b/>
        <sz val="10"/>
        <color rgb="FFFF2800"/>
        <rFont val="Consolas"/>
        <family val="3"/>
      </rPr>
      <t>20</t>
    </r>
    <r>
      <rPr>
        <b/>
        <sz val="10"/>
        <color rgb="FF808080"/>
        <rFont val="Consolas"/>
        <family val="3"/>
      </rPr>
      <t>),</t>
    </r>
  </si>
  <si>
    <t>地域正式名称</t>
  </si>
  <si>
    <t>area_official_name</t>
  </si>
  <si>
    <r>
      <t xml:space="preserve">area_official_name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</si>
  <si>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地域英語コード</t>
  </si>
  <si>
    <t>area_english_code</t>
  </si>
  <si>
    <r>
      <t xml:space="preserve">area_english_code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</si>
  <si>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地域半角カナ名称</t>
  </si>
  <si>
    <t>area_half_width_kana_name</t>
  </si>
  <si>
    <r>
      <t xml:space="preserve">area_half_width_kana_name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</si>
  <si>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地域英語名称</t>
  </si>
  <si>
    <t>area_english_name</t>
  </si>
  <si>
    <r>
      <t xml:space="preserve">area_english_name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</si>
  <si>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取次店郵便番号</t>
  </si>
  <si>
    <t>agent_postal_code</t>
  </si>
  <si>
    <r>
      <t xml:space="preserve">agent_postal_code </t>
    </r>
    <r>
      <rPr>
        <b/>
        <sz val="10"/>
        <color rgb="FF0080FF"/>
        <rFont val="Consolas"/>
        <family val="3"/>
      </rPr>
      <t>VARCHAR</t>
    </r>
    <r>
      <rPr>
        <b/>
        <sz val="10"/>
        <color rgb="FF808080"/>
        <rFont val="Consolas"/>
        <family val="3"/>
      </rPr>
      <t>(</t>
    </r>
    <r>
      <rPr>
        <b/>
        <sz val="10"/>
        <color rgb="FFFF2800"/>
        <rFont val="Consolas"/>
        <family val="3"/>
      </rPr>
      <t>20</t>
    </r>
    <r>
      <rPr>
        <b/>
        <sz val="10"/>
        <color rgb="FF808080"/>
        <rFont val="Consolas"/>
        <family val="3"/>
      </rPr>
      <t>),</t>
    </r>
  </si>
  <si>
    <t>都道府県コード</t>
  </si>
  <si>
    <t>prefecture_code</t>
  </si>
  <si>
    <r>
      <t xml:space="preserve">prefecture_code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</si>
  <si>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都道府県カナ</t>
  </si>
  <si>
    <t>prefecture_kana</t>
  </si>
  <si>
    <r>
      <t xml:space="preserve">prefecture_kana </t>
    </r>
    <r>
      <rPr>
        <b/>
        <sz val="10"/>
        <color rgb="FF0080FF"/>
        <rFont val="Consolas"/>
        <family val="3"/>
      </rPr>
      <t>VARCHAR</t>
    </r>
    <r>
      <rPr>
        <b/>
        <sz val="10"/>
        <color rgb="FF808080"/>
        <rFont val="Consolas"/>
        <family val="3"/>
      </rPr>
      <t>(</t>
    </r>
    <r>
      <rPr>
        <b/>
        <sz val="10"/>
        <color rgb="FFFF2800"/>
        <rFont val="Consolas"/>
        <family val="3"/>
      </rPr>
      <t>96</t>
    </r>
    <r>
      <rPr>
        <b/>
        <sz val="10"/>
        <color rgb="FF808080"/>
        <rFont val="Consolas"/>
        <family val="3"/>
      </rPr>
      <t>),</t>
    </r>
  </si>
  <si>
    <t>都道府県漢字</t>
  </si>
  <si>
    <t>prefecture_kanji</t>
  </si>
  <si>
    <r>
      <t xml:space="preserve">prefecture_kanji </t>
    </r>
    <r>
      <rPr>
        <b/>
        <sz val="10"/>
        <color rgb="FF0080FF"/>
        <rFont val="Consolas"/>
        <family val="3"/>
      </rPr>
      <t>VARCHAR</t>
    </r>
    <r>
      <rPr>
        <b/>
        <sz val="10"/>
        <color rgb="FF808080"/>
        <rFont val="Consolas"/>
        <family val="3"/>
      </rPr>
      <t>(</t>
    </r>
    <r>
      <rPr>
        <b/>
        <sz val="10"/>
        <color rgb="FFFF2800"/>
        <rFont val="Consolas"/>
        <family val="3"/>
      </rPr>
      <t>96</t>
    </r>
    <r>
      <rPr>
        <b/>
        <sz val="10"/>
        <color rgb="FF808080"/>
        <rFont val="Consolas"/>
        <family val="3"/>
      </rPr>
      <t>),</t>
    </r>
  </si>
  <si>
    <t>震災フラグ</t>
  </si>
  <si>
    <t>earthquake_flag</t>
  </si>
  <si>
    <r>
      <t xml:space="preserve">earthquake_flag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</si>
  <si>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震災フラグ正式名称</t>
  </si>
  <si>
    <t>earthquake_flag_official_name</t>
  </si>
  <si>
    <r>
      <t xml:space="preserve">earthquake_flag_official_name </t>
    </r>
    <r>
      <rPr>
        <b/>
        <sz val="10"/>
        <color rgb="FF0080FF"/>
        <rFont val="Consolas"/>
        <family val="3"/>
      </rPr>
      <t>VARCHAR</t>
    </r>
    <r>
      <rPr>
        <b/>
        <sz val="10"/>
        <color rgb="FF808080"/>
        <rFont val="Consolas"/>
        <family val="3"/>
      </rPr>
      <t>(</t>
    </r>
    <r>
      <rPr>
        <b/>
        <sz val="10"/>
        <color rgb="FFFF2800"/>
        <rFont val="Consolas"/>
        <family val="3"/>
      </rPr>
      <t>720</t>
    </r>
    <r>
      <rPr>
        <b/>
        <sz val="10"/>
        <color rgb="FF808080"/>
        <rFont val="Consolas"/>
        <family val="3"/>
      </rPr>
      <t>),</t>
    </r>
  </si>
  <si>
    <t>市区町村コード</t>
  </si>
  <si>
    <t>city_code</t>
  </si>
  <si>
    <r>
      <t xml:space="preserve">city_code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</si>
  <si>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市区町村カナ</t>
  </si>
  <si>
    <t>city_kana</t>
  </si>
  <si>
    <r>
      <t xml:space="preserve">city_kana </t>
    </r>
    <r>
      <rPr>
        <b/>
        <sz val="10"/>
        <color rgb="FF0080FF"/>
        <rFont val="Consolas"/>
        <family val="3"/>
      </rPr>
      <t>VARCHAR</t>
    </r>
    <r>
      <rPr>
        <b/>
        <sz val="10"/>
        <color rgb="FF808080"/>
        <rFont val="Consolas"/>
        <family val="3"/>
      </rPr>
      <t>(</t>
    </r>
    <r>
      <rPr>
        <b/>
        <sz val="10"/>
        <color rgb="FFFF2800"/>
        <rFont val="Consolas"/>
        <family val="3"/>
      </rPr>
      <t>288</t>
    </r>
    <r>
      <rPr>
        <b/>
        <sz val="10"/>
        <color rgb="FF808080"/>
        <rFont val="Consolas"/>
        <family val="3"/>
      </rPr>
      <t>),</t>
    </r>
  </si>
  <si>
    <t>市区町村漢字</t>
  </si>
  <si>
    <t>city_kanji</t>
  </si>
  <si>
    <r>
      <t xml:space="preserve">city_kanji </t>
    </r>
    <r>
      <rPr>
        <b/>
        <sz val="10"/>
        <color rgb="FF0080FF"/>
        <rFont val="Consolas"/>
        <family val="3"/>
      </rPr>
      <t>VARCHAR</t>
    </r>
    <r>
      <rPr>
        <b/>
        <sz val="10"/>
        <color rgb="FF808080"/>
        <rFont val="Consolas"/>
        <family val="3"/>
      </rPr>
      <t>(</t>
    </r>
    <r>
      <rPr>
        <b/>
        <sz val="10"/>
        <color rgb="FFFF2800"/>
        <rFont val="Consolas"/>
        <family val="3"/>
      </rPr>
      <t>288</t>
    </r>
    <r>
      <rPr>
        <b/>
        <sz val="10"/>
        <color rgb="FF808080"/>
        <rFont val="Consolas"/>
        <family val="3"/>
      </rPr>
      <t>),</t>
    </r>
  </si>
  <si>
    <t>通称コード</t>
  </si>
  <si>
    <t>common_name_code</t>
  </si>
  <si>
    <r>
      <t xml:space="preserve">common_name_code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</si>
  <si>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通称カナ</t>
  </si>
  <si>
    <t>common_name_kana</t>
  </si>
  <si>
    <r>
      <t xml:space="preserve">common_name_kana </t>
    </r>
    <r>
      <rPr>
        <b/>
        <sz val="10"/>
        <color rgb="FF0080FF"/>
        <rFont val="Consolas"/>
        <family val="3"/>
      </rPr>
      <t>VARCHAR</t>
    </r>
    <r>
      <rPr>
        <b/>
        <sz val="10"/>
        <color rgb="FF808080"/>
        <rFont val="Consolas"/>
        <family val="3"/>
      </rPr>
      <t>(</t>
    </r>
    <r>
      <rPr>
        <b/>
        <sz val="10"/>
        <color rgb="FFFF2800"/>
        <rFont val="Consolas"/>
        <family val="3"/>
      </rPr>
      <t>432</t>
    </r>
    <r>
      <rPr>
        <b/>
        <sz val="10"/>
        <color rgb="FF808080"/>
        <rFont val="Consolas"/>
        <family val="3"/>
      </rPr>
      <t>),</t>
    </r>
  </si>
  <si>
    <t>通称漢字</t>
  </si>
  <si>
    <t>common_name_kanji</t>
  </si>
  <si>
    <r>
      <t xml:space="preserve">common_name_kanji </t>
    </r>
    <r>
      <rPr>
        <b/>
        <sz val="10"/>
        <color rgb="FF0080FF"/>
        <rFont val="Consolas"/>
        <family val="3"/>
      </rPr>
      <t>VARCHAR</t>
    </r>
    <r>
      <rPr>
        <b/>
        <sz val="10"/>
        <color rgb="FF808080"/>
        <rFont val="Consolas"/>
        <family val="3"/>
      </rPr>
      <t>(</t>
    </r>
    <r>
      <rPr>
        <b/>
        <sz val="10"/>
        <color rgb="FFFF2800"/>
        <rFont val="Consolas"/>
        <family val="3"/>
      </rPr>
      <t>432</t>
    </r>
    <r>
      <rPr>
        <b/>
        <sz val="10"/>
        <color rgb="FF808080"/>
        <rFont val="Consolas"/>
        <family val="3"/>
      </rPr>
      <t>),</t>
    </r>
  </si>
  <si>
    <t>丁目コード</t>
  </si>
  <si>
    <t>chome_code</t>
  </si>
  <si>
    <r>
      <t xml:space="preserve">chome_code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</si>
  <si>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丁目カナ</t>
  </si>
  <si>
    <t>chome_kana</t>
  </si>
  <si>
    <r>
      <t xml:space="preserve">chome_kana </t>
    </r>
    <r>
      <rPr>
        <b/>
        <sz val="10"/>
        <color rgb="FF0080FF"/>
        <rFont val="Consolas"/>
        <family val="3"/>
      </rPr>
      <t>VARCHAR</t>
    </r>
    <r>
      <rPr>
        <b/>
        <sz val="10"/>
        <color rgb="FF808080"/>
        <rFont val="Consolas"/>
        <family val="3"/>
      </rPr>
      <t>(</t>
    </r>
    <r>
      <rPr>
        <b/>
        <sz val="10"/>
        <color rgb="FFFF2800"/>
        <rFont val="Consolas"/>
        <family val="3"/>
      </rPr>
      <t>288</t>
    </r>
    <r>
      <rPr>
        <b/>
        <sz val="10"/>
        <color rgb="FF808080"/>
        <rFont val="Consolas"/>
        <family val="3"/>
      </rPr>
      <t>),</t>
    </r>
  </si>
  <si>
    <t>丁目漢字</t>
  </si>
  <si>
    <t>chome_kanji</t>
  </si>
  <si>
    <r>
      <t xml:space="preserve">chome_kanji </t>
    </r>
    <r>
      <rPr>
        <b/>
        <sz val="10"/>
        <color rgb="FF0080FF"/>
        <rFont val="Consolas"/>
        <family val="3"/>
      </rPr>
      <t>VARCHAR</t>
    </r>
    <r>
      <rPr>
        <b/>
        <sz val="10"/>
        <color rgb="FF808080"/>
        <rFont val="Consolas"/>
        <family val="3"/>
      </rPr>
      <t>(</t>
    </r>
    <r>
      <rPr>
        <b/>
        <sz val="10"/>
        <color rgb="FFFF2800"/>
        <rFont val="Consolas"/>
        <family val="3"/>
      </rPr>
      <t>288</t>
    </r>
    <r>
      <rPr>
        <b/>
        <sz val="10"/>
        <color rgb="FF808080"/>
        <rFont val="Consolas"/>
        <family val="3"/>
      </rPr>
      <t>),</t>
    </r>
  </si>
  <si>
    <t>付帯住所</t>
  </si>
  <si>
    <t>additional_address</t>
  </si>
  <si>
    <r>
      <t xml:space="preserve">additional_address </t>
    </r>
    <r>
      <rPr>
        <b/>
        <sz val="10"/>
        <color rgb="FF0080FF"/>
        <rFont val="Consolas"/>
        <family val="3"/>
      </rPr>
      <t>VARCHAR</t>
    </r>
    <r>
      <rPr>
        <b/>
        <sz val="10"/>
        <color rgb="FF808080"/>
        <rFont val="Consolas"/>
        <family val="3"/>
      </rPr>
      <t>(</t>
    </r>
    <r>
      <rPr>
        <b/>
        <sz val="10"/>
        <color rgb="FFFF2800"/>
        <rFont val="Consolas"/>
        <family val="3"/>
      </rPr>
      <t>720</t>
    </r>
    <r>
      <rPr>
        <b/>
        <sz val="10"/>
        <color rgb="FF808080"/>
        <rFont val="Consolas"/>
        <family val="3"/>
      </rPr>
      <t>),</t>
    </r>
  </si>
  <si>
    <t>取次店tel_no</t>
  </si>
  <si>
    <t>agent_tel_no</t>
  </si>
  <si>
    <r>
      <t xml:space="preserve">agent_tel_no </t>
    </r>
    <r>
      <rPr>
        <b/>
        <sz val="10"/>
        <color rgb="FF0080FF"/>
        <rFont val="Consolas"/>
        <family val="3"/>
      </rPr>
      <t>VARCHAR</t>
    </r>
    <r>
      <rPr>
        <b/>
        <sz val="10"/>
        <color rgb="FF808080"/>
        <rFont val="Consolas"/>
        <family val="3"/>
      </rPr>
      <t>(</t>
    </r>
    <r>
      <rPr>
        <b/>
        <sz val="10"/>
        <color rgb="FFFF2800"/>
        <rFont val="Consolas"/>
        <family val="3"/>
      </rPr>
      <t>30</t>
    </r>
    <r>
      <rPr>
        <b/>
        <sz val="10"/>
        <color rgb="FF808080"/>
        <rFont val="Consolas"/>
        <family val="3"/>
      </rPr>
      <t>),</t>
    </r>
  </si>
  <si>
    <t>取次店fax_no</t>
  </si>
  <si>
    <t>agent_fax_no</t>
  </si>
  <si>
    <r>
      <t xml:space="preserve">agent_fax_no </t>
    </r>
    <r>
      <rPr>
        <b/>
        <sz val="10"/>
        <color rgb="FF0080FF"/>
        <rFont val="Consolas"/>
        <family val="3"/>
      </rPr>
      <t>VARCHAR</t>
    </r>
    <r>
      <rPr>
        <b/>
        <sz val="10"/>
        <color rgb="FF808080"/>
        <rFont val="Consolas"/>
        <family val="3"/>
      </rPr>
      <t>(</t>
    </r>
    <r>
      <rPr>
        <b/>
        <sz val="10"/>
        <color rgb="FFFF2800"/>
        <rFont val="Consolas"/>
        <family val="3"/>
      </rPr>
      <t>30</t>
    </r>
    <r>
      <rPr>
        <b/>
        <sz val="10"/>
        <color rgb="FF808080"/>
        <rFont val="Consolas"/>
        <family val="3"/>
      </rPr>
      <t>),</t>
    </r>
  </si>
  <si>
    <t>登録業務用tel_no</t>
  </si>
  <si>
    <t>registration_business_tel_no</t>
  </si>
  <si>
    <r>
      <t xml:space="preserve">registration_business_tel_no </t>
    </r>
    <r>
      <rPr>
        <b/>
        <sz val="10"/>
        <color rgb="FF0080FF"/>
        <rFont val="Consolas"/>
        <family val="3"/>
      </rPr>
      <t>VARCHAR</t>
    </r>
    <r>
      <rPr>
        <b/>
        <sz val="10"/>
        <color rgb="FF808080"/>
        <rFont val="Consolas"/>
        <family val="3"/>
      </rPr>
      <t>(</t>
    </r>
    <r>
      <rPr>
        <b/>
        <sz val="10"/>
        <color rgb="FFFF2800"/>
        <rFont val="Consolas"/>
        <family val="3"/>
      </rPr>
      <t>32</t>
    </r>
    <r>
      <rPr>
        <b/>
        <sz val="10"/>
        <color rgb="FF808080"/>
        <rFont val="Consolas"/>
        <family val="3"/>
      </rPr>
      <t>),</t>
    </r>
  </si>
  <si>
    <t>登録業務用tel_no2</t>
  </si>
  <si>
    <t>registration_business_tel_no_2</t>
  </si>
  <si>
    <r>
      <t xml:space="preserve">registration_business_tel_no_2 </t>
    </r>
    <r>
      <rPr>
        <b/>
        <sz val="10"/>
        <color rgb="FF0080FF"/>
        <rFont val="Consolas"/>
        <family val="3"/>
      </rPr>
      <t>VARCHAR</t>
    </r>
    <r>
      <rPr>
        <b/>
        <sz val="10"/>
        <color rgb="FF808080"/>
        <rFont val="Consolas"/>
        <family val="3"/>
      </rPr>
      <t>(</t>
    </r>
    <r>
      <rPr>
        <b/>
        <sz val="10"/>
        <color rgb="FFFF2800"/>
        <rFont val="Consolas"/>
        <family val="3"/>
      </rPr>
      <t>32</t>
    </r>
    <r>
      <rPr>
        <b/>
        <sz val="10"/>
        <color rgb="FF808080"/>
        <rFont val="Consolas"/>
        <family val="3"/>
      </rPr>
      <t>),</t>
    </r>
  </si>
  <si>
    <t>登録業務用fax_no</t>
  </si>
  <si>
    <t>registration_business_fax_no</t>
  </si>
  <si>
    <r>
      <t xml:space="preserve">registration_business_fax_no </t>
    </r>
    <r>
      <rPr>
        <b/>
        <sz val="10"/>
        <color rgb="FF0080FF"/>
        <rFont val="Consolas"/>
        <family val="3"/>
      </rPr>
      <t>VARCHAR</t>
    </r>
    <r>
      <rPr>
        <b/>
        <sz val="10"/>
        <color rgb="FF808080"/>
        <rFont val="Consolas"/>
        <family val="3"/>
      </rPr>
      <t>(</t>
    </r>
    <r>
      <rPr>
        <b/>
        <sz val="10"/>
        <color rgb="FFFF2800"/>
        <rFont val="Consolas"/>
        <family val="3"/>
      </rPr>
      <t>32</t>
    </r>
    <r>
      <rPr>
        <b/>
        <sz val="10"/>
        <color rgb="FF808080"/>
        <rFont val="Consolas"/>
        <family val="3"/>
      </rPr>
      <t>),</t>
    </r>
  </si>
  <si>
    <t>代表者氏名</t>
  </si>
  <si>
    <t>representative_name</t>
  </si>
  <si>
    <r>
      <t xml:space="preserve">representative_name </t>
    </r>
    <r>
      <rPr>
        <b/>
        <sz val="10"/>
        <color rgb="FF0080FF"/>
        <rFont val="Consolas"/>
        <family val="3"/>
      </rPr>
      <t>VARCHAR</t>
    </r>
    <r>
      <rPr>
        <b/>
        <sz val="10"/>
        <color rgb="FF808080"/>
        <rFont val="Consolas"/>
        <family val="3"/>
      </rPr>
      <t>(</t>
    </r>
    <r>
      <rPr>
        <b/>
        <sz val="10"/>
        <color rgb="FFFF2800"/>
        <rFont val="Consolas"/>
        <family val="3"/>
      </rPr>
      <t>720</t>
    </r>
    <r>
      <rPr>
        <b/>
        <sz val="10"/>
        <color rgb="FF808080"/>
        <rFont val="Consolas"/>
        <family val="3"/>
      </rPr>
      <t>),</t>
    </r>
  </si>
  <si>
    <t>担当者部署名</t>
  </si>
  <si>
    <t>department_name_of_person_in_charge</t>
  </si>
  <si>
    <r>
      <t xml:space="preserve">department_name_of_person_in_charge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</si>
  <si>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担当者氏名</t>
  </si>
  <si>
    <t>name_of_person_in_charge</t>
  </si>
  <si>
    <r>
      <t xml:space="preserve">name_of_person_in_charge </t>
    </r>
    <r>
      <rPr>
        <b/>
        <sz val="10"/>
        <color rgb="FF0080FF"/>
        <rFont val="Consolas"/>
        <family val="3"/>
      </rPr>
      <t>VARCHAR</t>
    </r>
    <r>
      <rPr>
        <b/>
        <sz val="10"/>
        <color rgb="FF808080"/>
        <rFont val="Consolas"/>
        <family val="3"/>
      </rPr>
      <t>(</t>
    </r>
    <r>
      <rPr>
        <b/>
        <sz val="10"/>
        <color rgb="FFFF2800"/>
        <rFont val="Consolas"/>
        <family val="3"/>
      </rPr>
      <t>360</t>
    </r>
    <r>
      <rPr>
        <b/>
        <sz val="10"/>
        <color rgb="FF808080"/>
        <rFont val="Consolas"/>
        <family val="3"/>
      </rPr>
      <t>),</t>
    </r>
  </si>
  <si>
    <t>担当者役職</t>
  </si>
  <si>
    <t>position_of_person_in_charge</t>
  </si>
  <si>
    <r>
      <t xml:space="preserve">position_of_person_in_charge </t>
    </r>
    <r>
      <rPr>
        <b/>
        <sz val="10"/>
        <color rgb="FF0080FF"/>
        <rFont val="Consolas"/>
        <family val="3"/>
      </rPr>
      <t>VARCHAR</t>
    </r>
    <r>
      <rPr>
        <b/>
        <sz val="10"/>
        <color rgb="FF808080"/>
        <rFont val="Consolas"/>
        <family val="3"/>
      </rPr>
      <t>(</t>
    </r>
    <r>
      <rPr>
        <b/>
        <sz val="10"/>
        <color rgb="FFFF2800"/>
        <rFont val="Consolas"/>
        <family val="3"/>
      </rPr>
      <t>360</t>
    </r>
    <r>
      <rPr>
        <b/>
        <sz val="10"/>
        <color rgb="FF808080"/>
        <rFont val="Consolas"/>
        <family val="3"/>
      </rPr>
      <t>),</t>
    </r>
  </si>
  <si>
    <t>取次店小分類id</t>
  </si>
  <si>
    <t>agency_small_category_id</t>
  </si>
  <si>
    <r>
      <t xml:space="preserve">agency_small_category_id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</si>
  <si>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受注先小分類コード</t>
  </si>
  <si>
    <t>order_to_order_small_category_code</t>
  </si>
  <si>
    <r>
      <t xml:space="preserve">order_to_order_small_category_code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</si>
  <si>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受注先中分類id</t>
  </si>
  <si>
    <t>order_to_order_medium_category_id</t>
  </si>
  <si>
    <r>
      <t xml:space="preserve">order_to_order_medium_category_id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</si>
  <si>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受注先小分類正式名称</t>
  </si>
  <si>
    <t>order_to_order_small_category_full_name</t>
  </si>
  <si>
    <r>
      <t xml:space="preserve">order_to_order_small_category_full_name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</si>
  <si>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受注先小分類半角kn</t>
  </si>
  <si>
    <t>order_to_order_small_category_half_width_kn</t>
  </si>
  <si>
    <r>
      <t xml:space="preserve">order_to_order_small_category_half_width_kn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</si>
  <si>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受注先小分類英語名称</t>
  </si>
  <si>
    <t>order_to_order_small_category_english_name</t>
  </si>
  <si>
    <r>
      <t xml:space="preserve">order_to_order_small_category_english_name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</si>
  <si>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受注先中分類コード</t>
  </si>
  <si>
    <t>order_to_order_medium_category_code</t>
  </si>
  <si>
    <r>
      <t xml:space="preserve">order_to_order_medium_category_code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</si>
  <si>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受注先大分類id</t>
  </si>
  <si>
    <t>order_to_order_large_category_id</t>
  </si>
  <si>
    <r>
      <t xml:space="preserve">order_to_order_large_category_id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</si>
  <si>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受注先中分類正式名称</t>
  </si>
  <si>
    <t>order_to_order_medium_category_full_name</t>
  </si>
  <si>
    <r>
      <t xml:space="preserve">order_to_order_medium_category_full_name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</si>
  <si>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受注先中分類半角kn</t>
  </si>
  <si>
    <t>order_to_order_medium_category_half_width_kn</t>
  </si>
  <si>
    <r>
      <t xml:space="preserve">order_to_order_medium_category_half_width_kn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</si>
  <si>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受注先中分類英語名称</t>
  </si>
  <si>
    <t>order_to_order_medium_category_english_name</t>
  </si>
  <si>
    <r>
      <t xml:space="preserve">order_to_order_medium_category_english_name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</si>
  <si>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受注先大分類コード</t>
  </si>
  <si>
    <t>order_to_order_large_category_code</t>
  </si>
  <si>
    <r>
      <t xml:space="preserve">order_to_order_large_category_code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</si>
  <si>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受注先大分類正式名称</t>
  </si>
  <si>
    <t>order_to_order_large_category_full_name</t>
  </si>
  <si>
    <r>
      <t xml:space="preserve">order_to_order_large_category_full_name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</si>
  <si>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受注先大分類半角kn</t>
  </si>
  <si>
    <t>order_to_order_large_category_half_width_kn</t>
  </si>
  <si>
    <r>
      <t xml:space="preserve">order_to_order_large_category_half_width_kn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</si>
  <si>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受注先大分類英語名称</t>
  </si>
  <si>
    <t>order_to_order_large_category_english_name</t>
  </si>
  <si>
    <r>
      <t xml:space="preserve">order_to_order_large_category_english_name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</si>
  <si>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wms同梱伝票様式</t>
  </si>
  <si>
    <t>wms_packing_slip_format</t>
  </si>
  <si>
    <r>
      <t xml:space="preserve">wms_packing_slip_format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</si>
  <si>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wms同梱伝票様式nm</t>
  </si>
  <si>
    <t>wms_packing_slip_format_nm</t>
  </si>
  <si>
    <r>
      <t xml:space="preserve">wms_packing_slip_format_nm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</si>
  <si>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wms本伝伝票様式</t>
  </si>
  <si>
    <t>wms_main_slip_format</t>
  </si>
  <si>
    <r>
      <t xml:space="preserve">wms_main_slip_format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</si>
  <si>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wms本伝伝票様式nm</t>
  </si>
  <si>
    <t>wms_main_invoice_format_nm</t>
  </si>
  <si>
    <r>
      <t xml:space="preserve">wms_main_invoice_format_nm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</si>
  <si>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wms本伝金額印字flg</t>
  </si>
  <si>
    <t>wms_main_invoice_amount_printing_flg</t>
  </si>
  <si>
    <r>
      <t xml:space="preserve">wms_main_invoice_amount_printing_flg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</si>
  <si>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wms本伝金額印字flg_nm</t>
  </si>
  <si>
    <t>wms_main_invoice_amount_printing_flg_nm</t>
  </si>
  <si>
    <r>
      <t xml:space="preserve">wms_main_invoice_amount_printing_flg_nm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</si>
  <si>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wms本伝送付先flg</t>
  </si>
  <si>
    <t>wms_main_transmission_destination_flg</t>
  </si>
  <si>
    <r>
      <t xml:space="preserve">wms_main_transmission_destination_flg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</si>
  <si>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wms本伝送付先flg_nm</t>
  </si>
  <si>
    <t>wms_main_transmission_destination_flg_nm</t>
  </si>
  <si>
    <r>
      <t xml:space="preserve">wms_main_transmission_destination_flg_nm </t>
    </r>
    <r>
      <rPr>
        <b/>
        <sz val="10"/>
        <color rgb="FF0080FF"/>
        <rFont val="Consolas"/>
        <family val="3"/>
      </rPr>
      <t>VARCHAR</t>
    </r>
    <r>
      <rPr>
        <b/>
        <sz val="10"/>
        <color rgb="FF808080"/>
        <rFont val="Consolas"/>
        <family val="3"/>
      </rPr>
      <t>(</t>
    </r>
    <r>
      <rPr>
        <b/>
        <sz val="10"/>
        <color rgb="FFFF2800"/>
        <rFont val="Consolas"/>
        <family val="3"/>
      </rPr>
      <t>120</t>
    </r>
    <r>
      <rPr>
        <b/>
        <sz val="10"/>
        <color rgb="FF808080"/>
        <rFont val="Consolas"/>
        <family val="3"/>
      </rPr>
      <t>),</t>
    </r>
  </si>
  <si>
    <t>相手先sys用cd</t>
  </si>
  <si>
    <t>cd_for_recipient_sys</t>
  </si>
  <si>
    <r>
      <t xml:space="preserve">cd_for_recipient_sys </t>
    </r>
    <r>
      <rPr>
        <b/>
        <sz val="10"/>
        <color rgb="FF0080FF"/>
        <rFont val="Consolas"/>
        <family val="3"/>
      </rPr>
      <t>VARCHAR</t>
    </r>
    <r>
      <rPr>
        <b/>
        <sz val="10"/>
        <color rgb="FF808080"/>
        <rFont val="Consolas"/>
        <family val="3"/>
      </rPr>
      <t>(</t>
    </r>
    <r>
      <rPr>
        <b/>
        <sz val="10"/>
        <color rgb="FFFF2800"/>
        <rFont val="Consolas"/>
        <family val="3"/>
      </rPr>
      <t>20</t>
    </r>
    <r>
      <rPr>
        <b/>
        <sz val="10"/>
        <color rgb="FF808080"/>
        <rFont val="Consolas"/>
        <family val="3"/>
      </rPr>
      <t>),</t>
    </r>
  </si>
  <si>
    <t>相手先sys用自社cd</t>
  </si>
  <si>
    <t>company_cd_for_recipient_sys</t>
  </si>
  <si>
    <r>
      <t xml:space="preserve">company_cd_for_recipient_sys </t>
    </r>
    <r>
      <rPr>
        <b/>
        <sz val="10"/>
        <color rgb="FF0080FF"/>
        <rFont val="Consolas"/>
        <family val="3"/>
      </rPr>
      <t>VARCHAR</t>
    </r>
    <r>
      <rPr>
        <b/>
        <sz val="10"/>
        <color rgb="FF808080"/>
        <rFont val="Consolas"/>
        <family val="3"/>
      </rPr>
      <t>(</t>
    </r>
    <r>
      <rPr>
        <b/>
        <sz val="10"/>
        <color rgb="FFFF2800"/>
        <rFont val="Consolas"/>
        <family val="3"/>
      </rPr>
      <t>20</t>
    </r>
    <r>
      <rPr>
        <b/>
        <sz val="10"/>
        <color rgb="FF808080"/>
        <rFont val="Consolas"/>
        <family val="3"/>
      </rPr>
      <t>),</t>
    </r>
  </si>
  <si>
    <t>卸チャネル</t>
  </si>
  <si>
    <t>wholesale_channel</t>
  </si>
  <si>
    <r>
      <t xml:space="preserve">wholesale_channel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</si>
  <si>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法人チャネル</t>
  </si>
  <si>
    <t>corporate_channel</t>
  </si>
  <si>
    <r>
      <t xml:space="preserve">corporate_channel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</si>
  <si>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直営店判定flg</t>
  </si>
  <si>
    <t>direct_store_determination_flg</t>
  </si>
  <si>
    <r>
      <t xml:space="preserve">direct_store_determination_flg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</si>
  <si>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直営店判定flg_nm</t>
  </si>
  <si>
    <t>direct_store_determination_flg_nm</t>
  </si>
  <si>
    <r>
      <t xml:space="preserve">direct_store_determination_flg_nm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</si>
  <si>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店舗ユニークコード</t>
  </si>
  <si>
    <t>store_unique_code</t>
  </si>
  <si>
    <r>
      <t xml:space="preserve">store_unique_code </t>
    </r>
    <r>
      <rPr>
        <b/>
        <sz val="10"/>
        <color rgb="FF0080FF"/>
        <rFont val="Consolas"/>
        <family val="3"/>
      </rPr>
      <t>VARCHAR</t>
    </r>
    <r>
      <rPr>
        <b/>
        <sz val="10"/>
        <color rgb="FF808080"/>
        <rFont val="Consolas"/>
        <family val="3"/>
      </rPr>
      <t>(</t>
    </r>
    <r>
      <rPr>
        <b/>
        <sz val="10"/>
        <color rgb="FFFF2800"/>
        <rFont val="Consolas"/>
        <family val="3"/>
      </rPr>
      <t>14</t>
    </r>
    <r>
      <rPr>
        <b/>
        <sz val="10"/>
        <color rgb="FF808080"/>
        <rFont val="Consolas"/>
        <family val="3"/>
      </rPr>
      <t>),</t>
    </r>
  </si>
  <si>
    <t>運営店法人コード</t>
  </si>
  <si>
    <t>operating_store_corporate_code</t>
  </si>
  <si>
    <r>
      <t xml:space="preserve">operating_store_corporate_code </t>
    </r>
    <r>
      <rPr>
        <b/>
        <sz val="10"/>
        <color rgb="FF0080FF"/>
        <rFont val="Consolas"/>
        <family val="3"/>
      </rPr>
      <t>VARCHAR</t>
    </r>
    <r>
      <rPr>
        <b/>
        <sz val="10"/>
        <color rgb="FF808080"/>
        <rFont val="Consolas"/>
        <family val="3"/>
      </rPr>
      <t>(</t>
    </r>
    <r>
      <rPr>
        <b/>
        <sz val="10"/>
        <color rgb="FFFF2800"/>
        <rFont val="Consolas"/>
        <family val="3"/>
      </rPr>
      <t>14</t>
    </r>
    <r>
      <rPr>
        <b/>
        <sz val="10"/>
        <color rgb="FF808080"/>
        <rFont val="Consolas"/>
        <family val="3"/>
      </rPr>
      <t>),</t>
    </r>
  </si>
  <si>
    <t>業務開始日</t>
  </si>
  <si>
    <t>business_start_date</t>
  </si>
  <si>
    <r>
      <t xml:space="preserve">business_start_date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</si>
  <si>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業務終了日</t>
  </si>
  <si>
    <t>business_end_date</t>
  </si>
  <si>
    <r>
      <t xml:space="preserve">business_end_date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</si>
  <si>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登録業務部門コード</t>
  </si>
  <si>
    <t>registered_business_department_code</t>
  </si>
  <si>
    <r>
      <t xml:space="preserve">registered_business_department_code </t>
    </r>
    <r>
      <rPr>
        <b/>
        <sz val="10"/>
        <color rgb="FF0080FF"/>
        <rFont val="Consolas"/>
        <family val="3"/>
      </rPr>
      <t>VARCHAR</t>
    </r>
    <r>
      <rPr>
        <b/>
        <sz val="10"/>
        <color rgb="FF808080"/>
        <rFont val="Consolas"/>
        <family val="3"/>
      </rPr>
      <t>(</t>
    </r>
    <r>
      <rPr>
        <b/>
        <sz val="10"/>
        <color rgb="FFFF2800"/>
        <rFont val="Consolas"/>
        <family val="3"/>
      </rPr>
      <t>14</t>
    </r>
    <r>
      <rPr>
        <b/>
        <sz val="10"/>
        <color rgb="FF808080"/>
        <rFont val="Consolas"/>
        <family val="3"/>
      </rPr>
      <t>),</t>
    </r>
  </si>
  <si>
    <t>組織id右1桁</t>
  </si>
  <si>
    <t>organization_id__right_1_digit_</t>
  </si>
  <si>
    <r>
      <t xml:space="preserve">organization_id__right_1_digit_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</si>
  <si>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組織名称</t>
  </si>
  <si>
    <t>organization_name</t>
  </si>
  <si>
    <r>
      <t xml:space="preserve">organization_name </t>
    </r>
    <r>
      <rPr>
        <b/>
        <sz val="10"/>
        <color rgb="FF0080FF"/>
        <rFont val="Consolas"/>
        <family val="3"/>
      </rPr>
      <t>VARCHAR</t>
    </r>
    <r>
      <rPr>
        <b/>
        <sz val="10"/>
        <color rgb="FF808080"/>
        <rFont val="Consolas"/>
        <family val="3"/>
      </rPr>
      <t>(</t>
    </r>
    <r>
      <rPr>
        <b/>
        <sz val="10"/>
        <color rgb="FFFF2800"/>
        <rFont val="Consolas"/>
        <family val="3"/>
      </rPr>
      <t>2400</t>
    </r>
    <r>
      <rPr>
        <b/>
        <sz val="10"/>
        <color rgb="FF808080"/>
        <rFont val="Consolas"/>
        <family val="3"/>
      </rPr>
      <t>),</t>
    </r>
  </si>
  <si>
    <t>階層</t>
  </si>
  <si>
    <t>hierarchy</t>
  </si>
  <si>
    <r>
      <t xml:space="preserve">hierarchy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</si>
  <si>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上位組織コード</t>
  </si>
  <si>
    <t>supervisor_organization_code</t>
  </si>
  <si>
    <r>
      <t xml:space="preserve">supervisor_organization_code </t>
    </r>
    <r>
      <rPr>
        <b/>
        <sz val="10"/>
        <color rgb="FF0080FF"/>
        <rFont val="Consolas"/>
        <family val="3"/>
      </rPr>
      <t>VARCHAR</t>
    </r>
    <r>
      <rPr>
        <b/>
        <sz val="10"/>
        <color rgb="FF808080"/>
        <rFont val="Consolas"/>
        <family val="3"/>
      </rPr>
      <t>(</t>
    </r>
    <r>
      <rPr>
        <b/>
        <sz val="10"/>
        <color rgb="FFFF2800"/>
        <rFont val="Consolas"/>
        <family val="3"/>
      </rPr>
      <t>14</t>
    </r>
    <r>
      <rPr>
        <b/>
        <sz val="10"/>
        <color rgb="FF808080"/>
        <rFont val="Consolas"/>
        <family val="3"/>
      </rPr>
      <t>),</t>
    </r>
  </si>
  <si>
    <t>上位組織コード右1桁</t>
  </si>
  <si>
    <t>supervisor_organization_code__right_1_digit_</t>
  </si>
  <si>
    <r>
      <t xml:space="preserve">supervisor_organization_code__right_1_digit_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</si>
  <si>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管理者従業員番号</t>
  </si>
  <si>
    <t>manager_employee_number</t>
  </si>
  <si>
    <r>
      <t xml:space="preserve">manager_employee_number </t>
    </r>
    <r>
      <rPr>
        <b/>
        <sz val="10"/>
        <color rgb="FF0080FF"/>
        <rFont val="Consolas"/>
        <family val="3"/>
      </rPr>
      <t>VARCHAR</t>
    </r>
    <r>
      <rPr>
        <b/>
        <sz val="10"/>
        <color rgb="FF808080"/>
        <rFont val="Consolas"/>
        <family val="3"/>
      </rPr>
      <t>(</t>
    </r>
    <r>
      <rPr>
        <b/>
        <sz val="10"/>
        <color rgb="FFFF2800"/>
        <rFont val="Consolas"/>
        <family val="3"/>
      </rPr>
      <t>14</t>
    </r>
    <r>
      <rPr>
        <b/>
        <sz val="10"/>
        <color rgb="FF808080"/>
        <rFont val="Consolas"/>
        <family val="3"/>
      </rPr>
      <t>),</t>
    </r>
  </si>
  <si>
    <t>決裁書番号</t>
  </si>
  <si>
    <t>approval_form_number</t>
  </si>
  <si>
    <r>
      <t xml:space="preserve">approval_form_number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</si>
  <si>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申込書原本回収通知</t>
  </si>
  <si>
    <t>application_form_original_collection_notification</t>
  </si>
  <si>
    <r>
      <t xml:space="preserve">application_form_original_collection_notification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</si>
  <si>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申込書原本回収通知nm</t>
  </si>
  <si>
    <t>application_form_original_collection_notification_nm</t>
  </si>
  <si>
    <r>
      <t xml:space="preserve">application_form_original_collection_notification_nm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</si>
  <si>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申込書原本未回収lst</t>
  </si>
  <si>
    <t>application_form_original_not_collected_lst</t>
  </si>
  <si>
    <r>
      <t xml:space="preserve">application_form_original_not_collected_lst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</si>
  <si>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申込書原本未回収lst_nm</t>
  </si>
  <si>
    <t>application_form_original_not_collected_lst_nm</t>
  </si>
  <si>
    <r>
      <t xml:space="preserve">application_form_original_not_collected_lst_nm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</si>
  <si>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申込書原本返却先</t>
  </si>
  <si>
    <t>application_form_original_return_address</t>
  </si>
  <si>
    <r>
      <t xml:space="preserve">application_form_original_return_address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</si>
  <si>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申込書原本返却先nm</t>
  </si>
  <si>
    <t>application_form_original_return_address_nm</t>
  </si>
  <si>
    <r>
      <t xml:space="preserve">application_form_original_return_address_nm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</si>
  <si>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店舗実績報告送付先</t>
  </si>
  <si>
    <t>store_performance_report_sending_address</t>
  </si>
  <si>
    <r>
      <t xml:space="preserve">store_performance_report_sending_address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</si>
  <si>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店舗実績報告送付先nm</t>
  </si>
  <si>
    <t>store_performance_report_sending_address_nm</t>
  </si>
  <si>
    <r>
      <t xml:space="preserve">store_performance_report_sending_address_nm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</si>
  <si>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ginie権限コード</t>
  </si>
  <si>
    <t>ginie_permission_code</t>
  </si>
  <si>
    <r>
      <t xml:space="preserve">ginie_permission_code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</si>
  <si>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ginie権限コードnm</t>
  </si>
  <si>
    <t>ginie_permission_code_nm</t>
  </si>
  <si>
    <r>
      <t xml:space="preserve">ginie_permission_code_nm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</si>
  <si>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操作権限</t>
  </si>
  <si>
    <t>operation_permission</t>
  </si>
  <si>
    <r>
      <t xml:space="preserve">operation_permission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</si>
  <si>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操作権限正式名称</t>
  </si>
  <si>
    <t>operation_permission_official_name</t>
  </si>
  <si>
    <r>
      <t xml:space="preserve">operation_permission_official_name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</si>
  <si>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手数料計算区分</t>
  </si>
  <si>
    <t>commission_calculation_category</t>
  </si>
  <si>
    <r>
      <t xml:space="preserve">commission_calculation_category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</si>
  <si>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手数料計算区分nm</t>
  </si>
  <si>
    <t>commission_calculation_category_nm</t>
  </si>
  <si>
    <r>
      <t xml:space="preserve">commission_calculation_category_nm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</si>
  <si>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手数料計算終了日</t>
  </si>
  <si>
    <t>commission_calculation_end_date</t>
  </si>
  <si>
    <r>
      <t xml:space="preserve">commission_calculation_end_date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</si>
  <si>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法人取扱店タイプ</t>
  </si>
  <si>
    <t>corporate_dealer_type</t>
  </si>
  <si>
    <r>
      <t xml:space="preserve">corporate_dealer_type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</si>
  <si>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法人取扱店タイプnm</t>
  </si>
  <si>
    <t>corporate_dealer_type_nm</t>
  </si>
  <si>
    <r>
      <t xml:space="preserve">corporate_dealer_type_nm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</si>
  <si>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業務手数料支払ptn</t>
  </si>
  <si>
    <t>service_fee_payment_ptn</t>
  </si>
  <si>
    <r>
      <t xml:space="preserve">service_fee_payment_ptn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</si>
  <si>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業務手数料支払ptn_nm</t>
  </si>
  <si>
    <t>service_fee_payment_ptn_nm</t>
  </si>
  <si>
    <r>
      <t xml:space="preserve">service_fee_payment_ptn_nm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</si>
  <si>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保守代理店区分</t>
  </si>
  <si>
    <t>maintenance_agency_category</t>
  </si>
  <si>
    <r>
      <t xml:space="preserve">maintenance_agency_category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</si>
  <si>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保守代理店区分nm</t>
  </si>
  <si>
    <t>maintenance_agency_category_nm</t>
  </si>
  <si>
    <r>
      <t xml:space="preserve">maintenance_agency_category_nm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</si>
  <si>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継続手数料対象外kbn</t>
  </si>
  <si>
    <t>not_eligible_for_recurring_fee_kbn</t>
  </si>
  <si>
    <r>
      <t xml:space="preserve">not_eligible_for_recurring_fee_kbn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</si>
  <si>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継続手数料対象外kbn_nm</t>
  </si>
  <si>
    <t>not_eligible_for_recurring_fee_kbn_nm</t>
  </si>
  <si>
    <r>
      <t xml:space="preserve">not_eligible_for_recurring_fee_kbn_nm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</si>
  <si>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ショップ業務委託dt</t>
  </si>
  <si>
    <t>shop_outsourcing_dt</t>
  </si>
  <si>
    <r>
      <t xml:space="preserve">shop_outsourcing_dt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</si>
  <si>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受注開始日</t>
  </si>
  <si>
    <t>order_start_date</t>
  </si>
  <si>
    <r>
      <t xml:space="preserve">order_start_date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</si>
  <si>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受注停止日</t>
  </si>
  <si>
    <t>order_stop_date</t>
  </si>
  <si>
    <r>
      <t xml:space="preserve">order_stop_date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</si>
  <si>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分割納入区分</t>
  </si>
  <si>
    <t>partial_delivery_category</t>
  </si>
  <si>
    <r>
      <t xml:space="preserve">partial_delivery_category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</si>
  <si>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分割納入区分正式名称</t>
  </si>
  <si>
    <t>partial_delivery_category__official_name_</t>
  </si>
  <si>
    <r>
      <t xml:space="preserve">partial_delivery_category__official_name_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</si>
  <si>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実績管理区分</t>
  </si>
  <si>
    <t>performance_management_category</t>
  </si>
  <si>
    <r>
      <t xml:space="preserve">performance_management_category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</si>
  <si>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実績管理区分正式名称</t>
  </si>
  <si>
    <t>performance_management_category__official_name_</t>
  </si>
  <si>
    <r>
      <t xml:space="preserve">performance_management_category__official_name_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</si>
  <si>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目標管理区分</t>
  </si>
  <si>
    <t>goal_management_category</t>
  </si>
  <si>
    <r>
      <t xml:space="preserve">goal_management_category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</si>
  <si>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目標管理区分正式名称</t>
  </si>
  <si>
    <t>goal_management_category__official_name_</t>
  </si>
  <si>
    <r>
      <t xml:space="preserve">goal_management_category__official_name_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</si>
  <si>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統計用ショップ区分</t>
  </si>
  <si>
    <t>statistical_shop_category</t>
  </si>
  <si>
    <r>
      <t xml:space="preserve">statistical_shop_category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</si>
  <si>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統計用ショップ区分nm</t>
  </si>
  <si>
    <t>statistical_shop_category_nm</t>
  </si>
  <si>
    <r>
      <t xml:space="preserve">statistical_shop_category_nm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</si>
  <si>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ルートコード</t>
  </si>
  <si>
    <t>route_code</t>
  </si>
  <si>
    <r>
      <t xml:space="preserve">route_code </t>
    </r>
    <r>
      <rPr>
        <b/>
        <sz val="10"/>
        <color rgb="FF0080FF"/>
        <rFont val="Consolas"/>
        <family val="3"/>
      </rPr>
      <t>VARCHAR</t>
    </r>
    <r>
      <rPr>
        <b/>
        <sz val="10"/>
        <color rgb="FF808080"/>
        <rFont val="Consolas"/>
        <family val="3"/>
      </rPr>
      <t>(</t>
    </r>
    <r>
      <rPr>
        <b/>
        <sz val="10"/>
        <color rgb="FFFF2800"/>
        <rFont val="Consolas"/>
        <family val="3"/>
      </rPr>
      <t>20</t>
    </r>
    <r>
      <rPr>
        <b/>
        <sz val="10"/>
        <color rgb="FF808080"/>
        <rFont val="Consolas"/>
        <family val="3"/>
      </rPr>
      <t>),</t>
    </r>
  </si>
  <si>
    <t>ルートコード正式名称</t>
  </si>
  <si>
    <t>route_code__official_name_</t>
  </si>
  <si>
    <r>
      <t xml:space="preserve">route_code__official_name_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</si>
  <si>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実績集計部門コード</t>
  </si>
  <si>
    <t>performance_computing_department_code</t>
  </si>
  <si>
    <r>
      <t xml:space="preserve">performance_computing_department_code </t>
    </r>
    <r>
      <rPr>
        <b/>
        <sz val="10"/>
        <color rgb="FF0080FF"/>
        <rFont val="Consolas"/>
        <family val="3"/>
      </rPr>
      <t>VARCHAR</t>
    </r>
    <r>
      <rPr>
        <b/>
        <sz val="10"/>
        <color rgb="FF808080"/>
        <rFont val="Consolas"/>
        <family val="3"/>
      </rPr>
      <t>(</t>
    </r>
    <r>
      <rPr>
        <b/>
        <sz val="10"/>
        <color rgb="FFFF2800"/>
        <rFont val="Consolas"/>
        <family val="3"/>
      </rPr>
      <t>14</t>
    </r>
    <r>
      <rPr>
        <b/>
        <sz val="10"/>
        <color rgb="FF808080"/>
        <rFont val="Consolas"/>
        <family val="3"/>
      </rPr>
      <t>),</t>
    </r>
  </si>
  <si>
    <t>実績集計部門コードnm</t>
  </si>
  <si>
    <t>performance_computing_department_code_nm</t>
  </si>
  <si>
    <r>
      <t xml:space="preserve">performance_computing_department_code_nm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</si>
  <si>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実績集計担当者コード</t>
  </si>
  <si>
    <t>performance_computing_staff_code</t>
  </si>
  <si>
    <r>
      <t xml:space="preserve">performance_computing_staff_code </t>
    </r>
    <r>
      <rPr>
        <b/>
        <sz val="10"/>
        <color rgb="FF0080FF"/>
        <rFont val="Consolas"/>
        <family val="3"/>
      </rPr>
      <t>VARCHAR</t>
    </r>
    <r>
      <rPr>
        <b/>
        <sz val="10"/>
        <color rgb="FF808080"/>
        <rFont val="Consolas"/>
        <family val="3"/>
      </rPr>
      <t>(</t>
    </r>
    <r>
      <rPr>
        <b/>
        <sz val="10"/>
        <color rgb="FFFF2800"/>
        <rFont val="Consolas"/>
        <family val="3"/>
      </rPr>
      <t>14</t>
    </r>
    <r>
      <rPr>
        <b/>
        <sz val="10"/>
        <color rgb="FF808080"/>
        <rFont val="Consolas"/>
        <family val="3"/>
      </rPr>
      <t>),</t>
    </r>
  </si>
  <si>
    <t>実績集計用channel_cd</t>
  </si>
  <si>
    <t>performance_computing_channel_cd</t>
  </si>
  <si>
    <r>
      <t xml:space="preserve">performance_computing_channel_cd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</si>
  <si>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実績集計用channel_cd_nm</t>
  </si>
  <si>
    <t>performance_computing_channel_l_cd_nm</t>
  </si>
  <si>
    <r>
      <t xml:space="preserve">performance_computing_channel_l_cd_nm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</si>
  <si>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チャネルコード</t>
  </si>
  <si>
    <t>channel_code</t>
  </si>
  <si>
    <r>
      <t xml:space="preserve">channel_code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</si>
  <si>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チャネルコードnm</t>
  </si>
  <si>
    <t>channel_code_nm</t>
  </si>
  <si>
    <r>
      <t xml:space="preserve">channel_code_nm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</si>
  <si>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同報fax_no</t>
  </si>
  <si>
    <t>broadcast_fax_no</t>
  </si>
  <si>
    <r>
      <t xml:space="preserve">broadcast_fax_no </t>
    </r>
    <r>
      <rPr>
        <b/>
        <sz val="10"/>
        <color rgb="FF0080FF"/>
        <rFont val="Consolas"/>
        <family val="3"/>
      </rPr>
      <t>VARCHAR</t>
    </r>
    <r>
      <rPr>
        <b/>
        <sz val="10"/>
        <color rgb="FF808080"/>
        <rFont val="Consolas"/>
        <family val="3"/>
      </rPr>
      <t>(</t>
    </r>
    <r>
      <rPr>
        <b/>
        <sz val="10"/>
        <color rgb="FFFF2800"/>
        <rFont val="Consolas"/>
        <family val="3"/>
      </rPr>
      <t>30</t>
    </r>
    <r>
      <rPr>
        <b/>
        <sz val="10"/>
        <color rgb="FF808080"/>
        <rFont val="Consolas"/>
        <family val="3"/>
      </rPr>
      <t>),</t>
    </r>
  </si>
  <si>
    <t>営業統計集計キー</t>
  </si>
  <si>
    <t>sales_statistics_summary_key</t>
  </si>
  <si>
    <r>
      <t xml:space="preserve">sales_statistics_summary_key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</si>
  <si>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ショップ名カナ</t>
  </si>
  <si>
    <t>shop_name__kana_</t>
  </si>
  <si>
    <r>
      <t xml:space="preserve">shop_name__kana_ </t>
    </r>
    <r>
      <rPr>
        <b/>
        <sz val="10"/>
        <color rgb="FF0080FF"/>
        <rFont val="Consolas"/>
        <family val="3"/>
      </rPr>
      <t>VARCHAR</t>
    </r>
    <r>
      <rPr>
        <b/>
        <sz val="10"/>
        <color rgb="FF808080"/>
        <rFont val="Consolas"/>
        <family val="3"/>
      </rPr>
      <t>(</t>
    </r>
    <r>
      <rPr>
        <b/>
        <sz val="10"/>
        <color rgb="FFFF2800"/>
        <rFont val="Consolas"/>
        <family val="3"/>
      </rPr>
      <t>720</t>
    </r>
    <r>
      <rPr>
        <b/>
        <sz val="10"/>
        <color rgb="FF808080"/>
        <rFont val="Consolas"/>
        <family val="3"/>
      </rPr>
      <t>),</t>
    </r>
  </si>
  <si>
    <t>割当枠部門コード</t>
  </si>
  <si>
    <t>allocation_department_code</t>
  </si>
  <si>
    <r>
      <t xml:space="preserve">allocation_department_code </t>
    </r>
    <r>
      <rPr>
        <b/>
        <sz val="10"/>
        <color rgb="FF0080FF"/>
        <rFont val="Consolas"/>
        <family val="3"/>
      </rPr>
      <t>VARCHAR</t>
    </r>
    <r>
      <rPr>
        <b/>
        <sz val="10"/>
        <color rgb="FF808080"/>
        <rFont val="Consolas"/>
        <family val="3"/>
      </rPr>
      <t>(</t>
    </r>
    <r>
      <rPr>
        <b/>
        <sz val="10"/>
        <color rgb="FFFF2800"/>
        <rFont val="Consolas"/>
        <family val="3"/>
      </rPr>
      <t>14</t>
    </r>
    <r>
      <rPr>
        <b/>
        <sz val="10"/>
        <color rgb="FF808080"/>
        <rFont val="Consolas"/>
        <family val="3"/>
      </rPr>
      <t>),</t>
    </r>
  </si>
  <si>
    <t>割当枠コード</t>
  </si>
  <si>
    <t>allocation_code</t>
  </si>
  <si>
    <r>
      <t xml:space="preserve">allocation_code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</si>
  <si>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割当枠正式名称</t>
  </si>
  <si>
    <t>allocation_official_name</t>
  </si>
  <si>
    <r>
      <t xml:space="preserve">allocation_official_name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</si>
  <si>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業務引継前取次店cd</t>
  </si>
  <si>
    <t>pre_business_transfer_agent_cd</t>
  </si>
  <si>
    <r>
      <t xml:space="preserve">pre_business_transfer_agent_cd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</si>
  <si>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chkdigit業務前取次店cd</t>
  </si>
  <si>
    <t>chkdigit_pre_business_transfer_agent_cd</t>
  </si>
  <si>
    <r>
      <t xml:space="preserve">chkdigit_pre_business_transfer_agent_cd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</si>
  <si>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arpu責任者区分</t>
  </si>
  <si>
    <t>arpu_manager_category</t>
  </si>
  <si>
    <r>
      <t xml:space="preserve">arpu_manager_category </t>
    </r>
    <r>
      <rPr>
        <b/>
        <sz val="10"/>
        <color rgb="FF0080FF"/>
        <rFont val="Consolas"/>
        <family val="3"/>
      </rPr>
      <t>VARCHAR</t>
    </r>
    <r>
      <rPr>
        <b/>
        <sz val="10"/>
        <color rgb="FF808080"/>
        <rFont val="Consolas"/>
        <family val="3"/>
      </rPr>
      <t>(</t>
    </r>
    <r>
      <rPr>
        <b/>
        <sz val="10"/>
        <color rgb="FFFF2800"/>
        <rFont val="Consolas"/>
        <family val="3"/>
      </rPr>
      <t>10</t>
    </r>
    <r>
      <rPr>
        <b/>
        <sz val="10"/>
        <color rgb="FF808080"/>
        <rFont val="Consolas"/>
        <family val="3"/>
      </rPr>
      <t>),</t>
    </r>
  </si>
  <si>
    <t>arpu管轄本部</t>
  </si>
  <si>
    <t>arpu_headquarters</t>
  </si>
  <si>
    <r>
      <t xml:space="preserve">arpu_headquarters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</si>
  <si>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沖縄区分</t>
  </si>
  <si>
    <t>okinawa_category</t>
  </si>
  <si>
    <r>
      <t xml:space="preserve">okinawa_category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</si>
  <si>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沖縄区分正式名称</t>
  </si>
  <si>
    <t>okinawa_category_official_name</t>
  </si>
  <si>
    <r>
      <t xml:space="preserve">okinawa_category_official_name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</si>
  <si>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step一次代理店コード</t>
  </si>
  <si>
    <t>step_primary_distributor_code</t>
  </si>
  <si>
    <r>
      <t xml:space="preserve">step_primary_distributor_code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</si>
  <si>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willcomコード</t>
  </si>
  <si>
    <t>willcom_code</t>
  </si>
  <si>
    <r>
      <t xml:space="preserve">willcom_code </t>
    </r>
    <r>
      <rPr>
        <b/>
        <sz val="10"/>
        <color rgb="FF0080FF"/>
        <rFont val="Consolas"/>
        <family val="3"/>
      </rPr>
      <t>VARCHAR</t>
    </r>
    <r>
      <rPr>
        <b/>
        <sz val="10"/>
        <color rgb="FF808080"/>
        <rFont val="Consolas"/>
        <family val="3"/>
      </rPr>
      <t>(</t>
    </r>
    <r>
      <rPr>
        <b/>
        <sz val="10"/>
        <color rgb="FFFF2800"/>
        <rFont val="Consolas"/>
        <family val="3"/>
      </rPr>
      <t>20</t>
    </r>
    <r>
      <rPr>
        <b/>
        <sz val="10"/>
        <color rgb="FF808080"/>
        <rFont val="Consolas"/>
        <family val="3"/>
      </rPr>
      <t>),</t>
    </r>
  </si>
  <si>
    <t>jenesys一次代理店cd</t>
  </si>
  <si>
    <t>jenesys_primary_distributor_cd</t>
  </si>
  <si>
    <r>
      <t xml:space="preserve">jenesys_primary_distributor_cd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</si>
  <si>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eaccessコード</t>
  </si>
  <si>
    <t>eaccess_code</t>
  </si>
  <si>
    <r>
      <t xml:space="preserve">eaccess_code </t>
    </r>
    <r>
      <rPr>
        <b/>
        <sz val="10"/>
        <color rgb="FF0080FF"/>
        <rFont val="Consolas"/>
        <family val="3"/>
      </rPr>
      <t>VARCHAR</t>
    </r>
    <r>
      <rPr>
        <b/>
        <sz val="10"/>
        <color rgb="FF808080"/>
        <rFont val="Consolas"/>
        <family val="3"/>
      </rPr>
      <t>(</t>
    </r>
    <r>
      <rPr>
        <b/>
        <sz val="10"/>
        <color rgb="FFFF2800"/>
        <rFont val="Consolas"/>
        <family val="3"/>
      </rPr>
      <t>20</t>
    </r>
    <r>
      <rPr>
        <b/>
        <sz val="10"/>
        <color rgb="FF808080"/>
        <rFont val="Consolas"/>
        <family val="3"/>
      </rPr>
      <t>),</t>
    </r>
  </si>
  <si>
    <t>請求先フラグ</t>
  </si>
  <si>
    <t>billing_flag</t>
  </si>
  <si>
    <r>
      <t xml:space="preserve">billing_flag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</si>
  <si>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運営店フラグ</t>
  </si>
  <si>
    <t>operating_store_flag</t>
  </si>
  <si>
    <r>
      <t xml:space="preserve">operating_store_flag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</si>
  <si>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運営店コード</t>
  </si>
  <si>
    <t>operating_store_code</t>
  </si>
  <si>
    <r>
      <t xml:space="preserve">operating_store_code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</si>
  <si>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chkdigit運営店cd</t>
  </si>
  <si>
    <t>chkdigit_operating_store_cd</t>
  </si>
  <si>
    <r>
      <t xml:space="preserve">chkdigit_operating_store_cd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</si>
  <si>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加盟店調査承認番号</t>
  </si>
  <si>
    <t>affiliated_store_survey_approval_number</t>
  </si>
  <si>
    <r>
      <t xml:space="preserve">affiliated_store_survey_approval_number </t>
    </r>
    <r>
      <rPr>
        <b/>
        <sz val="10"/>
        <color rgb="FF0080FF"/>
        <rFont val="Consolas"/>
        <family val="3"/>
      </rPr>
      <t>VARCHAR</t>
    </r>
    <r>
      <rPr>
        <b/>
        <sz val="10"/>
        <color rgb="FF808080"/>
        <rFont val="Consolas"/>
        <family val="3"/>
      </rPr>
      <t>(</t>
    </r>
    <r>
      <rPr>
        <b/>
        <sz val="10"/>
        <color rgb="FFFF2800"/>
        <rFont val="Consolas"/>
        <family val="3"/>
      </rPr>
      <t>20</t>
    </r>
    <r>
      <rPr>
        <b/>
        <sz val="10"/>
        <color rgb="FF808080"/>
        <rFont val="Consolas"/>
        <family val="3"/>
      </rPr>
      <t>),</t>
    </r>
  </si>
  <si>
    <t>予備日付</t>
  </si>
  <si>
    <t>backup_date</t>
  </si>
  <si>
    <r>
      <t xml:space="preserve">backup_date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</si>
  <si>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請求支払集計フラグ</t>
  </si>
  <si>
    <t>billing_payment_summary_flag</t>
  </si>
  <si>
    <r>
      <t xml:space="preserve">billing_payment_summary_flag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</si>
  <si>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請求支払集計コード</t>
  </si>
  <si>
    <t>billing_payment_summary_code</t>
  </si>
  <si>
    <r>
      <t xml:space="preserve">billing_payment_summary_code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</si>
  <si>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chkdigit請求支払集計cd</t>
  </si>
  <si>
    <t>chkdigit_billing_payment_summary_cd</t>
  </si>
  <si>
    <r>
      <t xml:space="preserve">chkdigit_billing_payment_summary_cd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</si>
  <si>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ショップ分類コード</t>
  </si>
  <si>
    <t>shop_classification_code</t>
  </si>
  <si>
    <r>
      <t xml:space="preserve">shop_classification_code </t>
    </r>
    <r>
      <rPr>
        <b/>
        <sz val="10"/>
        <color rgb="FF0080FF"/>
        <rFont val="Consolas"/>
        <family val="3"/>
      </rPr>
      <t>VARCHAR</t>
    </r>
    <r>
      <rPr>
        <b/>
        <sz val="10"/>
        <color rgb="FF808080"/>
        <rFont val="Consolas"/>
        <family val="3"/>
      </rPr>
      <t>(</t>
    </r>
    <r>
      <rPr>
        <b/>
        <sz val="10"/>
        <color rgb="FFFF2800"/>
        <rFont val="Consolas"/>
        <family val="3"/>
      </rPr>
      <t>8</t>
    </r>
    <r>
      <rPr>
        <b/>
        <sz val="10"/>
        <color rgb="FF808080"/>
        <rFont val="Consolas"/>
        <family val="3"/>
      </rPr>
      <t>),</t>
    </r>
  </si>
  <si>
    <t>物流流通チャネルcd</t>
  </si>
  <si>
    <t>logistics_channel_cd</t>
  </si>
  <si>
    <r>
      <t xml:space="preserve">logistics_channel_cd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</si>
  <si>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店舗主副フラグ</t>
  </si>
  <si>
    <t>sub_store_owner_flag</t>
  </si>
  <si>
    <r>
      <t xml:space="preserve">sub_store_owner_flag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</si>
  <si>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店舗主コード</t>
  </si>
  <si>
    <t>store_owner_code</t>
  </si>
  <si>
    <r>
      <t xml:space="preserve">store_owner_code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</si>
  <si>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chkdigit店舗主cd</t>
  </si>
  <si>
    <t>chkdigit_store_owner_cd</t>
  </si>
  <si>
    <r>
      <t xml:space="preserve">chkdigit_store_owner_cd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</si>
  <si>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グループ管理フラグ</t>
  </si>
  <si>
    <t>group_management_flag</t>
  </si>
  <si>
    <r>
      <t xml:space="preserve">group_management_flag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</si>
  <si>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グループ主コード</t>
  </si>
  <si>
    <t>group_master_code</t>
  </si>
  <si>
    <r>
      <t xml:space="preserve">group_master_code </t>
    </r>
    <r>
      <rPr>
        <b/>
        <sz val="10"/>
        <color rgb="FF0080FF"/>
        <rFont val="Consolas"/>
        <family val="3"/>
      </rPr>
      <t>VARCHAR</t>
    </r>
    <r>
      <rPr>
        <b/>
        <sz val="10"/>
        <color rgb="FF808080"/>
        <rFont val="Consolas"/>
        <family val="3"/>
      </rPr>
      <t>(</t>
    </r>
    <r>
      <rPr>
        <b/>
        <sz val="10"/>
        <color rgb="FFFF2800"/>
        <rFont val="Consolas"/>
        <family val="3"/>
      </rPr>
      <t>20</t>
    </r>
    <r>
      <rPr>
        <b/>
        <sz val="10"/>
        <color rgb="FF808080"/>
        <rFont val="Consolas"/>
        <family val="3"/>
      </rPr>
      <t>),</t>
    </r>
  </si>
  <si>
    <t>販促品出荷flg</t>
  </si>
  <si>
    <t>promotional_item_shipping_flag</t>
  </si>
  <si>
    <r>
      <t xml:space="preserve">promotional_item_shipping_flag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</si>
  <si>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販促品出荷flg_nm</t>
  </si>
  <si>
    <t>promotional_item_shipping_flag_nm</t>
  </si>
  <si>
    <r>
      <t xml:space="preserve">promotional_item_shipping_flag_nm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</si>
  <si>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旧地域コード</t>
  </si>
  <si>
    <t>old_region_code</t>
  </si>
  <si>
    <r>
      <t xml:space="preserve">old_region_code </t>
    </r>
    <r>
      <rPr>
        <b/>
        <sz val="10"/>
        <color rgb="FF0080FF"/>
        <rFont val="Consolas"/>
        <family val="3"/>
      </rPr>
      <t>VARCHAR</t>
    </r>
    <r>
      <rPr>
        <b/>
        <sz val="10"/>
        <color rgb="FF808080"/>
        <rFont val="Consolas"/>
        <family val="3"/>
      </rPr>
      <t>(</t>
    </r>
    <r>
      <rPr>
        <b/>
        <sz val="10"/>
        <color rgb="FFFF2800"/>
        <rFont val="Consolas"/>
        <family val="3"/>
      </rPr>
      <t>20</t>
    </r>
    <r>
      <rPr>
        <b/>
        <sz val="10"/>
        <color rgb="FF808080"/>
        <rFont val="Consolas"/>
        <family val="3"/>
      </rPr>
      <t>),</t>
    </r>
  </si>
  <si>
    <t>mvno区分</t>
  </si>
  <si>
    <t>mvno_category</t>
  </si>
  <si>
    <r>
      <t xml:space="preserve">mvno_category </t>
    </r>
    <r>
      <rPr>
        <b/>
        <sz val="10"/>
        <color rgb="FF0080FF"/>
        <rFont val="Consolas"/>
        <family val="3"/>
      </rPr>
      <t>VARCHAR</t>
    </r>
    <r>
      <rPr>
        <b/>
        <sz val="10"/>
        <color rgb="FF808080"/>
        <rFont val="Consolas"/>
        <family val="3"/>
      </rPr>
      <t>(</t>
    </r>
    <r>
      <rPr>
        <b/>
        <sz val="10"/>
        <color rgb="FFFF2800"/>
        <rFont val="Consolas"/>
        <family val="3"/>
      </rPr>
      <t>10</t>
    </r>
    <r>
      <rPr>
        <b/>
        <sz val="10"/>
        <color rgb="FF808080"/>
        <rFont val="Consolas"/>
        <family val="3"/>
      </rPr>
      <t>),</t>
    </r>
  </si>
  <si>
    <t>mvno区分正式名称</t>
  </si>
  <si>
    <t>mvno_category_official_name</t>
  </si>
  <si>
    <r>
      <t xml:space="preserve">mvno_category_official_name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</si>
  <si>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mvno属性</t>
  </si>
  <si>
    <t>mvno_attribute</t>
  </si>
  <si>
    <r>
      <t xml:space="preserve">mvno_attribute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</si>
  <si>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mvno属性正式名称</t>
  </si>
  <si>
    <t>mvno_attribute_official_name</t>
  </si>
  <si>
    <r>
      <t xml:space="preserve">mvno_attribute_official_name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</si>
  <si>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法人マイナンバー</t>
  </si>
  <si>
    <t>corporate_my_number</t>
  </si>
  <si>
    <r>
      <t xml:space="preserve">corporate_my_number </t>
    </r>
    <r>
      <rPr>
        <b/>
        <sz val="10"/>
        <color rgb="FF0080FF"/>
        <rFont val="Consolas"/>
        <family val="3"/>
      </rPr>
      <t>VARCHAR</t>
    </r>
    <r>
      <rPr>
        <b/>
        <sz val="10"/>
        <color rgb="FF808080"/>
        <rFont val="Consolas"/>
        <family val="3"/>
      </rPr>
      <t>(</t>
    </r>
    <r>
      <rPr>
        <b/>
        <sz val="10"/>
        <color rgb="FFFF2800"/>
        <rFont val="Consolas"/>
        <family val="3"/>
      </rPr>
      <t>26</t>
    </r>
    <r>
      <rPr>
        <b/>
        <sz val="10"/>
        <color rgb="FF808080"/>
        <rFont val="Consolas"/>
        <family val="3"/>
      </rPr>
      <t>),</t>
    </r>
  </si>
  <si>
    <t>法人名称</t>
  </si>
  <si>
    <t>corporate_name</t>
  </si>
  <si>
    <r>
      <t xml:space="preserve">corporate_name </t>
    </r>
    <r>
      <rPr>
        <b/>
        <sz val="10"/>
        <color rgb="FF0080FF"/>
        <rFont val="Consolas"/>
        <family val="3"/>
      </rPr>
      <t>VARCHAR</t>
    </r>
    <r>
      <rPr>
        <b/>
        <sz val="10"/>
        <color rgb="FF808080"/>
        <rFont val="Consolas"/>
        <family val="3"/>
      </rPr>
      <t>(</t>
    </r>
    <r>
      <rPr>
        <b/>
        <sz val="10"/>
        <color rgb="FFFF2800"/>
        <rFont val="Consolas"/>
        <family val="3"/>
      </rPr>
      <t>1800</t>
    </r>
    <r>
      <rPr>
        <b/>
        <sz val="10"/>
        <color rgb="FF808080"/>
        <rFont val="Consolas"/>
        <family val="3"/>
      </rPr>
      <t>),</t>
    </r>
  </si>
  <si>
    <t>管理責任者名</t>
  </si>
  <si>
    <t>manager_name</t>
  </si>
  <si>
    <r>
      <t xml:space="preserve">manager_name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</si>
  <si>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r>
      <t>CONSTRAINT</t>
    </r>
    <r>
      <rPr>
        <b/>
        <sz val="10"/>
        <color theme="1"/>
        <rFont val="Consolas"/>
        <family val="3"/>
      </rPr>
      <t xml:space="preserve"> pk_mars_agency_store </t>
    </r>
    <r>
      <rPr>
        <b/>
        <sz val="10"/>
        <color rgb="FF0080FF"/>
        <rFont val="Consolas"/>
        <family val="3"/>
      </rPr>
      <t>PRIMARY</t>
    </r>
    <r>
      <rPr>
        <b/>
        <sz val="10"/>
        <color theme="1"/>
        <rFont val="Consolas"/>
        <family val="3"/>
      </rPr>
      <t xml:space="preserve"> </t>
    </r>
    <r>
      <rPr>
        <b/>
        <sz val="10"/>
        <color rgb="FF0080FF"/>
        <rFont val="Consolas"/>
        <family val="3"/>
      </rPr>
      <t>KEY</t>
    </r>
    <r>
      <rPr>
        <b/>
        <sz val="10"/>
        <color theme="1"/>
        <rFont val="Consolas"/>
        <family val="3"/>
      </rPr>
      <t xml:space="preserve"> </t>
    </r>
    <r>
      <rPr>
        <b/>
        <sz val="10"/>
        <color rgb="FF808080"/>
        <rFont val="Consolas"/>
        <family val="3"/>
      </rPr>
      <t>(</t>
    </r>
    <r>
      <rPr>
        <b/>
        <sz val="10"/>
        <color theme="1"/>
        <rFont val="Consolas"/>
        <family val="3"/>
      </rPr>
      <t>id</t>
    </r>
    <r>
      <rPr>
        <b/>
        <sz val="10"/>
        <color rgb="FF808080"/>
        <rFont val="Consolas"/>
        <family val="3"/>
      </rPr>
      <t>));</t>
    </r>
    <r>
      <rPr>
        <b/>
        <sz val="10"/>
        <color theme="1"/>
        <rFont val="Consolas"/>
        <family val="3"/>
      </rPr>
      <t xml:space="preserve"> </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</si>
  <si>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TABLE</t>
    </r>
    <r>
      <rPr>
        <b/>
        <sz val="10"/>
        <color theme="1"/>
        <rFont val="Consolas"/>
        <family val="3"/>
      </rPr>
      <t xml:space="preserve"> mars_agency_store </t>
    </r>
    <r>
      <rPr>
        <b/>
        <sz val="10"/>
        <color rgb="FF0080FF"/>
        <rFont val="Consolas"/>
        <family val="3"/>
      </rPr>
      <t>IS</t>
    </r>
    <r>
      <rPr>
        <b/>
        <sz val="10"/>
        <color theme="1"/>
        <rFont val="Consolas"/>
        <family val="3"/>
      </rPr>
      <t xml:space="preserve"> </t>
    </r>
    <r>
      <rPr>
        <b/>
        <sz val="10"/>
        <color rgb="FFFF2800"/>
        <rFont val="Consolas"/>
        <family val="3"/>
      </rPr>
      <t>'m_取次店'</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</si>
  <si>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id </t>
    </r>
    <r>
      <rPr>
        <b/>
        <sz val="10"/>
        <color rgb="FF0080FF"/>
        <rFont val="Consolas"/>
        <family val="3"/>
      </rPr>
      <t>IS</t>
    </r>
    <r>
      <rPr>
        <b/>
        <sz val="10"/>
        <color theme="1"/>
        <rFont val="Consolas"/>
        <family val="3"/>
      </rPr>
      <t xml:space="preserve"> </t>
    </r>
    <r>
      <rPr>
        <b/>
        <sz val="10"/>
        <color rgb="FFFF2800"/>
        <rFont val="Consolas"/>
        <family val="3"/>
      </rPr>
      <t>'id'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</si>
  <si>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agent_code </t>
    </r>
    <r>
      <rPr>
        <b/>
        <sz val="10"/>
        <color rgb="FF0080FF"/>
        <rFont val="Consolas"/>
        <family val="3"/>
      </rPr>
      <t>IS</t>
    </r>
    <r>
      <rPr>
        <b/>
        <sz val="10"/>
        <color theme="1"/>
        <rFont val="Consolas"/>
        <family val="3"/>
      </rPr>
      <t xml:space="preserve"> </t>
    </r>
    <r>
      <rPr>
        <b/>
        <sz val="10"/>
        <color rgb="FFFF2800"/>
        <rFont val="Consolas"/>
        <family val="3"/>
      </rPr>
      <t>'取次店コード'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</si>
  <si>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valid_start_date </t>
    </r>
    <r>
      <rPr>
        <b/>
        <sz val="10"/>
        <color rgb="FF0080FF"/>
        <rFont val="Consolas"/>
        <family val="3"/>
      </rPr>
      <t>IS</t>
    </r>
    <r>
      <rPr>
        <b/>
        <sz val="10"/>
        <color theme="1"/>
        <rFont val="Consolas"/>
        <family val="3"/>
      </rPr>
      <t xml:space="preserve"> </t>
    </r>
    <r>
      <rPr>
        <b/>
        <sz val="10"/>
        <color rgb="FFFF2800"/>
        <rFont val="Consolas"/>
        <family val="3"/>
      </rPr>
      <t>'有効開始日'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</si>
  <si>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valid_end_date </t>
    </r>
    <r>
      <rPr>
        <b/>
        <sz val="10"/>
        <color rgb="FF0080FF"/>
        <rFont val="Consolas"/>
        <family val="3"/>
      </rPr>
      <t>IS</t>
    </r>
    <r>
      <rPr>
        <b/>
        <sz val="10"/>
        <color theme="1"/>
        <rFont val="Consolas"/>
        <family val="3"/>
      </rPr>
      <t xml:space="preserve"> </t>
    </r>
    <r>
      <rPr>
        <b/>
        <sz val="10"/>
        <color rgb="FFFF2800"/>
        <rFont val="Consolas"/>
        <family val="3"/>
      </rPr>
      <t>'有効終了日'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</si>
  <si>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common_store_code </t>
    </r>
    <r>
      <rPr>
        <b/>
        <sz val="10"/>
        <color rgb="FF0080FF"/>
        <rFont val="Consolas"/>
        <family val="3"/>
      </rPr>
      <t>IS</t>
    </r>
    <r>
      <rPr>
        <b/>
        <sz val="10"/>
        <color theme="1"/>
        <rFont val="Consolas"/>
        <family val="3"/>
      </rPr>
      <t xml:space="preserve"> </t>
    </r>
    <r>
      <rPr>
        <b/>
        <sz val="10"/>
        <color rgb="FFFF2800"/>
        <rFont val="Consolas"/>
        <family val="3"/>
      </rPr>
      <t>'共通店舗コード'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</si>
  <si>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chkdigit_common_store_cd </t>
    </r>
    <r>
      <rPr>
        <b/>
        <sz val="10"/>
        <color rgb="FF0080FF"/>
        <rFont val="Consolas"/>
        <family val="3"/>
      </rPr>
      <t>IS</t>
    </r>
    <r>
      <rPr>
        <b/>
        <sz val="10"/>
        <color theme="1"/>
        <rFont val="Consolas"/>
        <family val="3"/>
      </rPr>
      <t xml:space="preserve"> </t>
    </r>
    <r>
      <rPr>
        <b/>
        <sz val="10"/>
        <color rgb="FFFF2800"/>
        <rFont val="Consolas"/>
        <family val="3"/>
      </rPr>
      <t>'chkdigit共通店舗cd'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</si>
  <si>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logistics_agent_code </t>
    </r>
    <r>
      <rPr>
        <b/>
        <sz val="10"/>
        <color rgb="FF0080FF"/>
        <rFont val="Consolas"/>
        <family val="3"/>
      </rPr>
      <t>IS</t>
    </r>
    <r>
      <rPr>
        <b/>
        <sz val="10"/>
        <color theme="1"/>
        <rFont val="Consolas"/>
        <family val="3"/>
      </rPr>
      <t xml:space="preserve"> </t>
    </r>
    <r>
      <rPr>
        <b/>
        <sz val="10"/>
        <color rgb="FFFF2800"/>
        <rFont val="Consolas"/>
        <family val="3"/>
      </rPr>
      <t>'物流取次店コード'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</si>
  <si>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chkdigit_agent_cd </t>
    </r>
    <r>
      <rPr>
        <b/>
        <sz val="10"/>
        <color rgb="FF0080FF"/>
        <rFont val="Consolas"/>
        <family val="3"/>
      </rPr>
      <t>IS</t>
    </r>
    <r>
      <rPr>
        <b/>
        <sz val="10"/>
        <color theme="1"/>
        <rFont val="Consolas"/>
        <family val="3"/>
      </rPr>
      <t xml:space="preserve"> </t>
    </r>
    <r>
      <rPr>
        <b/>
        <sz val="10"/>
        <color rgb="FFFF2800"/>
        <rFont val="Consolas"/>
        <family val="3"/>
      </rPr>
      <t>'chkdigit取次店cd'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</si>
  <si>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front_desk_code </t>
    </r>
    <r>
      <rPr>
        <b/>
        <sz val="10"/>
        <color rgb="FF0080FF"/>
        <rFont val="Consolas"/>
        <family val="3"/>
      </rPr>
      <t>IS</t>
    </r>
    <r>
      <rPr>
        <b/>
        <sz val="10"/>
        <color theme="1"/>
        <rFont val="Consolas"/>
        <family val="3"/>
      </rPr>
      <t xml:space="preserve"> </t>
    </r>
    <r>
      <rPr>
        <b/>
        <sz val="10"/>
        <color rgb="FFFF2800"/>
        <rFont val="Consolas"/>
        <family val="3"/>
      </rPr>
      <t>'フロント用コード'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</si>
  <si>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primary_agent_code </t>
    </r>
    <r>
      <rPr>
        <b/>
        <sz val="10"/>
        <color rgb="FF0080FF"/>
        <rFont val="Consolas"/>
        <family val="3"/>
      </rPr>
      <t>IS</t>
    </r>
    <r>
      <rPr>
        <b/>
        <sz val="10"/>
        <color theme="1"/>
        <rFont val="Consolas"/>
        <family val="3"/>
      </rPr>
      <t xml:space="preserve"> </t>
    </r>
    <r>
      <rPr>
        <b/>
        <sz val="10"/>
        <color rgb="FFFF2800"/>
        <rFont val="Consolas"/>
        <family val="3"/>
      </rPr>
      <t>'一次代理店コード'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</si>
  <si>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chkdigit_primary_agent_cd </t>
    </r>
    <r>
      <rPr>
        <b/>
        <sz val="10"/>
        <color rgb="FF0080FF"/>
        <rFont val="Consolas"/>
        <family val="3"/>
      </rPr>
      <t>IS</t>
    </r>
    <r>
      <rPr>
        <b/>
        <sz val="10"/>
        <color theme="1"/>
        <rFont val="Consolas"/>
        <family val="3"/>
      </rPr>
      <t xml:space="preserve"> </t>
    </r>
    <r>
      <rPr>
        <b/>
        <sz val="10"/>
        <color rgb="FFFF2800"/>
        <rFont val="Consolas"/>
        <family val="3"/>
      </rPr>
      <t>'chkdigit一次代理店cd'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</si>
  <si>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aggregated_primary_agent_code </t>
    </r>
    <r>
      <rPr>
        <b/>
        <sz val="10"/>
        <color rgb="FF0080FF"/>
        <rFont val="Consolas"/>
        <family val="3"/>
      </rPr>
      <t>IS</t>
    </r>
    <r>
      <rPr>
        <b/>
        <sz val="10"/>
        <color theme="1"/>
        <rFont val="Consolas"/>
        <family val="3"/>
      </rPr>
      <t xml:space="preserve"> </t>
    </r>
    <r>
      <rPr>
        <b/>
        <sz val="10"/>
        <color rgb="FFFF2800"/>
        <rFont val="Consolas"/>
        <family val="3"/>
      </rPr>
      <t>'集約一次代理店コード'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</si>
  <si>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chkdigit_collected_primary_agent_cd </t>
    </r>
    <r>
      <rPr>
        <b/>
        <sz val="10"/>
        <color rgb="FF0080FF"/>
        <rFont val="Consolas"/>
        <family val="3"/>
      </rPr>
      <t>IS</t>
    </r>
    <r>
      <rPr>
        <b/>
        <sz val="10"/>
        <color theme="1"/>
        <rFont val="Consolas"/>
        <family val="3"/>
      </rPr>
      <t xml:space="preserve"> </t>
    </r>
    <r>
      <rPr>
        <b/>
        <sz val="10"/>
        <color rgb="FFFF2800"/>
        <rFont val="Consolas"/>
        <family val="3"/>
      </rPr>
      <t>'chkdigit_集_一次代理店cd'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</si>
  <si>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aggregated_agent_code </t>
    </r>
    <r>
      <rPr>
        <b/>
        <sz val="10"/>
        <color rgb="FF0080FF"/>
        <rFont val="Consolas"/>
        <family val="3"/>
      </rPr>
      <t>IS</t>
    </r>
    <r>
      <rPr>
        <b/>
        <sz val="10"/>
        <color theme="1"/>
        <rFont val="Consolas"/>
        <family val="3"/>
      </rPr>
      <t xml:space="preserve"> </t>
    </r>
    <r>
      <rPr>
        <b/>
        <sz val="10"/>
        <color rgb="FFFF2800"/>
        <rFont val="Consolas"/>
        <family val="3"/>
      </rPr>
      <t>'集約取次店コード'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</si>
  <si>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chkdigit_aggregated_agent_cd </t>
    </r>
    <r>
      <rPr>
        <b/>
        <sz val="10"/>
        <color rgb="FF0080FF"/>
        <rFont val="Consolas"/>
        <family val="3"/>
      </rPr>
      <t>IS</t>
    </r>
    <r>
      <rPr>
        <b/>
        <sz val="10"/>
        <color theme="1"/>
        <rFont val="Consolas"/>
        <family val="3"/>
      </rPr>
      <t xml:space="preserve"> </t>
    </r>
    <r>
      <rPr>
        <b/>
        <sz val="10"/>
        <color rgb="FFFF2800"/>
        <rFont val="Consolas"/>
        <family val="3"/>
      </rPr>
      <t>'chkdigit集約取次店cd'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</si>
  <si>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company_category </t>
    </r>
    <r>
      <rPr>
        <b/>
        <sz val="10"/>
        <color rgb="FF0080FF"/>
        <rFont val="Consolas"/>
        <family val="3"/>
      </rPr>
      <t>IS</t>
    </r>
    <r>
      <rPr>
        <b/>
        <sz val="10"/>
        <color theme="1"/>
        <rFont val="Consolas"/>
        <family val="3"/>
      </rPr>
      <t xml:space="preserve"> </t>
    </r>
    <r>
      <rPr>
        <b/>
        <sz val="10"/>
        <color rgb="FFFF2800"/>
        <rFont val="Consolas"/>
        <family val="3"/>
      </rPr>
      <t>'企業区分'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</si>
  <si>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company_category_official_name </t>
    </r>
    <r>
      <rPr>
        <b/>
        <sz val="10"/>
        <color rgb="FF0080FF"/>
        <rFont val="Consolas"/>
        <family val="3"/>
      </rPr>
      <t>IS</t>
    </r>
    <r>
      <rPr>
        <b/>
        <sz val="10"/>
        <color theme="1"/>
        <rFont val="Consolas"/>
        <family val="3"/>
      </rPr>
      <t xml:space="preserve"> </t>
    </r>
    <r>
      <rPr>
        <b/>
        <sz val="10"/>
        <color rgb="FFFF2800"/>
        <rFont val="Consolas"/>
        <family val="3"/>
      </rPr>
      <t>'企業区分正式名称'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</si>
  <si>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store_type_code </t>
    </r>
    <r>
      <rPr>
        <b/>
        <sz val="10"/>
        <color rgb="FF0080FF"/>
        <rFont val="Consolas"/>
        <family val="3"/>
      </rPr>
      <t>IS</t>
    </r>
    <r>
      <rPr>
        <b/>
        <sz val="10"/>
        <color theme="1"/>
        <rFont val="Consolas"/>
        <family val="3"/>
      </rPr>
      <t xml:space="preserve"> </t>
    </r>
    <r>
      <rPr>
        <b/>
        <sz val="10"/>
        <color rgb="FFFF2800"/>
        <rFont val="Consolas"/>
        <family val="3"/>
      </rPr>
      <t>'店舗種別コード'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</si>
  <si>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store_registration_settings_ptn_cd </t>
    </r>
    <r>
      <rPr>
        <b/>
        <sz val="10"/>
        <color rgb="FF0080FF"/>
        <rFont val="Consolas"/>
        <family val="3"/>
      </rPr>
      <t>IS</t>
    </r>
    <r>
      <rPr>
        <b/>
        <sz val="10"/>
        <color theme="1"/>
        <rFont val="Consolas"/>
        <family val="3"/>
      </rPr>
      <t xml:space="preserve"> </t>
    </r>
    <r>
      <rPr>
        <b/>
        <sz val="10"/>
        <color rgb="FFFF2800"/>
        <rFont val="Consolas"/>
        <family val="3"/>
      </rPr>
      <t>'店舗登録設定ptn_cd'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</si>
  <si>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aggregator_official_name </t>
    </r>
    <r>
      <rPr>
        <b/>
        <sz val="10"/>
        <color rgb="FF0080FF"/>
        <rFont val="Consolas"/>
        <family val="3"/>
      </rPr>
      <t>IS</t>
    </r>
    <r>
      <rPr>
        <b/>
        <sz val="10"/>
        <color theme="1"/>
        <rFont val="Consolas"/>
        <family val="3"/>
      </rPr>
      <t xml:space="preserve"> </t>
    </r>
    <r>
      <rPr>
        <b/>
        <sz val="10"/>
        <color rgb="FFFF2800"/>
        <rFont val="Consolas"/>
        <family val="3"/>
      </rPr>
      <t>'取次店正式名称'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</si>
  <si>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aggregator_abbreviation </t>
    </r>
    <r>
      <rPr>
        <b/>
        <sz val="10"/>
        <color rgb="FF0080FF"/>
        <rFont val="Consolas"/>
        <family val="3"/>
      </rPr>
      <t>IS</t>
    </r>
    <r>
      <rPr>
        <b/>
        <sz val="10"/>
        <color theme="1"/>
        <rFont val="Consolas"/>
        <family val="3"/>
      </rPr>
      <t xml:space="preserve"> </t>
    </r>
    <r>
      <rPr>
        <b/>
        <sz val="10"/>
        <color rgb="FFFF2800"/>
        <rFont val="Consolas"/>
        <family val="3"/>
      </rPr>
      <t>'取次店略称'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</si>
  <si>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aggregator_name_katakana </t>
    </r>
    <r>
      <rPr>
        <b/>
        <sz val="10"/>
        <color rgb="FF0080FF"/>
        <rFont val="Consolas"/>
        <family val="3"/>
      </rPr>
      <t>IS</t>
    </r>
    <r>
      <rPr>
        <b/>
        <sz val="10"/>
        <color theme="1"/>
        <rFont val="Consolas"/>
        <family val="3"/>
      </rPr>
      <t xml:space="preserve"> </t>
    </r>
    <r>
      <rPr>
        <b/>
        <sz val="10"/>
        <color rgb="FFFF2800"/>
        <rFont val="Consolas"/>
        <family val="3"/>
      </rPr>
      <t>'取次店カナ名称'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</si>
  <si>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aggregator_store_name_in_english </t>
    </r>
    <r>
      <rPr>
        <b/>
        <sz val="10"/>
        <color rgb="FF0080FF"/>
        <rFont val="Consolas"/>
        <family val="3"/>
      </rPr>
      <t>IS</t>
    </r>
    <r>
      <rPr>
        <b/>
        <sz val="10"/>
        <color theme="1"/>
        <rFont val="Consolas"/>
        <family val="3"/>
      </rPr>
      <t xml:space="preserve"> </t>
    </r>
    <r>
      <rPr>
        <b/>
        <sz val="10"/>
        <color rgb="FFFF2800"/>
        <rFont val="Consolas"/>
        <family val="3"/>
      </rPr>
      <t>'取次店英語名称'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</si>
  <si>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registered_corporate_name </t>
    </r>
    <r>
      <rPr>
        <b/>
        <sz val="10"/>
        <color rgb="FF0080FF"/>
        <rFont val="Consolas"/>
        <family val="3"/>
      </rPr>
      <t>IS</t>
    </r>
    <r>
      <rPr>
        <b/>
        <sz val="10"/>
        <color theme="1"/>
        <rFont val="Consolas"/>
        <family val="3"/>
      </rPr>
      <t xml:space="preserve"> </t>
    </r>
    <r>
      <rPr>
        <b/>
        <sz val="10"/>
        <color rgb="FFFF2800"/>
        <rFont val="Consolas"/>
        <family val="3"/>
      </rPr>
      <t>'登記簿登録法人名'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</si>
  <si>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area_code </t>
    </r>
    <r>
      <rPr>
        <b/>
        <sz val="10"/>
        <color rgb="FF0080FF"/>
        <rFont val="Consolas"/>
        <family val="3"/>
      </rPr>
      <t>IS</t>
    </r>
    <r>
      <rPr>
        <b/>
        <sz val="10"/>
        <color theme="1"/>
        <rFont val="Consolas"/>
        <family val="3"/>
      </rPr>
      <t xml:space="preserve"> </t>
    </r>
    <r>
      <rPr>
        <b/>
        <sz val="10"/>
        <color rgb="FFFF2800"/>
        <rFont val="Consolas"/>
        <family val="3"/>
      </rPr>
      <t>'地域コード'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</si>
  <si>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area_official_name </t>
    </r>
    <r>
      <rPr>
        <b/>
        <sz val="10"/>
        <color rgb="FF0080FF"/>
        <rFont val="Consolas"/>
        <family val="3"/>
      </rPr>
      <t>IS</t>
    </r>
    <r>
      <rPr>
        <b/>
        <sz val="10"/>
        <color theme="1"/>
        <rFont val="Consolas"/>
        <family val="3"/>
      </rPr>
      <t xml:space="preserve"> </t>
    </r>
    <r>
      <rPr>
        <b/>
        <sz val="10"/>
        <color rgb="FFFF2800"/>
        <rFont val="Consolas"/>
        <family val="3"/>
      </rPr>
      <t>'地域正式名称'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</si>
  <si>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area_english_code </t>
    </r>
    <r>
      <rPr>
        <b/>
        <sz val="10"/>
        <color rgb="FF0080FF"/>
        <rFont val="Consolas"/>
        <family val="3"/>
      </rPr>
      <t>IS</t>
    </r>
    <r>
      <rPr>
        <b/>
        <sz val="10"/>
        <color theme="1"/>
        <rFont val="Consolas"/>
        <family val="3"/>
      </rPr>
      <t xml:space="preserve"> </t>
    </r>
    <r>
      <rPr>
        <b/>
        <sz val="10"/>
        <color rgb="FFFF2800"/>
        <rFont val="Consolas"/>
        <family val="3"/>
      </rPr>
      <t>'地域英語コード'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</si>
  <si>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area_half_width_kana_name </t>
    </r>
    <r>
      <rPr>
        <b/>
        <sz val="10"/>
        <color rgb="FF0080FF"/>
        <rFont val="Consolas"/>
        <family val="3"/>
      </rPr>
      <t>IS</t>
    </r>
    <r>
      <rPr>
        <b/>
        <sz val="10"/>
        <color theme="1"/>
        <rFont val="Consolas"/>
        <family val="3"/>
      </rPr>
      <t xml:space="preserve"> </t>
    </r>
    <r>
      <rPr>
        <b/>
        <sz val="10"/>
        <color rgb="FFFF2800"/>
        <rFont val="Consolas"/>
        <family val="3"/>
      </rPr>
      <t>'地域半角カナ名称'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</si>
  <si>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area_english_name </t>
    </r>
    <r>
      <rPr>
        <b/>
        <sz val="10"/>
        <color rgb="FF0080FF"/>
        <rFont val="Consolas"/>
        <family val="3"/>
      </rPr>
      <t>IS</t>
    </r>
    <r>
      <rPr>
        <b/>
        <sz val="10"/>
        <color theme="1"/>
        <rFont val="Consolas"/>
        <family val="3"/>
      </rPr>
      <t xml:space="preserve"> </t>
    </r>
    <r>
      <rPr>
        <b/>
        <sz val="10"/>
        <color rgb="FFFF2800"/>
        <rFont val="Consolas"/>
        <family val="3"/>
      </rPr>
      <t>'地域英語名称'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</si>
  <si>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agent_postal_code </t>
    </r>
    <r>
      <rPr>
        <b/>
        <sz val="10"/>
        <color rgb="FF0080FF"/>
        <rFont val="Consolas"/>
        <family val="3"/>
      </rPr>
      <t>IS</t>
    </r>
    <r>
      <rPr>
        <b/>
        <sz val="10"/>
        <color theme="1"/>
        <rFont val="Consolas"/>
        <family val="3"/>
      </rPr>
      <t xml:space="preserve"> </t>
    </r>
    <r>
      <rPr>
        <b/>
        <sz val="10"/>
        <color rgb="FFFF2800"/>
        <rFont val="Consolas"/>
        <family val="3"/>
      </rPr>
      <t>'取次店郵便番号'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</si>
  <si>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prefecture_code </t>
    </r>
    <r>
      <rPr>
        <b/>
        <sz val="10"/>
        <color rgb="FF0080FF"/>
        <rFont val="Consolas"/>
        <family val="3"/>
      </rPr>
      <t>IS</t>
    </r>
    <r>
      <rPr>
        <b/>
        <sz val="10"/>
        <color theme="1"/>
        <rFont val="Consolas"/>
        <family val="3"/>
      </rPr>
      <t xml:space="preserve"> </t>
    </r>
    <r>
      <rPr>
        <b/>
        <sz val="10"/>
        <color rgb="FFFF2800"/>
        <rFont val="Consolas"/>
        <family val="3"/>
      </rPr>
      <t>'都道府県コード'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</si>
  <si>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prefecture_kana </t>
    </r>
    <r>
      <rPr>
        <b/>
        <sz val="10"/>
        <color rgb="FF0080FF"/>
        <rFont val="Consolas"/>
        <family val="3"/>
      </rPr>
      <t>IS</t>
    </r>
    <r>
      <rPr>
        <b/>
        <sz val="10"/>
        <color theme="1"/>
        <rFont val="Consolas"/>
        <family val="3"/>
      </rPr>
      <t xml:space="preserve"> </t>
    </r>
    <r>
      <rPr>
        <b/>
        <sz val="10"/>
        <color rgb="FFFF2800"/>
        <rFont val="Consolas"/>
        <family val="3"/>
      </rPr>
      <t>'都道府県カナ'</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</si>
  <si>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prefecture_kanji </t>
    </r>
    <r>
      <rPr>
        <b/>
        <sz val="10"/>
        <color rgb="FF0080FF"/>
        <rFont val="Consolas"/>
        <family val="3"/>
      </rPr>
      <t>IS</t>
    </r>
    <r>
      <rPr>
        <b/>
        <sz val="10"/>
        <color theme="1"/>
        <rFont val="Consolas"/>
        <family val="3"/>
      </rPr>
      <t xml:space="preserve"> </t>
    </r>
    <r>
      <rPr>
        <b/>
        <sz val="10"/>
        <color rgb="FFFF2800"/>
        <rFont val="Consolas"/>
        <family val="3"/>
      </rPr>
      <t>'都道府県漢字'</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</si>
  <si>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earthquake_flag </t>
    </r>
    <r>
      <rPr>
        <b/>
        <sz val="10"/>
        <color rgb="FF0080FF"/>
        <rFont val="Consolas"/>
        <family val="3"/>
      </rPr>
      <t>IS</t>
    </r>
    <r>
      <rPr>
        <b/>
        <sz val="10"/>
        <color theme="1"/>
        <rFont val="Consolas"/>
        <family val="3"/>
      </rPr>
      <t xml:space="preserve"> </t>
    </r>
    <r>
      <rPr>
        <b/>
        <sz val="10"/>
        <color rgb="FFFF2800"/>
        <rFont val="Consolas"/>
        <family val="3"/>
      </rPr>
      <t>'震災フラグ'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</si>
  <si>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earthquake_flag_official_name </t>
    </r>
    <r>
      <rPr>
        <b/>
        <sz val="10"/>
        <color rgb="FF0080FF"/>
        <rFont val="Consolas"/>
        <family val="3"/>
      </rPr>
      <t>IS</t>
    </r>
    <r>
      <rPr>
        <b/>
        <sz val="10"/>
        <color theme="1"/>
        <rFont val="Consolas"/>
        <family val="3"/>
      </rPr>
      <t xml:space="preserve"> </t>
    </r>
    <r>
      <rPr>
        <b/>
        <sz val="10"/>
        <color rgb="FFFF2800"/>
        <rFont val="Consolas"/>
        <family val="3"/>
      </rPr>
      <t>'震災フラグ正式名称'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</si>
  <si>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city_code </t>
    </r>
    <r>
      <rPr>
        <b/>
        <sz val="10"/>
        <color rgb="FF0080FF"/>
        <rFont val="Consolas"/>
        <family val="3"/>
      </rPr>
      <t>IS</t>
    </r>
    <r>
      <rPr>
        <b/>
        <sz val="10"/>
        <color theme="1"/>
        <rFont val="Consolas"/>
        <family val="3"/>
      </rPr>
      <t xml:space="preserve"> </t>
    </r>
    <r>
      <rPr>
        <b/>
        <sz val="10"/>
        <color rgb="FFFF2800"/>
        <rFont val="Consolas"/>
        <family val="3"/>
      </rPr>
      <t>'市区町村コード'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</si>
  <si>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city_kana </t>
    </r>
    <r>
      <rPr>
        <b/>
        <sz val="10"/>
        <color rgb="FF0080FF"/>
        <rFont val="Consolas"/>
        <family val="3"/>
      </rPr>
      <t>IS</t>
    </r>
    <r>
      <rPr>
        <b/>
        <sz val="10"/>
        <color theme="1"/>
        <rFont val="Consolas"/>
        <family val="3"/>
      </rPr>
      <t xml:space="preserve"> </t>
    </r>
    <r>
      <rPr>
        <b/>
        <sz val="10"/>
        <color rgb="FFFF2800"/>
        <rFont val="Consolas"/>
        <family val="3"/>
      </rPr>
      <t>'市区町村カナ'</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</si>
  <si>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city_kanji </t>
    </r>
    <r>
      <rPr>
        <b/>
        <sz val="10"/>
        <color rgb="FF0080FF"/>
        <rFont val="Consolas"/>
        <family val="3"/>
      </rPr>
      <t>IS</t>
    </r>
    <r>
      <rPr>
        <b/>
        <sz val="10"/>
        <color theme="1"/>
        <rFont val="Consolas"/>
        <family val="3"/>
      </rPr>
      <t xml:space="preserve"> </t>
    </r>
    <r>
      <rPr>
        <b/>
        <sz val="10"/>
        <color rgb="FFFF2800"/>
        <rFont val="Consolas"/>
        <family val="3"/>
      </rPr>
      <t>'市区町村漢字'</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</si>
  <si>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common_name_code </t>
    </r>
    <r>
      <rPr>
        <b/>
        <sz val="10"/>
        <color rgb="FF0080FF"/>
        <rFont val="Consolas"/>
        <family val="3"/>
      </rPr>
      <t>IS</t>
    </r>
    <r>
      <rPr>
        <b/>
        <sz val="10"/>
        <color theme="1"/>
        <rFont val="Consolas"/>
        <family val="3"/>
      </rPr>
      <t xml:space="preserve"> </t>
    </r>
    <r>
      <rPr>
        <b/>
        <sz val="10"/>
        <color rgb="FFFF2800"/>
        <rFont val="Consolas"/>
        <family val="3"/>
      </rPr>
      <t>'通称コード'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</si>
  <si>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common_name_kana </t>
    </r>
    <r>
      <rPr>
        <b/>
        <sz val="10"/>
        <color rgb="FF0080FF"/>
        <rFont val="Consolas"/>
        <family val="3"/>
      </rPr>
      <t>IS</t>
    </r>
    <r>
      <rPr>
        <b/>
        <sz val="10"/>
        <color theme="1"/>
        <rFont val="Consolas"/>
        <family val="3"/>
      </rPr>
      <t xml:space="preserve"> </t>
    </r>
    <r>
      <rPr>
        <b/>
        <sz val="10"/>
        <color rgb="FFFF2800"/>
        <rFont val="Consolas"/>
        <family val="3"/>
      </rPr>
      <t>'通称カナ'</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</si>
  <si>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common_name_kanji </t>
    </r>
    <r>
      <rPr>
        <b/>
        <sz val="10"/>
        <color rgb="FF0080FF"/>
        <rFont val="Consolas"/>
        <family val="3"/>
      </rPr>
      <t>IS</t>
    </r>
    <r>
      <rPr>
        <b/>
        <sz val="10"/>
        <color theme="1"/>
        <rFont val="Consolas"/>
        <family val="3"/>
      </rPr>
      <t xml:space="preserve"> </t>
    </r>
    <r>
      <rPr>
        <b/>
        <sz val="10"/>
        <color rgb="FFFF2800"/>
        <rFont val="Consolas"/>
        <family val="3"/>
      </rPr>
      <t>'通称漢字'</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</si>
  <si>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chome_code </t>
    </r>
    <r>
      <rPr>
        <b/>
        <sz val="10"/>
        <color rgb="FF0080FF"/>
        <rFont val="Consolas"/>
        <family val="3"/>
      </rPr>
      <t>IS</t>
    </r>
    <r>
      <rPr>
        <b/>
        <sz val="10"/>
        <color theme="1"/>
        <rFont val="Consolas"/>
        <family val="3"/>
      </rPr>
      <t xml:space="preserve"> </t>
    </r>
    <r>
      <rPr>
        <b/>
        <sz val="10"/>
        <color rgb="FFFF2800"/>
        <rFont val="Consolas"/>
        <family val="3"/>
      </rPr>
      <t>'丁目コード'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</si>
  <si>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chome_kana </t>
    </r>
    <r>
      <rPr>
        <b/>
        <sz val="10"/>
        <color rgb="FF0080FF"/>
        <rFont val="Consolas"/>
        <family val="3"/>
      </rPr>
      <t>IS</t>
    </r>
    <r>
      <rPr>
        <b/>
        <sz val="10"/>
        <color theme="1"/>
        <rFont val="Consolas"/>
        <family val="3"/>
      </rPr>
      <t xml:space="preserve"> </t>
    </r>
    <r>
      <rPr>
        <b/>
        <sz val="10"/>
        <color rgb="FFFF2800"/>
        <rFont val="Consolas"/>
        <family val="3"/>
      </rPr>
      <t>'丁目カナ'</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</si>
  <si>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chome_kanji </t>
    </r>
    <r>
      <rPr>
        <b/>
        <sz val="10"/>
        <color rgb="FF0080FF"/>
        <rFont val="Consolas"/>
        <family val="3"/>
      </rPr>
      <t>IS</t>
    </r>
    <r>
      <rPr>
        <b/>
        <sz val="10"/>
        <color theme="1"/>
        <rFont val="Consolas"/>
        <family val="3"/>
      </rPr>
      <t xml:space="preserve"> </t>
    </r>
    <r>
      <rPr>
        <b/>
        <sz val="10"/>
        <color rgb="FFFF2800"/>
        <rFont val="Consolas"/>
        <family val="3"/>
      </rPr>
      <t>'丁目漢字'</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</si>
  <si>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additional_address </t>
    </r>
    <r>
      <rPr>
        <b/>
        <sz val="10"/>
        <color rgb="FF0080FF"/>
        <rFont val="Consolas"/>
        <family val="3"/>
      </rPr>
      <t>IS</t>
    </r>
    <r>
      <rPr>
        <b/>
        <sz val="10"/>
        <color theme="1"/>
        <rFont val="Consolas"/>
        <family val="3"/>
      </rPr>
      <t xml:space="preserve"> </t>
    </r>
    <r>
      <rPr>
        <b/>
        <sz val="10"/>
        <color rgb="FFFF2800"/>
        <rFont val="Consolas"/>
        <family val="3"/>
      </rPr>
      <t>'付帯住所'</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</si>
  <si>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agent_tel_no </t>
    </r>
    <r>
      <rPr>
        <b/>
        <sz val="10"/>
        <color rgb="FF0080FF"/>
        <rFont val="Consolas"/>
        <family val="3"/>
      </rPr>
      <t>IS</t>
    </r>
    <r>
      <rPr>
        <b/>
        <sz val="10"/>
        <color theme="1"/>
        <rFont val="Consolas"/>
        <family val="3"/>
      </rPr>
      <t xml:space="preserve"> </t>
    </r>
    <r>
      <rPr>
        <b/>
        <sz val="10"/>
        <color rgb="FFFF2800"/>
        <rFont val="Consolas"/>
        <family val="3"/>
      </rPr>
      <t>'取次店tel_no'</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</si>
  <si>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agent_fax_no </t>
    </r>
    <r>
      <rPr>
        <b/>
        <sz val="10"/>
        <color rgb="FF0080FF"/>
        <rFont val="Consolas"/>
        <family val="3"/>
      </rPr>
      <t>IS</t>
    </r>
    <r>
      <rPr>
        <b/>
        <sz val="10"/>
        <color theme="1"/>
        <rFont val="Consolas"/>
        <family val="3"/>
      </rPr>
      <t xml:space="preserve"> </t>
    </r>
    <r>
      <rPr>
        <b/>
        <sz val="10"/>
        <color rgb="FFFF2800"/>
        <rFont val="Consolas"/>
        <family val="3"/>
      </rPr>
      <t>'取次店fax_no'</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</si>
  <si>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registration_business_tel_no </t>
    </r>
    <r>
      <rPr>
        <b/>
        <sz val="10"/>
        <color rgb="FF0080FF"/>
        <rFont val="Consolas"/>
        <family val="3"/>
      </rPr>
      <t>IS</t>
    </r>
    <r>
      <rPr>
        <b/>
        <sz val="10"/>
        <color theme="1"/>
        <rFont val="Consolas"/>
        <family val="3"/>
      </rPr>
      <t xml:space="preserve"> </t>
    </r>
    <r>
      <rPr>
        <b/>
        <sz val="10"/>
        <color rgb="FFFF2800"/>
        <rFont val="Consolas"/>
        <family val="3"/>
      </rPr>
      <t>'登録業務用tel_no'</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</si>
  <si>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registration_business_tel_no_2 </t>
    </r>
    <r>
      <rPr>
        <b/>
        <sz val="10"/>
        <color rgb="FF0080FF"/>
        <rFont val="Consolas"/>
        <family val="3"/>
      </rPr>
      <t>IS</t>
    </r>
    <r>
      <rPr>
        <b/>
        <sz val="10"/>
        <color theme="1"/>
        <rFont val="Consolas"/>
        <family val="3"/>
      </rPr>
      <t xml:space="preserve"> </t>
    </r>
    <r>
      <rPr>
        <b/>
        <sz val="10"/>
        <color rgb="FFFF2800"/>
        <rFont val="Consolas"/>
        <family val="3"/>
      </rPr>
      <t>'登録業務用tel_no2'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</si>
  <si>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registration_business_fax_no </t>
    </r>
    <r>
      <rPr>
        <b/>
        <sz val="10"/>
        <color rgb="FF0080FF"/>
        <rFont val="Consolas"/>
        <family val="3"/>
      </rPr>
      <t>IS</t>
    </r>
    <r>
      <rPr>
        <b/>
        <sz val="10"/>
        <color theme="1"/>
        <rFont val="Consolas"/>
        <family val="3"/>
      </rPr>
      <t xml:space="preserve"> </t>
    </r>
    <r>
      <rPr>
        <b/>
        <sz val="10"/>
        <color rgb="FFFF2800"/>
        <rFont val="Consolas"/>
        <family val="3"/>
      </rPr>
      <t>'登録業務用fax_no'</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</si>
  <si>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representative_name </t>
    </r>
    <r>
      <rPr>
        <b/>
        <sz val="10"/>
        <color rgb="FF0080FF"/>
        <rFont val="Consolas"/>
        <family val="3"/>
      </rPr>
      <t>IS</t>
    </r>
    <r>
      <rPr>
        <b/>
        <sz val="10"/>
        <color theme="1"/>
        <rFont val="Consolas"/>
        <family val="3"/>
      </rPr>
      <t xml:space="preserve"> </t>
    </r>
    <r>
      <rPr>
        <b/>
        <sz val="10"/>
        <color rgb="FFFF2800"/>
        <rFont val="Consolas"/>
        <family val="3"/>
      </rPr>
      <t>'代表者氏名'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</si>
  <si>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department_name_of_person_in_charge </t>
    </r>
    <r>
      <rPr>
        <b/>
        <sz val="10"/>
        <color rgb="FF0080FF"/>
        <rFont val="Consolas"/>
        <family val="3"/>
      </rPr>
      <t>IS</t>
    </r>
    <r>
      <rPr>
        <b/>
        <sz val="10"/>
        <color theme="1"/>
        <rFont val="Consolas"/>
        <family val="3"/>
      </rPr>
      <t xml:space="preserve"> </t>
    </r>
    <r>
      <rPr>
        <b/>
        <sz val="10"/>
        <color rgb="FFFF2800"/>
        <rFont val="Consolas"/>
        <family val="3"/>
      </rPr>
      <t>'担当者部署名'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</si>
  <si>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name_of_person_in_charge </t>
    </r>
    <r>
      <rPr>
        <b/>
        <sz val="10"/>
        <color rgb="FF0080FF"/>
        <rFont val="Consolas"/>
        <family val="3"/>
      </rPr>
      <t>IS</t>
    </r>
    <r>
      <rPr>
        <b/>
        <sz val="10"/>
        <color theme="1"/>
        <rFont val="Consolas"/>
        <family val="3"/>
      </rPr>
      <t xml:space="preserve"> </t>
    </r>
    <r>
      <rPr>
        <b/>
        <sz val="10"/>
        <color rgb="FFFF2800"/>
        <rFont val="Consolas"/>
        <family val="3"/>
      </rPr>
      <t>'担当者氏名'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</si>
  <si>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position_of_person_in_charge </t>
    </r>
    <r>
      <rPr>
        <b/>
        <sz val="10"/>
        <color rgb="FF0080FF"/>
        <rFont val="Consolas"/>
        <family val="3"/>
      </rPr>
      <t>IS</t>
    </r>
    <r>
      <rPr>
        <b/>
        <sz val="10"/>
        <color theme="1"/>
        <rFont val="Consolas"/>
        <family val="3"/>
      </rPr>
      <t xml:space="preserve"> </t>
    </r>
    <r>
      <rPr>
        <b/>
        <sz val="10"/>
        <color rgb="FFFF2800"/>
        <rFont val="Consolas"/>
        <family val="3"/>
      </rPr>
      <t>'担当者役職'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</si>
  <si>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agency_small_category_id </t>
    </r>
    <r>
      <rPr>
        <b/>
        <sz val="10"/>
        <color rgb="FF0080FF"/>
        <rFont val="Consolas"/>
        <family val="3"/>
      </rPr>
      <t>IS</t>
    </r>
    <r>
      <rPr>
        <b/>
        <sz val="10"/>
        <color theme="1"/>
        <rFont val="Consolas"/>
        <family val="3"/>
      </rPr>
      <t xml:space="preserve"> </t>
    </r>
    <r>
      <rPr>
        <b/>
        <sz val="10"/>
        <color rgb="FFFF2800"/>
        <rFont val="Consolas"/>
        <family val="3"/>
      </rPr>
      <t>'取次店小分類id'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</si>
  <si>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order_to_order_small_category_code </t>
    </r>
    <r>
      <rPr>
        <b/>
        <sz val="10"/>
        <color rgb="FF0080FF"/>
        <rFont val="Consolas"/>
        <family val="3"/>
      </rPr>
      <t>IS</t>
    </r>
    <r>
      <rPr>
        <b/>
        <sz val="10"/>
        <color theme="1"/>
        <rFont val="Consolas"/>
        <family val="3"/>
      </rPr>
      <t xml:space="preserve"> </t>
    </r>
    <r>
      <rPr>
        <b/>
        <sz val="10"/>
        <color rgb="FFFF2800"/>
        <rFont val="Consolas"/>
        <family val="3"/>
      </rPr>
      <t>'受注先小分類コード'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</si>
  <si>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order_to_order_medium_category_id </t>
    </r>
    <r>
      <rPr>
        <b/>
        <sz val="10"/>
        <color rgb="FF0080FF"/>
        <rFont val="Consolas"/>
        <family val="3"/>
      </rPr>
      <t>IS</t>
    </r>
    <r>
      <rPr>
        <b/>
        <sz val="10"/>
        <color theme="1"/>
        <rFont val="Consolas"/>
        <family val="3"/>
      </rPr>
      <t xml:space="preserve"> </t>
    </r>
    <r>
      <rPr>
        <b/>
        <sz val="10"/>
        <color rgb="FFFF2800"/>
        <rFont val="Consolas"/>
        <family val="3"/>
      </rPr>
      <t>'受注先中分類id'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</si>
  <si>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order_to_order_small_category_full_name </t>
    </r>
    <r>
      <rPr>
        <b/>
        <sz val="10"/>
        <color rgb="FF0080FF"/>
        <rFont val="Consolas"/>
        <family val="3"/>
      </rPr>
      <t>IS</t>
    </r>
    <r>
      <rPr>
        <b/>
        <sz val="10"/>
        <color theme="1"/>
        <rFont val="Consolas"/>
        <family val="3"/>
      </rPr>
      <t xml:space="preserve"> </t>
    </r>
    <r>
      <rPr>
        <b/>
        <sz val="10"/>
        <color rgb="FFFF2800"/>
        <rFont val="Consolas"/>
        <family val="3"/>
      </rPr>
      <t>'受注先小分類正式名称'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</si>
  <si>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order_to_order_small_category_half_width_kn </t>
    </r>
    <r>
      <rPr>
        <b/>
        <sz val="10"/>
        <color rgb="FF0080FF"/>
        <rFont val="Consolas"/>
        <family val="3"/>
      </rPr>
      <t>IS</t>
    </r>
    <r>
      <rPr>
        <b/>
        <sz val="10"/>
        <color theme="1"/>
        <rFont val="Consolas"/>
        <family val="3"/>
      </rPr>
      <t xml:space="preserve"> </t>
    </r>
    <r>
      <rPr>
        <b/>
        <sz val="10"/>
        <color rgb="FFFF2800"/>
        <rFont val="Consolas"/>
        <family val="3"/>
      </rPr>
      <t>'受注先小分類半角kn'</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</si>
  <si>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order_to_order_small_category_english_name </t>
    </r>
    <r>
      <rPr>
        <b/>
        <sz val="10"/>
        <color rgb="FF0080FF"/>
        <rFont val="Consolas"/>
        <family val="3"/>
      </rPr>
      <t>IS</t>
    </r>
    <r>
      <rPr>
        <b/>
        <sz val="10"/>
        <color theme="1"/>
        <rFont val="Consolas"/>
        <family val="3"/>
      </rPr>
      <t xml:space="preserve"> </t>
    </r>
    <r>
      <rPr>
        <b/>
        <sz val="10"/>
        <color rgb="FFFF2800"/>
        <rFont val="Consolas"/>
        <family val="3"/>
      </rPr>
      <t>'受注先小分類英語名称'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</si>
  <si>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order_to_order_medium_category_code </t>
    </r>
    <r>
      <rPr>
        <b/>
        <sz val="10"/>
        <color rgb="FF0080FF"/>
        <rFont val="Consolas"/>
        <family val="3"/>
      </rPr>
      <t>IS</t>
    </r>
    <r>
      <rPr>
        <b/>
        <sz val="10"/>
        <color theme="1"/>
        <rFont val="Consolas"/>
        <family val="3"/>
      </rPr>
      <t xml:space="preserve"> </t>
    </r>
    <r>
      <rPr>
        <b/>
        <sz val="10"/>
        <color rgb="FFFF2800"/>
        <rFont val="Consolas"/>
        <family val="3"/>
      </rPr>
      <t>'受注先中分類コード'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</si>
  <si>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order_to_order_large_category_id </t>
    </r>
    <r>
      <rPr>
        <b/>
        <sz val="10"/>
        <color rgb="FF0080FF"/>
        <rFont val="Consolas"/>
        <family val="3"/>
      </rPr>
      <t>IS</t>
    </r>
    <r>
      <rPr>
        <b/>
        <sz val="10"/>
        <color theme="1"/>
        <rFont val="Consolas"/>
        <family val="3"/>
      </rPr>
      <t xml:space="preserve"> </t>
    </r>
    <r>
      <rPr>
        <b/>
        <sz val="10"/>
        <color rgb="FFFF2800"/>
        <rFont val="Consolas"/>
        <family val="3"/>
      </rPr>
      <t>'受注先大分類id'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</si>
  <si>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order_to_order_medium_category_full_name </t>
    </r>
    <r>
      <rPr>
        <b/>
        <sz val="10"/>
        <color rgb="FF0080FF"/>
        <rFont val="Consolas"/>
        <family val="3"/>
      </rPr>
      <t>IS</t>
    </r>
    <r>
      <rPr>
        <b/>
        <sz val="10"/>
        <color theme="1"/>
        <rFont val="Consolas"/>
        <family val="3"/>
      </rPr>
      <t xml:space="preserve"> </t>
    </r>
    <r>
      <rPr>
        <b/>
        <sz val="10"/>
        <color rgb="FFFF2800"/>
        <rFont val="Consolas"/>
        <family val="3"/>
      </rPr>
      <t>'受注先中分類正式名称'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</si>
  <si>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order_to_order_medium_category_half_width_kn </t>
    </r>
    <r>
      <rPr>
        <b/>
        <sz val="10"/>
        <color rgb="FF0080FF"/>
        <rFont val="Consolas"/>
        <family val="3"/>
      </rPr>
      <t>IS</t>
    </r>
    <r>
      <rPr>
        <b/>
        <sz val="10"/>
        <color theme="1"/>
        <rFont val="Consolas"/>
        <family val="3"/>
      </rPr>
      <t xml:space="preserve"> </t>
    </r>
    <r>
      <rPr>
        <b/>
        <sz val="10"/>
        <color rgb="FFFF2800"/>
        <rFont val="Consolas"/>
        <family val="3"/>
      </rPr>
      <t>'受注先中分類半角kn'</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</si>
  <si>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order_to_order_medium_category_english_name </t>
    </r>
    <r>
      <rPr>
        <b/>
        <sz val="10"/>
        <color rgb="FF0080FF"/>
        <rFont val="Consolas"/>
        <family val="3"/>
      </rPr>
      <t>IS</t>
    </r>
    <r>
      <rPr>
        <b/>
        <sz val="10"/>
        <color theme="1"/>
        <rFont val="Consolas"/>
        <family val="3"/>
      </rPr>
      <t xml:space="preserve"> </t>
    </r>
    <r>
      <rPr>
        <b/>
        <sz val="10"/>
        <color rgb="FFFF2800"/>
        <rFont val="Consolas"/>
        <family val="3"/>
      </rPr>
      <t>'受注先中分類英語名称'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</si>
  <si>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order_to_order_large_category_code </t>
    </r>
    <r>
      <rPr>
        <b/>
        <sz val="10"/>
        <color rgb="FF0080FF"/>
        <rFont val="Consolas"/>
        <family val="3"/>
      </rPr>
      <t>IS</t>
    </r>
    <r>
      <rPr>
        <b/>
        <sz val="10"/>
        <color theme="1"/>
        <rFont val="Consolas"/>
        <family val="3"/>
      </rPr>
      <t xml:space="preserve"> </t>
    </r>
    <r>
      <rPr>
        <b/>
        <sz val="10"/>
        <color rgb="FFFF2800"/>
        <rFont val="Consolas"/>
        <family val="3"/>
      </rPr>
      <t>'受注先大分類コード'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</si>
  <si>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order_to_order_large_category_full_name </t>
    </r>
    <r>
      <rPr>
        <b/>
        <sz val="10"/>
        <color rgb="FF0080FF"/>
        <rFont val="Consolas"/>
        <family val="3"/>
      </rPr>
      <t>IS</t>
    </r>
    <r>
      <rPr>
        <b/>
        <sz val="10"/>
        <color theme="1"/>
        <rFont val="Consolas"/>
        <family val="3"/>
      </rPr>
      <t xml:space="preserve"> </t>
    </r>
    <r>
      <rPr>
        <b/>
        <sz val="10"/>
        <color rgb="FFFF2800"/>
        <rFont val="Consolas"/>
        <family val="3"/>
      </rPr>
      <t>'受注先大分類正式名称'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</si>
  <si>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order_to_order_large_category_half_width_kn </t>
    </r>
    <r>
      <rPr>
        <b/>
        <sz val="10"/>
        <color rgb="FF0080FF"/>
        <rFont val="Consolas"/>
        <family val="3"/>
      </rPr>
      <t>IS</t>
    </r>
    <r>
      <rPr>
        <b/>
        <sz val="10"/>
        <color theme="1"/>
        <rFont val="Consolas"/>
        <family val="3"/>
      </rPr>
      <t xml:space="preserve"> </t>
    </r>
    <r>
      <rPr>
        <b/>
        <sz val="10"/>
        <color rgb="FFFF2800"/>
        <rFont val="Consolas"/>
        <family val="3"/>
      </rPr>
      <t>'受注先大分類半角kn'</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</si>
  <si>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order_to_order_large_category_english_name </t>
    </r>
    <r>
      <rPr>
        <b/>
        <sz val="10"/>
        <color rgb="FF0080FF"/>
        <rFont val="Consolas"/>
        <family val="3"/>
      </rPr>
      <t>IS</t>
    </r>
    <r>
      <rPr>
        <b/>
        <sz val="10"/>
        <color theme="1"/>
        <rFont val="Consolas"/>
        <family val="3"/>
      </rPr>
      <t xml:space="preserve"> </t>
    </r>
    <r>
      <rPr>
        <b/>
        <sz val="10"/>
        <color rgb="FFFF2800"/>
        <rFont val="Consolas"/>
        <family val="3"/>
      </rPr>
      <t>'受注先大分類英語名称'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</si>
  <si>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wms_packing_slip_format </t>
    </r>
    <r>
      <rPr>
        <b/>
        <sz val="10"/>
        <color rgb="FF0080FF"/>
        <rFont val="Consolas"/>
        <family val="3"/>
      </rPr>
      <t>IS</t>
    </r>
    <r>
      <rPr>
        <b/>
        <sz val="10"/>
        <color theme="1"/>
        <rFont val="Consolas"/>
        <family val="3"/>
      </rPr>
      <t xml:space="preserve"> </t>
    </r>
    <r>
      <rPr>
        <b/>
        <sz val="10"/>
        <color rgb="FFFF2800"/>
        <rFont val="Consolas"/>
        <family val="3"/>
      </rPr>
      <t>'wms同梱伝票様式'</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</si>
  <si>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wms_packing_slip_format_nm </t>
    </r>
    <r>
      <rPr>
        <b/>
        <sz val="10"/>
        <color rgb="FF0080FF"/>
        <rFont val="Consolas"/>
        <family val="3"/>
      </rPr>
      <t>IS</t>
    </r>
    <r>
      <rPr>
        <b/>
        <sz val="10"/>
        <color theme="1"/>
        <rFont val="Consolas"/>
        <family val="3"/>
      </rPr>
      <t xml:space="preserve"> </t>
    </r>
    <r>
      <rPr>
        <b/>
        <sz val="10"/>
        <color rgb="FFFF2800"/>
        <rFont val="Consolas"/>
        <family val="3"/>
      </rPr>
      <t>'wms同梱伝票様式nm'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</si>
  <si>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wms_main_slip_format </t>
    </r>
    <r>
      <rPr>
        <b/>
        <sz val="10"/>
        <color rgb="FF0080FF"/>
        <rFont val="Consolas"/>
        <family val="3"/>
      </rPr>
      <t>IS</t>
    </r>
    <r>
      <rPr>
        <b/>
        <sz val="10"/>
        <color theme="1"/>
        <rFont val="Consolas"/>
        <family val="3"/>
      </rPr>
      <t xml:space="preserve"> </t>
    </r>
    <r>
      <rPr>
        <b/>
        <sz val="10"/>
        <color rgb="FFFF2800"/>
        <rFont val="Consolas"/>
        <family val="3"/>
      </rPr>
      <t>'wms本伝伝票様式'</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</si>
  <si>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wms_main_invoice_format_nm </t>
    </r>
    <r>
      <rPr>
        <b/>
        <sz val="10"/>
        <color rgb="FF0080FF"/>
        <rFont val="Consolas"/>
        <family val="3"/>
      </rPr>
      <t>IS</t>
    </r>
    <r>
      <rPr>
        <b/>
        <sz val="10"/>
        <color theme="1"/>
        <rFont val="Consolas"/>
        <family val="3"/>
      </rPr>
      <t xml:space="preserve"> </t>
    </r>
    <r>
      <rPr>
        <b/>
        <sz val="10"/>
        <color rgb="FFFF2800"/>
        <rFont val="Consolas"/>
        <family val="3"/>
      </rPr>
      <t>'wms本伝伝票様式nm'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</si>
  <si>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wms_main_invoice_amount_printing_flg </t>
    </r>
    <r>
      <rPr>
        <b/>
        <sz val="10"/>
        <color rgb="FF0080FF"/>
        <rFont val="Consolas"/>
        <family val="3"/>
      </rPr>
      <t>IS</t>
    </r>
    <r>
      <rPr>
        <b/>
        <sz val="10"/>
        <color theme="1"/>
        <rFont val="Consolas"/>
        <family val="3"/>
      </rPr>
      <t xml:space="preserve"> </t>
    </r>
    <r>
      <rPr>
        <b/>
        <sz val="10"/>
        <color rgb="FFFF2800"/>
        <rFont val="Consolas"/>
        <family val="3"/>
      </rPr>
      <t>'wms本伝金額印字flg'</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</si>
  <si>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wms_main_invoice_amount_printing_flg_nm </t>
    </r>
    <r>
      <rPr>
        <b/>
        <sz val="10"/>
        <color rgb="FF0080FF"/>
        <rFont val="Consolas"/>
        <family val="3"/>
      </rPr>
      <t>IS</t>
    </r>
    <r>
      <rPr>
        <b/>
        <sz val="10"/>
        <color theme="1"/>
        <rFont val="Consolas"/>
        <family val="3"/>
      </rPr>
      <t xml:space="preserve"> </t>
    </r>
    <r>
      <rPr>
        <b/>
        <sz val="10"/>
        <color rgb="FFFF2800"/>
        <rFont val="Consolas"/>
        <family val="3"/>
      </rPr>
      <t>'wms本伝金額印字flg_nm'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</si>
  <si>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wms_main_transmission_destination_flg </t>
    </r>
    <r>
      <rPr>
        <b/>
        <sz val="10"/>
        <color rgb="FF0080FF"/>
        <rFont val="Consolas"/>
        <family val="3"/>
      </rPr>
      <t>IS</t>
    </r>
    <r>
      <rPr>
        <b/>
        <sz val="10"/>
        <color theme="1"/>
        <rFont val="Consolas"/>
        <family val="3"/>
      </rPr>
      <t xml:space="preserve"> </t>
    </r>
    <r>
      <rPr>
        <b/>
        <sz val="10"/>
        <color rgb="FFFF2800"/>
        <rFont val="Consolas"/>
        <family val="3"/>
      </rPr>
      <t>'wms本伝送付先flg'</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</si>
  <si>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wms_main_transmission_destination_flg_nm </t>
    </r>
    <r>
      <rPr>
        <b/>
        <sz val="10"/>
        <color rgb="FF0080FF"/>
        <rFont val="Consolas"/>
        <family val="3"/>
      </rPr>
      <t>IS</t>
    </r>
    <r>
      <rPr>
        <b/>
        <sz val="10"/>
        <color theme="1"/>
        <rFont val="Consolas"/>
        <family val="3"/>
      </rPr>
      <t xml:space="preserve"> </t>
    </r>
    <r>
      <rPr>
        <b/>
        <sz val="10"/>
        <color rgb="FFFF2800"/>
        <rFont val="Consolas"/>
        <family val="3"/>
      </rPr>
      <t>'wms本伝送付先flg_nm'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</si>
  <si>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cd_for_recipient_sys </t>
    </r>
    <r>
      <rPr>
        <b/>
        <sz val="10"/>
        <color rgb="FF0080FF"/>
        <rFont val="Consolas"/>
        <family val="3"/>
      </rPr>
      <t>IS</t>
    </r>
    <r>
      <rPr>
        <b/>
        <sz val="10"/>
        <color theme="1"/>
        <rFont val="Consolas"/>
        <family val="3"/>
      </rPr>
      <t xml:space="preserve"> </t>
    </r>
    <r>
      <rPr>
        <b/>
        <sz val="10"/>
        <color rgb="FFFF2800"/>
        <rFont val="Consolas"/>
        <family val="3"/>
      </rPr>
      <t>'相手先sys用cd'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</si>
  <si>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company_cd_for_recipient_sys </t>
    </r>
    <r>
      <rPr>
        <b/>
        <sz val="10"/>
        <color rgb="FF0080FF"/>
        <rFont val="Consolas"/>
        <family val="3"/>
      </rPr>
      <t>IS</t>
    </r>
    <r>
      <rPr>
        <b/>
        <sz val="10"/>
        <color theme="1"/>
        <rFont val="Consolas"/>
        <family val="3"/>
      </rPr>
      <t xml:space="preserve"> </t>
    </r>
    <r>
      <rPr>
        <b/>
        <sz val="10"/>
        <color rgb="FFFF2800"/>
        <rFont val="Consolas"/>
        <family val="3"/>
      </rPr>
      <t>'相手先sys用自社cd'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</si>
  <si>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wholesale_channel </t>
    </r>
    <r>
      <rPr>
        <b/>
        <sz val="10"/>
        <color rgb="FF0080FF"/>
        <rFont val="Consolas"/>
        <family val="3"/>
      </rPr>
      <t>IS</t>
    </r>
    <r>
      <rPr>
        <b/>
        <sz val="10"/>
        <color theme="1"/>
        <rFont val="Consolas"/>
        <family val="3"/>
      </rPr>
      <t xml:space="preserve"> </t>
    </r>
    <r>
      <rPr>
        <b/>
        <sz val="10"/>
        <color rgb="FFFF2800"/>
        <rFont val="Consolas"/>
        <family val="3"/>
      </rPr>
      <t>'卸チャネル'</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</si>
  <si>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corporate_channel </t>
    </r>
    <r>
      <rPr>
        <b/>
        <sz val="10"/>
        <color rgb="FF0080FF"/>
        <rFont val="Consolas"/>
        <family val="3"/>
      </rPr>
      <t>IS</t>
    </r>
    <r>
      <rPr>
        <b/>
        <sz val="10"/>
        <color theme="1"/>
        <rFont val="Consolas"/>
        <family val="3"/>
      </rPr>
      <t xml:space="preserve"> </t>
    </r>
    <r>
      <rPr>
        <b/>
        <sz val="10"/>
        <color rgb="FFFF2800"/>
        <rFont val="Consolas"/>
        <family val="3"/>
      </rPr>
      <t>'法人チャネル'</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</si>
  <si>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direct_store_determination_flg </t>
    </r>
    <r>
      <rPr>
        <b/>
        <sz val="10"/>
        <color rgb="FF0080FF"/>
        <rFont val="Consolas"/>
        <family val="3"/>
      </rPr>
      <t>IS</t>
    </r>
    <r>
      <rPr>
        <b/>
        <sz val="10"/>
        <color theme="1"/>
        <rFont val="Consolas"/>
        <family val="3"/>
      </rPr>
      <t xml:space="preserve"> </t>
    </r>
    <r>
      <rPr>
        <b/>
        <sz val="10"/>
        <color rgb="FFFF2800"/>
        <rFont val="Consolas"/>
        <family val="3"/>
      </rPr>
      <t>'直営店判定flg'</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</si>
  <si>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direct_store_determination_flg_nm </t>
    </r>
    <r>
      <rPr>
        <b/>
        <sz val="10"/>
        <color rgb="FF0080FF"/>
        <rFont val="Consolas"/>
        <family val="3"/>
      </rPr>
      <t>IS</t>
    </r>
    <r>
      <rPr>
        <b/>
        <sz val="10"/>
        <color theme="1"/>
        <rFont val="Consolas"/>
        <family val="3"/>
      </rPr>
      <t xml:space="preserve"> </t>
    </r>
    <r>
      <rPr>
        <b/>
        <sz val="10"/>
        <color rgb="FFFF2800"/>
        <rFont val="Consolas"/>
        <family val="3"/>
      </rPr>
      <t>'直営店判定flg_nm'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</si>
  <si>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store_unique_code </t>
    </r>
    <r>
      <rPr>
        <b/>
        <sz val="10"/>
        <color rgb="FF0080FF"/>
        <rFont val="Consolas"/>
        <family val="3"/>
      </rPr>
      <t>IS</t>
    </r>
    <r>
      <rPr>
        <b/>
        <sz val="10"/>
        <color theme="1"/>
        <rFont val="Consolas"/>
        <family val="3"/>
      </rPr>
      <t xml:space="preserve"> </t>
    </r>
    <r>
      <rPr>
        <b/>
        <sz val="10"/>
        <color rgb="FFFF2800"/>
        <rFont val="Consolas"/>
        <family val="3"/>
      </rPr>
      <t>'店舗ユニークコード'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</si>
  <si>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operating_store_corporate_code </t>
    </r>
    <r>
      <rPr>
        <b/>
        <sz val="10"/>
        <color rgb="FF0080FF"/>
        <rFont val="Consolas"/>
        <family val="3"/>
      </rPr>
      <t>IS</t>
    </r>
    <r>
      <rPr>
        <b/>
        <sz val="10"/>
        <color theme="1"/>
        <rFont val="Consolas"/>
        <family val="3"/>
      </rPr>
      <t xml:space="preserve"> </t>
    </r>
    <r>
      <rPr>
        <b/>
        <sz val="10"/>
        <color rgb="FFFF2800"/>
        <rFont val="Consolas"/>
        <family val="3"/>
      </rPr>
      <t>'運営店法人コード'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</si>
  <si>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business_start_date </t>
    </r>
    <r>
      <rPr>
        <b/>
        <sz val="10"/>
        <color rgb="FF0080FF"/>
        <rFont val="Consolas"/>
        <family val="3"/>
      </rPr>
      <t>IS</t>
    </r>
    <r>
      <rPr>
        <b/>
        <sz val="10"/>
        <color theme="1"/>
        <rFont val="Consolas"/>
        <family val="3"/>
      </rPr>
      <t xml:space="preserve"> </t>
    </r>
    <r>
      <rPr>
        <b/>
        <sz val="10"/>
        <color rgb="FFFF2800"/>
        <rFont val="Consolas"/>
        <family val="3"/>
      </rPr>
      <t>'業務開始日'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</si>
  <si>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business_end_date </t>
    </r>
    <r>
      <rPr>
        <b/>
        <sz val="10"/>
        <color rgb="FF0080FF"/>
        <rFont val="Consolas"/>
        <family val="3"/>
      </rPr>
      <t>IS</t>
    </r>
    <r>
      <rPr>
        <b/>
        <sz val="10"/>
        <color theme="1"/>
        <rFont val="Consolas"/>
        <family val="3"/>
      </rPr>
      <t xml:space="preserve"> </t>
    </r>
    <r>
      <rPr>
        <b/>
        <sz val="10"/>
        <color rgb="FFFF2800"/>
        <rFont val="Consolas"/>
        <family val="3"/>
      </rPr>
      <t>'業務終了日'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</si>
  <si>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registered_business_department_code </t>
    </r>
    <r>
      <rPr>
        <b/>
        <sz val="10"/>
        <color rgb="FF0080FF"/>
        <rFont val="Consolas"/>
        <family val="3"/>
      </rPr>
      <t>IS</t>
    </r>
    <r>
      <rPr>
        <b/>
        <sz val="10"/>
        <color theme="1"/>
        <rFont val="Consolas"/>
        <family val="3"/>
      </rPr>
      <t xml:space="preserve"> </t>
    </r>
    <r>
      <rPr>
        <b/>
        <sz val="10"/>
        <color rgb="FFFF2800"/>
        <rFont val="Consolas"/>
        <family val="3"/>
      </rPr>
      <t>'登録業務部門コード'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</si>
  <si>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organization_id__right_1_digit_ </t>
    </r>
    <r>
      <rPr>
        <b/>
        <sz val="10"/>
        <color rgb="FF0080FF"/>
        <rFont val="Consolas"/>
        <family val="3"/>
      </rPr>
      <t>IS</t>
    </r>
    <r>
      <rPr>
        <b/>
        <sz val="10"/>
        <color theme="1"/>
        <rFont val="Consolas"/>
        <family val="3"/>
      </rPr>
      <t xml:space="preserve"> </t>
    </r>
    <r>
      <rPr>
        <b/>
        <sz val="10"/>
        <color rgb="FFFF2800"/>
        <rFont val="Consolas"/>
        <family val="3"/>
      </rPr>
      <t>'組織id右1桁'</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</si>
  <si>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organization_name </t>
    </r>
    <r>
      <rPr>
        <b/>
        <sz val="10"/>
        <color rgb="FF0080FF"/>
        <rFont val="Consolas"/>
        <family val="3"/>
      </rPr>
      <t>IS</t>
    </r>
    <r>
      <rPr>
        <b/>
        <sz val="10"/>
        <color theme="1"/>
        <rFont val="Consolas"/>
        <family val="3"/>
      </rPr>
      <t xml:space="preserve"> </t>
    </r>
    <r>
      <rPr>
        <b/>
        <sz val="10"/>
        <color rgb="FFFF2800"/>
        <rFont val="Consolas"/>
        <family val="3"/>
      </rPr>
      <t>'組織名称'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</si>
  <si>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hierarchy </t>
    </r>
    <r>
      <rPr>
        <b/>
        <sz val="10"/>
        <color rgb="FF0080FF"/>
        <rFont val="Consolas"/>
        <family val="3"/>
      </rPr>
      <t>IS</t>
    </r>
    <r>
      <rPr>
        <b/>
        <sz val="10"/>
        <color theme="1"/>
        <rFont val="Consolas"/>
        <family val="3"/>
      </rPr>
      <t xml:space="preserve"> </t>
    </r>
    <r>
      <rPr>
        <b/>
        <sz val="10"/>
        <color rgb="FFFF2800"/>
        <rFont val="Consolas"/>
        <family val="3"/>
      </rPr>
      <t>'階層'</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</si>
  <si>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supervisor_organization_code </t>
    </r>
    <r>
      <rPr>
        <b/>
        <sz val="10"/>
        <color rgb="FF0080FF"/>
        <rFont val="Consolas"/>
        <family val="3"/>
      </rPr>
      <t>IS</t>
    </r>
    <r>
      <rPr>
        <b/>
        <sz val="10"/>
        <color theme="1"/>
        <rFont val="Consolas"/>
        <family val="3"/>
      </rPr>
      <t xml:space="preserve"> </t>
    </r>
    <r>
      <rPr>
        <b/>
        <sz val="10"/>
        <color rgb="FFFF2800"/>
        <rFont val="Consolas"/>
        <family val="3"/>
      </rPr>
      <t>'上位組織コード'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</si>
  <si>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supervisor_organization_code__right_1_digit_ </t>
    </r>
    <r>
      <rPr>
        <b/>
        <sz val="10"/>
        <color rgb="FF0080FF"/>
        <rFont val="Consolas"/>
        <family val="3"/>
      </rPr>
      <t>IS</t>
    </r>
    <r>
      <rPr>
        <b/>
        <sz val="10"/>
        <color theme="1"/>
        <rFont val="Consolas"/>
        <family val="3"/>
      </rPr>
      <t xml:space="preserve"> </t>
    </r>
    <r>
      <rPr>
        <b/>
        <sz val="10"/>
        <color rgb="FFFF2800"/>
        <rFont val="Consolas"/>
        <family val="3"/>
      </rPr>
      <t>'上位組織コード右1桁'</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</si>
  <si>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manager_employee_number </t>
    </r>
    <r>
      <rPr>
        <b/>
        <sz val="10"/>
        <color rgb="FF0080FF"/>
        <rFont val="Consolas"/>
        <family val="3"/>
      </rPr>
      <t>IS</t>
    </r>
    <r>
      <rPr>
        <b/>
        <sz val="10"/>
        <color theme="1"/>
        <rFont val="Consolas"/>
        <family val="3"/>
      </rPr>
      <t xml:space="preserve"> </t>
    </r>
    <r>
      <rPr>
        <b/>
        <sz val="10"/>
        <color rgb="FFFF2800"/>
        <rFont val="Consolas"/>
        <family val="3"/>
      </rPr>
      <t>'管理者従業員番号'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</si>
  <si>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approval_form_number </t>
    </r>
    <r>
      <rPr>
        <b/>
        <sz val="10"/>
        <color rgb="FF0080FF"/>
        <rFont val="Consolas"/>
        <family val="3"/>
      </rPr>
      <t>IS</t>
    </r>
    <r>
      <rPr>
        <b/>
        <sz val="10"/>
        <color theme="1"/>
        <rFont val="Consolas"/>
        <family val="3"/>
      </rPr>
      <t xml:space="preserve"> </t>
    </r>
    <r>
      <rPr>
        <b/>
        <sz val="10"/>
        <color rgb="FFFF2800"/>
        <rFont val="Consolas"/>
        <family val="3"/>
      </rPr>
      <t>'決裁書番号'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</si>
  <si>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application_form_original_collection_notification </t>
    </r>
    <r>
      <rPr>
        <b/>
        <sz val="10"/>
        <color rgb="FF0080FF"/>
        <rFont val="Consolas"/>
        <family val="3"/>
      </rPr>
      <t>IS</t>
    </r>
    <r>
      <rPr>
        <b/>
        <sz val="10"/>
        <color theme="1"/>
        <rFont val="Consolas"/>
        <family val="3"/>
      </rPr>
      <t xml:space="preserve"> </t>
    </r>
    <r>
      <rPr>
        <b/>
        <sz val="10"/>
        <color rgb="FFFF2800"/>
        <rFont val="Consolas"/>
        <family val="3"/>
      </rPr>
      <t>'申込書原本回収通知'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</si>
  <si>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application_form_original_collection_notification_nm </t>
    </r>
    <r>
      <rPr>
        <b/>
        <sz val="10"/>
        <color rgb="FF0080FF"/>
        <rFont val="Consolas"/>
        <family val="3"/>
      </rPr>
      <t>IS</t>
    </r>
    <r>
      <rPr>
        <b/>
        <sz val="10"/>
        <color theme="1"/>
        <rFont val="Consolas"/>
        <family val="3"/>
      </rPr>
      <t xml:space="preserve"> </t>
    </r>
    <r>
      <rPr>
        <b/>
        <sz val="10"/>
        <color rgb="FFFF2800"/>
        <rFont val="Consolas"/>
        <family val="3"/>
      </rPr>
      <t>'申込書原本回収通知nm'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</si>
  <si>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application_form_original_not_collected_lst </t>
    </r>
    <r>
      <rPr>
        <b/>
        <sz val="10"/>
        <color rgb="FF0080FF"/>
        <rFont val="Consolas"/>
        <family val="3"/>
      </rPr>
      <t>IS</t>
    </r>
    <r>
      <rPr>
        <b/>
        <sz val="10"/>
        <color theme="1"/>
        <rFont val="Consolas"/>
        <family val="3"/>
      </rPr>
      <t xml:space="preserve"> </t>
    </r>
    <r>
      <rPr>
        <b/>
        <sz val="10"/>
        <color rgb="FFFF2800"/>
        <rFont val="Consolas"/>
        <family val="3"/>
      </rPr>
      <t>'申込書原本未回収lst'</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</si>
  <si>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application_form_original_not_collected_lst_nm </t>
    </r>
    <r>
      <rPr>
        <b/>
        <sz val="10"/>
        <color rgb="FF0080FF"/>
        <rFont val="Consolas"/>
        <family val="3"/>
      </rPr>
      <t>IS</t>
    </r>
    <r>
      <rPr>
        <b/>
        <sz val="10"/>
        <color theme="1"/>
        <rFont val="Consolas"/>
        <family val="3"/>
      </rPr>
      <t xml:space="preserve"> </t>
    </r>
    <r>
      <rPr>
        <b/>
        <sz val="10"/>
        <color rgb="FFFF2800"/>
        <rFont val="Consolas"/>
        <family val="3"/>
      </rPr>
      <t>'申込書原本未回収lst_nm'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</si>
  <si>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application_form_original_return_address </t>
    </r>
    <r>
      <rPr>
        <b/>
        <sz val="10"/>
        <color rgb="FF0080FF"/>
        <rFont val="Consolas"/>
        <family val="3"/>
      </rPr>
      <t>IS</t>
    </r>
    <r>
      <rPr>
        <b/>
        <sz val="10"/>
        <color theme="1"/>
        <rFont val="Consolas"/>
        <family val="3"/>
      </rPr>
      <t xml:space="preserve"> </t>
    </r>
    <r>
      <rPr>
        <b/>
        <sz val="10"/>
        <color rgb="FFFF2800"/>
        <rFont val="Consolas"/>
        <family val="3"/>
      </rPr>
      <t>'申込書原本返却先'</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</si>
  <si>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application_form_original_return_address_nm </t>
    </r>
    <r>
      <rPr>
        <b/>
        <sz val="10"/>
        <color rgb="FF0080FF"/>
        <rFont val="Consolas"/>
        <family val="3"/>
      </rPr>
      <t>IS</t>
    </r>
    <r>
      <rPr>
        <b/>
        <sz val="10"/>
        <color theme="1"/>
        <rFont val="Consolas"/>
        <family val="3"/>
      </rPr>
      <t xml:space="preserve"> </t>
    </r>
    <r>
      <rPr>
        <b/>
        <sz val="10"/>
        <color rgb="FFFF2800"/>
        <rFont val="Consolas"/>
        <family val="3"/>
      </rPr>
      <t>'申込書原本返却先nm'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</si>
  <si>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store_performance_report_sending_address </t>
    </r>
    <r>
      <rPr>
        <b/>
        <sz val="10"/>
        <color rgb="FF0080FF"/>
        <rFont val="Consolas"/>
        <family val="3"/>
      </rPr>
      <t>IS</t>
    </r>
    <r>
      <rPr>
        <b/>
        <sz val="10"/>
        <color theme="1"/>
        <rFont val="Consolas"/>
        <family val="3"/>
      </rPr>
      <t xml:space="preserve"> </t>
    </r>
    <r>
      <rPr>
        <b/>
        <sz val="10"/>
        <color rgb="FFFF2800"/>
        <rFont val="Consolas"/>
        <family val="3"/>
      </rPr>
      <t>'店舗実績報告送付先'</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</si>
  <si>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store_performance_report_sending_address_nm </t>
    </r>
    <r>
      <rPr>
        <b/>
        <sz val="10"/>
        <color rgb="FF0080FF"/>
        <rFont val="Consolas"/>
        <family val="3"/>
      </rPr>
      <t>IS</t>
    </r>
    <r>
      <rPr>
        <b/>
        <sz val="10"/>
        <color theme="1"/>
        <rFont val="Consolas"/>
        <family val="3"/>
      </rPr>
      <t xml:space="preserve"> </t>
    </r>
    <r>
      <rPr>
        <b/>
        <sz val="10"/>
        <color rgb="FFFF2800"/>
        <rFont val="Consolas"/>
        <family val="3"/>
      </rPr>
      <t>'店舗実績報告送付先nm'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</si>
  <si>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ginie_permission_code </t>
    </r>
    <r>
      <rPr>
        <b/>
        <sz val="10"/>
        <color rgb="FF0080FF"/>
        <rFont val="Consolas"/>
        <family val="3"/>
      </rPr>
      <t>IS</t>
    </r>
    <r>
      <rPr>
        <b/>
        <sz val="10"/>
        <color theme="1"/>
        <rFont val="Consolas"/>
        <family val="3"/>
      </rPr>
      <t xml:space="preserve"> </t>
    </r>
    <r>
      <rPr>
        <b/>
        <sz val="10"/>
        <color rgb="FFFF2800"/>
        <rFont val="Consolas"/>
        <family val="3"/>
      </rPr>
      <t>'ginie権限コード'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</si>
  <si>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ginie_permission_code_nm </t>
    </r>
    <r>
      <rPr>
        <b/>
        <sz val="10"/>
        <color rgb="FF0080FF"/>
        <rFont val="Consolas"/>
        <family val="3"/>
      </rPr>
      <t>IS</t>
    </r>
    <r>
      <rPr>
        <b/>
        <sz val="10"/>
        <color theme="1"/>
        <rFont val="Consolas"/>
        <family val="3"/>
      </rPr>
      <t xml:space="preserve"> </t>
    </r>
    <r>
      <rPr>
        <b/>
        <sz val="10"/>
        <color rgb="FFFF2800"/>
        <rFont val="Consolas"/>
        <family val="3"/>
      </rPr>
      <t>'ginie権限コードnm'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</si>
  <si>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operation_permission </t>
    </r>
    <r>
      <rPr>
        <b/>
        <sz val="10"/>
        <color rgb="FF0080FF"/>
        <rFont val="Consolas"/>
        <family val="3"/>
      </rPr>
      <t>IS</t>
    </r>
    <r>
      <rPr>
        <b/>
        <sz val="10"/>
        <color theme="1"/>
        <rFont val="Consolas"/>
        <family val="3"/>
      </rPr>
      <t xml:space="preserve"> </t>
    </r>
    <r>
      <rPr>
        <b/>
        <sz val="10"/>
        <color rgb="FFFF2800"/>
        <rFont val="Consolas"/>
        <family val="3"/>
      </rPr>
      <t>'操作権限'</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</si>
  <si>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operation_permission_official_name </t>
    </r>
    <r>
      <rPr>
        <b/>
        <sz val="10"/>
        <color rgb="FF0080FF"/>
        <rFont val="Consolas"/>
        <family val="3"/>
      </rPr>
      <t>IS</t>
    </r>
    <r>
      <rPr>
        <b/>
        <sz val="10"/>
        <color theme="1"/>
        <rFont val="Consolas"/>
        <family val="3"/>
      </rPr>
      <t xml:space="preserve"> </t>
    </r>
    <r>
      <rPr>
        <b/>
        <sz val="10"/>
        <color rgb="FFFF2800"/>
        <rFont val="Consolas"/>
        <family val="3"/>
      </rPr>
      <t>'操作権限正式名称'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</si>
  <si>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commission_calculation_category </t>
    </r>
    <r>
      <rPr>
        <b/>
        <sz val="10"/>
        <color rgb="FF0080FF"/>
        <rFont val="Consolas"/>
        <family val="3"/>
      </rPr>
      <t>IS</t>
    </r>
    <r>
      <rPr>
        <b/>
        <sz val="10"/>
        <color theme="1"/>
        <rFont val="Consolas"/>
        <family val="3"/>
      </rPr>
      <t xml:space="preserve"> </t>
    </r>
    <r>
      <rPr>
        <b/>
        <sz val="10"/>
        <color rgb="FFFF2800"/>
        <rFont val="Consolas"/>
        <family val="3"/>
      </rPr>
      <t>'手数料計算区分'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</si>
  <si>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commission_calculation_category_nm </t>
    </r>
    <r>
      <rPr>
        <b/>
        <sz val="10"/>
        <color rgb="FF0080FF"/>
        <rFont val="Consolas"/>
        <family val="3"/>
      </rPr>
      <t>IS</t>
    </r>
    <r>
      <rPr>
        <b/>
        <sz val="10"/>
        <color theme="1"/>
        <rFont val="Consolas"/>
        <family val="3"/>
      </rPr>
      <t xml:space="preserve"> </t>
    </r>
    <r>
      <rPr>
        <b/>
        <sz val="10"/>
        <color rgb="FFFF2800"/>
        <rFont val="Consolas"/>
        <family val="3"/>
      </rPr>
      <t>'手数料計算区分nm'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</si>
  <si>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commission_calculation_end_date </t>
    </r>
    <r>
      <rPr>
        <b/>
        <sz val="10"/>
        <color rgb="FF0080FF"/>
        <rFont val="Consolas"/>
        <family val="3"/>
      </rPr>
      <t>IS</t>
    </r>
    <r>
      <rPr>
        <b/>
        <sz val="10"/>
        <color theme="1"/>
        <rFont val="Consolas"/>
        <family val="3"/>
      </rPr>
      <t xml:space="preserve"> </t>
    </r>
    <r>
      <rPr>
        <b/>
        <sz val="10"/>
        <color rgb="FFFF2800"/>
        <rFont val="Consolas"/>
        <family val="3"/>
      </rPr>
      <t>'手数料計算終了日'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</si>
  <si>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corporate_dealer_type </t>
    </r>
    <r>
      <rPr>
        <b/>
        <sz val="10"/>
        <color rgb="FF0080FF"/>
        <rFont val="Consolas"/>
        <family val="3"/>
      </rPr>
      <t>IS</t>
    </r>
    <r>
      <rPr>
        <b/>
        <sz val="10"/>
        <color theme="1"/>
        <rFont val="Consolas"/>
        <family val="3"/>
      </rPr>
      <t xml:space="preserve"> </t>
    </r>
    <r>
      <rPr>
        <b/>
        <sz val="10"/>
        <color rgb="FFFF2800"/>
        <rFont val="Consolas"/>
        <family val="3"/>
      </rPr>
      <t>'法人取扱店タイプ'</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</si>
  <si>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corporate_dealer_type_nm </t>
    </r>
    <r>
      <rPr>
        <b/>
        <sz val="10"/>
        <color rgb="FF0080FF"/>
        <rFont val="Consolas"/>
        <family val="3"/>
      </rPr>
      <t>IS</t>
    </r>
    <r>
      <rPr>
        <b/>
        <sz val="10"/>
        <color theme="1"/>
        <rFont val="Consolas"/>
        <family val="3"/>
      </rPr>
      <t xml:space="preserve"> </t>
    </r>
    <r>
      <rPr>
        <b/>
        <sz val="10"/>
        <color rgb="FFFF2800"/>
        <rFont val="Consolas"/>
        <family val="3"/>
      </rPr>
      <t>'法人取扱店タイプnm'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</si>
  <si>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service_fee_payment_ptn </t>
    </r>
    <r>
      <rPr>
        <b/>
        <sz val="10"/>
        <color rgb="FF0080FF"/>
        <rFont val="Consolas"/>
        <family val="3"/>
      </rPr>
      <t>IS</t>
    </r>
    <r>
      <rPr>
        <b/>
        <sz val="10"/>
        <color theme="1"/>
        <rFont val="Consolas"/>
        <family val="3"/>
      </rPr>
      <t xml:space="preserve"> </t>
    </r>
    <r>
      <rPr>
        <b/>
        <sz val="10"/>
        <color rgb="FFFF2800"/>
        <rFont val="Consolas"/>
        <family val="3"/>
      </rPr>
      <t>'業務手数料支払ptn'</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</si>
  <si>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service_fee_payment_ptn_nm </t>
    </r>
    <r>
      <rPr>
        <b/>
        <sz val="10"/>
        <color rgb="FF0080FF"/>
        <rFont val="Consolas"/>
        <family val="3"/>
      </rPr>
      <t>IS</t>
    </r>
    <r>
      <rPr>
        <b/>
        <sz val="10"/>
        <color theme="1"/>
        <rFont val="Consolas"/>
        <family val="3"/>
      </rPr>
      <t xml:space="preserve"> </t>
    </r>
    <r>
      <rPr>
        <b/>
        <sz val="10"/>
        <color rgb="FFFF2800"/>
        <rFont val="Consolas"/>
        <family val="3"/>
      </rPr>
      <t>'業務手数料支払ptn_nm'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</si>
  <si>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maintenance_agency_category </t>
    </r>
    <r>
      <rPr>
        <b/>
        <sz val="10"/>
        <color rgb="FF0080FF"/>
        <rFont val="Consolas"/>
        <family val="3"/>
      </rPr>
      <t>IS</t>
    </r>
    <r>
      <rPr>
        <b/>
        <sz val="10"/>
        <color theme="1"/>
        <rFont val="Consolas"/>
        <family val="3"/>
      </rPr>
      <t xml:space="preserve"> </t>
    </r>
    <r>
      <rPr>
        <b/>
        <sz val="10"/>
        <color rgb="FFFF2800"/>
        <rFont val="Consolas"/>
        <family val="3"/>
      </rPr>
      <t>'保守代理店区分'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</si>
  <si>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maintenance_agency_category_nm </t>
    </r>
    <r>
      <rPr>
        <b/>
        <sz val="10"/>
        <color rgb="FF0080FF"/>
        <rFont val="Consolas"/>
        <family val="3"/>
      </rPr>
      <t>IS</t>
    </r>
    <r>
      <rPr>
        <b/>
        <sz val="10"/>
        <color theme="1"/>
        <rFont val="Consolas"/>
        <family val="3"/>
      </rPr>
      <t xml:space="preserve"> </t>
    </r>
    <r>
      <rPr>
        <b/>
        <sz val="10"/>
        <color rgb="FFFF2800"/>
        <rFont val="Consolas"/>
        <family val="3"/>
      </rPr>
      <t>'保守代理店区分nm'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</si>
  <si>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not_eligible_for_recurring_fee_kbn </t>
    </r>
    <r>
      <rPr>
        <b/>
        <sz val="10"/>
        <color rgb="FF0080FF"/>
        <rFont val="Consolas"/>
        <family val="3"/>
      </rPr>
      <t>IS</t>
    </r>
    <r>
      <rPr>
        <b/>
        <sz val="10"/>
        <color theme="1"/>
        <rFont val="Consolas"/>
        <family val="3"/>
      </rPr>
      <t xml:space="preserve"> </t>
    </r>
    <r>
      <rPr>
        <b/>
        <sz val="10"/>
        <color rgb="FFFF2800"/>
        <rFont val="Consolas"/>
        <family val="3"/>
      </rPr>
      <t>'継続手数料対象外kbn'</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</si>
  <si>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not_eligible_for_recurring_fee_kbn_nm </t>
    </r>
    <r>
      <rPr>
        <b/>
        <sz val="10"/>
        <color rgb="FF0080FF"/>
        <rFont val="Consolas"/>
        <family val="3"/>
      </rPr>
      <t>IS</t>
    </r>
    <r>
      <rPr>
        <b/>
        <sz val="10"/>
        <color theme="1"/>
        <rFont val="Consolas"/>
        <family val="3"/>
      </rPr>
      <t xml:space="preserve"> </t>
    </r>
    <r>
      <rPr>
        <b/>
        <sz val="10"/>
        <color rgb="FFFF2800"/>
        <rFont val="Consolas"/>
        <family val="3"/>
      </rPr>
      <t>'継続手数料対象外kbn_nm'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</si>
  <si>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shop_outsourcing_dt </t>
    </r>
    <r>
      <rPr>
        <b/>
        <sz val="10"/>
        <color rgb="FF0080FF"/>
        <rFont val="Consolas"/>
        <family val="3"/>
      </rPr>
      <t>IS</t>
    </r>
    <r>
      <rPr>
        <b/>
        <sz val="10"/>
        <color theme="1"/>
        <rFont val="Consolas"/>
        <family val="3"/>
      </rPr>
      <t xml:space="preserve"> </t>
    </r>
    <r>
      <rPr>
        <b/>
        <sz val="10"/>
        <color rgb="FFFF2800"/>
        <rFont val="Consolas"/>
        <family val="3"/>
      </rPr>
      <t>'ショップ業務委託dt'</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</si>
  <si>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order_start_date </t>
    </r>
    <r>
      <rPr>
        <b/>
        <sz val="10"/>
        <color rgb="FF0080FF"/>
        <rFont val="Consolas"/>
        <family val="3"/>
      </rPr>
      <t>IS</t>
    </r>
    <r>
      <rPr>
        <b/>
        <sz val="10"/>
        <color theme="1"/>
        <rFont val="Consolas"/>
        <family val="3"/>
      </rPr>
      <t xml:space="preserve"> </t>
    </r>
    <r>
      <rPr>
        <b/>
        <sz val="10"/>
        <color rgb="FFFF2800"/>
        <rFont val="Consolas"/>
        <family val="3"/>
      </rPr>
      <t>'受注開始日'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</si>
  <si>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order_stop_date </t>
    </r>
    <r>
      <rPr>
        <b/>
        <sz val="10"/>
        <color rgb="FF0080FF"/>
        <rFont val="Consolas"/>
        <family val="3"/>
      </rPr>
      <t>IS</t>
    </r>
    <r>
      <rPr>
        <b/>
        <sz val="10"/>
        <color theme="1"/>
        <rFont val="Consolas"/>
        <family val="3"/>
      </rPr>
      <t xml:space="preserve"> </t>
    </r>
    <r>
      <rPr>
        <b/>
        <sz val="10"/>
        <color rgb="FFFF2800"/>
        <rFont val="Consolas"/>
        <family val="3"/>
      </rPr>
      <t>'受注停止日'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</si>
  <si>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partial_delivery_category </t>
    </r>
    <r>
      <rPr>
        <b/>
        <sz val="10"/>
        <color rgb="FF0080FF"/>
        <rFont val="Consolas"/>
        <family val="3"/>
      </rPr>
      <t>IS</t>
    </r>
    <r>
      <rPr>
        <b/>
        <sz val="10"/>
        <color theme="1"/>
        <rFont val="Consolas"/>
        <family val="3"/>
      </rPr>
      <t xml:space="preserve"> </t>
    </r>
    <r>
      <rPr>
        <b/>
        <sz val="10"/>
        <color rgb="FFFF2800"/>
        <rFont val="Consolas"/>
        <family val="3"/>
      </rPr>
      <t>'分割納入区分'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</si>
  <si>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partial_delivery_category__official_name_ </t>
    </r>
    <r>
      <rPr>
        <b/>
        <sz val="10"/>
        <color rgb="FF0080FF"/>
        <rFont val="Consolas"/>
        <family val="3"/>
      </rPr>
      <t>IS</t>
    </r>
    <r>
      <rPr>
        <b/>
        <sz val="10"/>
        <color theme="1"/>
        <rFont val="Consolas"/>
        <family val="3"/>
      </rPr>
      <t xml:space="preserve"> </t>
    </r>
    <r>
      <rPr>
        <b/>
        <sz val="10"/>
        <color rgb="FFFF2800"/>
        <rFont val="Consolas"/>
        <family val="3"/>
      </rPr>
      <t>'分割納入区分正式名称'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</si>
  <si>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performance_management_category </t>
    </r>
    <r>
      <rPr>
        <b/>
        <sz val="10"/>
        <color rgb="FF0080FF"/>
        <rFont val="Consolas"/>
        <family val="3"/>
      </rPr>
      <t>IS</t>
    </r>
    <r>
      <rPr>
        <b/>
        <sz val="10"/>
        <color theme="1"/>
        <rFont val="Consolas"/>
        <family val="3"/>
      </rPr>
      <t xml:space="preserve"> </t>
    </r>
    <r>
      <rPr>
        <b/>
        <sz val="10"/>
        <color rgb="FFFF2800"/>
        <rFont val="Consolas"/>
        <family val="3"/>
      </rPr>
      <t>'実績管理区分'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</si>
  <si>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performance_management_category__official_name_ </t>
    </r>
    <r>
      <rPr>
        <b/>
        <sz val="10"/>
        <color rgb="FF0080FF"/>
        <rFont val="Consolas"/>
        <family val="3"/>
      </rPr>
      <t>IS</t>
    </r>
    <r>
      <rPr>
        <b/>
        <sz val="10"/>
        <color theme="1"/>
        <rFont val="Consolas"/>
        <family val="3"/>
      </rPr>
      <t xml:space="preserve"> </t>
    </r>
    <r>
      <rPr>
        <b/>
        <sz val="10"/>
        <color rgb="FFFF2800"/>
        <rFont val="Consolas"/>
        <family val="3"/>
      </rPr>
      <t>'実績管理区分正式名称'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</si>
  <si>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goal_management_category </t>
    </r>
    <r>
      <rPr>
        <b/>
        <sz val="10"/>
        <color rgb="FF0080FF"/>
        <rFont val="Consolas"/>
        <family val="3"/>
      </rPr>
      <t>IS</t>
    </r>
    <r>
      <rPr>
        <b/>
        <sz val="10"/>
        <color theme="1"/>
        <rFont val="Consolas"/>
        <family val="3"/>
      </rPr>
      <t xml:space="preserve"> </t>
    </r>
    <r>
      <rPr>
        <b/>
        <sz val="10"/>
        <color rgb="FFFF2800"/>
        <rFont val="Consolas"/>
        <family val="3"/>
      </rPr>
      <t>'目標管理区分'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</si>
  <si>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goal_management_category__official_name_ </t>
    </r>
    <r>
      <rPr>
        <b/>
        <sz val="10"/>
        <color rgb="FF0080FF"/>
        <rFont val="Consolas"/>
        <family val="3"/>
      </rPr>
      <t>IS</t>
    </r>
    <r>
      <rPr>
        <b/>
        <sz val="10"/>
        <color theme="1"/>
        <rFont val="Consolas"/>
        <family val="3"/>
      </rPr>
      <t xml:space="preserve"> </t>
    </r>
    <r>
      <rPr>
        <b/>
        <sz val="10"/>
        <color rgb="FFFF2800"/>
        <rFont val="Consolas"/>
        <family val="3"/>
      </rPr>
      <t>'目標管理区分正式名称'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</si>
  <si>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statistical_shop_category </t>
    </r>
    <r>
      <rPr>
        <b/>
        <sz val="10"/>
        <color rgb="FF0080FF"/>
        <rFont val="Consolas"/>
        <family val="3"/>
      </rPr>
      <t>IS</t>
    </r>
    <r>
      <rPr>
        <b/>
        <sz val="10"/>
        <color theme="1"/>
        <rFont val="Consolas"/>
        <family val="3"/>
      </rPr>
      <t xml:space="preserve"> </t>
    </r>
    <r>
      <rPr>
        <b/>
        <sz val="10"/>
        <color rgb="FFFF2800"/>
        <rFont val="Consolas"/>
        <family val="3"/>
      </rPr>
      <t>'統計用ショップ区分'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</si>
  <si>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statistical_shop_category_nm </t>
    </r>
    <r>
      <rPr>
        <b/>
        <sz val="10"/>
        <color rgb="FF0080FF"/>
        <rFont val="Consolas"/>
        <family val="3"/>
      </rPr>
      <t>IS</t>
    </r>
    <r>
      <rPr>
        <b/>
        <sz val="10"/>
        <color theme="1"/>
        <rFont val="Consolas"/>
        <family val="3"/>
      </rPr>
      <t xml:space="preserve"> </t>
    </r>
    <r>
      <rPr>
        <b/>
        <sz val="10"/>
        <color rgb="FFFF2800"/>
        <rFont val="Consolas"/>
        <family val="3"/>
      </rPr>
      <t>'統計用ショップ区分nm'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</si>
  <si>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route_code </t>
    </r>
    <r>
      <rPr>
        <b/>
        <sz val="10"/>
        <color rgb="FF0080FF"/>
        <rFont val="Consolas"/>
        <family val="3"/>
      </rPr>
      <t>IS</t>
    </r>
    <r>
      <rPr>
        <b/>
        <sz val="10"/>
        <color theme="1"/>
        <rFont val="Consolas"/>
        <family val="3"/>
      </rPr>
      <t xml:space="preserve"> </t>
    </r>
    <r>
      <rPr>
        <b/>
        <sz val="10"/>
        <color rgb="FFFF2800"/>
        <rFont val="Consolas"/>
        <family val="3"/>
      </rPr>
      <t>'ルートコード'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</si>
  <si>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route_code__official_name_ </t>
    </r>
    <r>
      <rPr>
        <b/>
        <sz val="10"/>
        <color rgb="FF0080FF"/>
        <rFont val="Consolas"/>
        <family val="3"/>
      </rPr>
      <t>IS</t>
    </r>
    <r>
      <rPr>
        <b/>
        <sz val="10"/>
        <color theme="1"/>
        <rFont val="Consolas"/>
        <family val="3"/>
      </rPr>
      <t xml:space="preserve"> </t>
    </r>
    <r>
      <rPr>
        <b/>
        <sz val="10"/>
        <color rgb="FFFF2800"/>
        <rFont val="Consolas"/>
        <family val="3"/>
      </rPr>
      <t>'ルートコード正式名称'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</si>
  <si>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performance_computing_department_code </t>
    </r>
    <r>
      <rPr>
        <b/>
        <sz val="10"/>
        <color rgb="FF0080FF"/>
        <rFont val="Consolas"/>
        <family val="3"/>
      </rPr>
      <t>IS</t>
    </r>
    <r>
      <rPr>
        <b/>
        <sz val="10"/>
        <color theme="1"/>
        <rFont val="Consolas"/>
        <family val="3"/>
      </rPr>
      <t xml:space="preserve"> </t>
    </r>
    <r>
      <rPr>
        <b/>
        <sz val="10"/>
        <color rgb="FFFF2800"/>
        <rFont val="Consolas"/>
        <family val="3"/>
      </rPr>
      <t>'実績集計部門コード'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</si>
  <si>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performance_computing_department_code_nm </t>
    </r>
    <r>
      <rPr>
        <b/>
        <sz val="10"/>
        <color rgb="FF0080FF"/>
        <rFont val="Consolas"/>
        <family val="3"/>
      </rPr>
      <t>IS</t>
    </r>
    <r>
      <rPr>
        <b/>
        <sz val="10"/>
        <color theme="1"/>
        <rFont val="Consolas"/>
        <family val="3"/>
      </rPr>
      <t xml:space="preserve"> </t>
    </r>
    <r>
      <rPr>
        <b/>
        <sz val="10"/>
        <color rgb="FFFF2800"/>
        <rFont val="Consolas"/>
        <family val="3"/>
      </rPr>
      <t>'実績集計部門コードnm'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</si>
  <si>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performance_computing_staff_code </t>
    </r>
    <r>
      <rPr>
        <b/>
        <sz val="10"/>
        <color rgb="FF0080FF"/>
        <rFont val="Consolas"/>
        <family val="3"/>
      </rPr>
      <t>IS</t>
    </r>
    <r>
      <rPr>
        <b/>
        <sz val="10"/>
        <color theme="1"/>
        <rFont val="Consolas"/>
        <family val="3"/>
      </rPr>
      <t xml:space="preserve"> </t>
    </r>
    <r>
      <rPr>
        <b/>
        <sz val="10"/>
        <color rgb="FFFF2800"/>
        <rFont val="Consolas"/>
        <family val="3"/>
      </rPr>
      <t>'実績集計担当者コード'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</si>
  <si>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performance_computing_channel_cd </t>
    </r>
    <r>
      <rPr>
        <b/>
        <sz val="10"/>
        <color rgb="FF0080FF"/>
        <rFont val="Consolas"/>
        <family val="3"/>
      </rPr>
      <t>IS</t>
    </r>
    <r>
      <rPr>
        <b/>
        <sz val="10"/>
        <color theme="1"/>
        <rFont val="Consolas"/>
        <family val="3"/>
      </rPr>
      <t xml:space="preserve"> </t>
    </r>
    <r>
      <rPr>
        <b/>
        <sz val="10"/>
        <color rgb="FFFF2800"/>
        <rFont val="Consolas"/>
        <family val="3"/>
      </rPr>
      <t>'実績集計用channel_cd'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</si>
  <si>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performance_computing_channel_l_cd_nm </t>
    </r>
    <r>
      <rPr>
        <b/>
        <sz val="10"/>
        <color rgb="FF0080FF"/>
        <rFont val="Consolas"/>
        <family val="3"/>
      </rPr>
      <t>IS</t>
    </r>
    <r>
      <rPr>
        <b/>
        <sz val="10"/>
        <color theme="1"/>
        <rFont val="Consolas"/>
        <family val="3"/>
      </rPr>
      <t xml:space="preserve"> </t>
    </r>
    <r>
      <rPr>
        <b/>
        <sz val="10"/>
        <color rgb="FFFF2800"/>
        <rFont val="Consolas"/>
        <family val="3"/>
      </rPr>
      <t>'実績集計用channel_cd_nm'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</si>
  <si>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channel_code </t>
    </r>
    <r>
      <rPr>
        <b/>
        <sz val="10"/>
        <color rgb="FF0080FF"/>
        <rFont val="Consolas"/>
        <family val="3"/>
      </rPr>
      <t>IS</t>
    </r>
    <r>
      <rPr>
        <b/>
        <sz val="10"/>
        <color theme="1"/>
        <rFont val="Consolas"/>
        <family val="3"/>
      </rPr>
      <t xml:space="preserve"> </t>
    </r>
    <r>
      <rPr>
        <b/>
        <sz val="10"/>
        <color rgb="FFFF2800"/>
        <rFont val="Consolas"/>
        <family val="3"/>
      </rPr>
      <t>'チャネルコード'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</si>
  <si>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channel_code_nm </t>
    </r>
    <r>
      <rPr>
        <b/>
        <sz val="10"/>
        <color rgb="FF0080FF"/>
        <rFont val="Consolas"/>
        <family val="3"/>
      </rPr>
      <t>IS</t>
    </r>
    <r>
      <rPr>
        <b/>
        <sz val="10"/>
        <color theme="1"/>
        <rFont val="Consolas"/>
        <family val="3"/>
      </rPr>
      <t xml:space="preserve"> </t>
    </r>
    <r>
      <rPr>
        <b/>
        <sz val="10"/>
        <color rgb="FFFF2800"/>
        <rFont val="Consolas"/>
        <family val="3"/>
      </rPr>
      <t>'チャネルコードnm'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</si>
  <si>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broadcast_fax_no </t>
    </r>
    <r>
      <rPr>
        <b/>
        <sz val="10"/>
        <color rgb="FF0080FF"/>
        <rFont val="Consolas"/>
        <family val="3"/>
      </rPr>
      <t>IS</t>
    </r>
    <r>
      <rPr>
        <b/>
        <sz val="10"/>
        <color theme="1"/>
        <rFont val="Consolas"/>
        <family val="3"/>
      </rPr>
      <t xml:space="preserve"> </t>
    </r>
    <r>
      <rPr>
        <b/>
        <sz val="10"/>
        <color rgb="FFFF2800"/>
        <rFont val="Consolas"/>
        <family val="3"/>
      </rPr>
      <t>'同報fax_no'</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</si>
  <si>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sales_statistics_summary_key </t>
    </r>
    <r>
      <rPr>
        <b/>
        <sz val="10"/>
        <color rgb="FF0080FF"/>
        <rFont val="Consolas"/>
        <family val="3"/>
      </rPr>
      <t>IS</t>
    </r>
    <r>
      <rPr>
        <b/>
        <sz val="10"/>
        <color theme="1"/>
        <rFont val="Consolas"/>
        <family val="3"/>
      </rPr>
      <t xml:space="preserve"> </t>
    </r>
    <r>
      <rPr>
        <b/>
        <sz val="10"/>
        <color rgb="FFFF2800"/>
        <rFont val="Consolas"/>
        <family val="3"/>
      </rPr>
      <t>'営業統計集計キー'</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</si>
  <si>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shop_name__kana_ </t>
    </r>
    <r>
      <rPr>
        <b/>
        <sz val="10"/>
        <color rgb="FF0080FF"/>
        <rFont val="Consolas"/>
        <family val="3"/>
      </rPr>
      <t>IS</t>
    </r>
    <r>
      <rPr>
        <b/>
        <sz val="10"/>
        <color theme="1"/>
        <rFont val="Consolas"/>
        <family val="3"/>
      </rPr>
      <t xml:space="preserve"> </t>
    </r>
    <r>
      <rPr>
        <b/>
        <sz val="10"/>
        <color rgb="FFFF2800"/>
        <rFont val="Consolas"/>
        <family val="3"/>
      </rPr>
      <t>'ショップ名カナ'</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</si>
  <si>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allocation_department_code </t>
    </r>
    <r>
      <rPr>
        <b/>
        <sz val="10"/>
        <color rgb="FF0080FF"/>
        <rFont val="Consolas"/>
        <family val="3"/>
      </rPr>
      <t>IS</t>
    </r>
    <r>
      <rPr>
        <b/>
        <sz val="10"/>
        <color theme="1"/>
        <rFont val="Consolas"/>
        <family val="3"/>
      </rPr>
      <t xml:space="preserve"> </t>
    </r>
    <r>
      <rPr>
        <b/>
        <sz val="10"/>
        <color rgb="FFFF2800"/>
        <rFont val="Consolas"/>
        <family val="3"/>
      </rPr>
      <t>'割当枠部門コード'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</si>
  <si>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allocation_code </t>
    </r>
    <r>
      <rPr>
        <b/>
        <sz val="10"/>
        <color rgb="FF0080FF"/>
        <rFont val="Consolas"/>
        <family val="3"/>
      </rPr>
      <t>IS</t>
    </r>
    <r>
      <rPr>
        <b/>
        <sz val="10"/>
        <color theme="1"/>
        <rFont val="Consolas"/>
        <family val="3"/>
      </rPr>
      <t xml:space="preserve"> </t>
    </r>
    <r>
      <rPr>
        <b/>
        <sz val="10"/>
        <color rgb="FFFF2800"/>
        <rFont val="Consolas"/>
        <family val="3"/>
      </rPr>
      <t>'割当枠コード'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</si>
  <si>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allocation_official_name </t>
    </r>
    <r>
      <rPr>
        <b/>
        <sz val="10"/>
        <color rgb="FF0080FF"/>
        <rFont val="Consolas"/>
        <family val="3"/>
      </rPr>
      <t>IS</t>
    </r>
    <r>
      <rPr>
        <b/>
        <sz val="10"/>
        <color theme="1"/>
        <rFont val="Consolas"/>
        <family val="3"/>
      </rPr>
      <t xml:space="preserve"> </t>
    </r>
    <r>
      <rPr>
        <b/>
        <sz val="10"/>
        <color rgb="FFFF2800"/>
        <rFont val="Consolas"/>
        <family val="3"/>
      </rPr>
      <t>'割当枠正式名称'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</si>
  <si>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pre_business_transfer_agent_cd </t>
    </r>
    <r>
      <rPr>
        <b/>
        <sz val="10"/>
        <color rgb="FF0080FF"/>
        <rFont val="Consolas"/>
        <family val="3"/>
      </rPr>
      <t>IS</t>
    </r>
    <r>
      <rPr>
        <b/>
        <sz val="10"/>
        <color theme="1"/>
        <rFont val="Consolas"/>
        <family val="3"/>
      </rPr>
      <t xml:space="preserve"> </t>
    </r>
    <r>
      <rPr>
        <b/>
        <sz val="10"/>
        <color rgb="FFFF2800"/>
        <rFont val="Consolas"/>
        <family val="3"/>
      </rPr>
      <t>'業務引継前取次店cd'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</si>
  <si>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chkdigit_pre_business_transfer_agent_cd </t>
    </r>
    <r>
      <rPr>
        <b/>
        <sz val="10"/>
        <color rgb="FF0080FF"/>
        <rFont val="Consolas"/>
        <family val="3"/>
      </rPr>
      <t>IS</t>
    </r>
    <r>
      <rPr>
        <b/>
        <sz val="10"/>
        <color theme="1"/>
        <rFont val="Consolas"/>
        <family val="3"/>
      </rPr>
      <t xml:space="preserve"> </t>
    </r>
    <r>
      <rPr>
        <b/>
        <sz val="10"/>
        <color rgb="FFFF2800"/>
        <rFont val="Consolas"/>
        <family val="3"/>
      </rPr>
      <t>'chkdigit業務前取次店cd'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</si>
  <si>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arpu_manager_category </t>
    </r>
    <r>
      <rPr>
        <b/>
        <sz val="10"/>
        <color rgb="FF0080FF"/>
        <rFont val="Consolas"/>
        <family val="3"/>
      </rPr>
      <t>IS</t>
    </r>
    <r>
      <rPr>
        <b/>
        <sz val="10"/>
        <color theme="1"/>
        <rFont val="Consolas"/>
        <family val="3"/>
      </rPr>
      <t xml:space="preserve"> </t>
    </r>
    <r>
      <rPr>
        <b/>
        <sz val="10"/>
        <color rgb="FFFF2800"/>
        <rFont val="Consolas"/>
        <family val="3"/>
      </rPr>
      <t>'arpu責任者区分'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</si>
  <si>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arpu_headquarters </t>
    </r>
    <r>
      <rPr>
        <b/>
        <sz val="10"/>
        <color rgb="FF0080FF"/>
        <rFont val="Consolas"/>
        <family val="3"/>
      </rPr>
      <t>IS</t>
    </r>
    <r>
      <rPr>
        <b/>
        <sz val="10"/>
        <color theme="1"/>
        <rFont val="Consolas"/>
        <family val="3"/>
      </rPr>
      <t xml:space="preserve"> </t>
    </r>
    <r>
      <rPr>
        <b/>
        <sz val="10"/>
        <color rgb="FFFF2800"/>
        <rFont val="Consolas"/>
        <family val="3"/>
      </rPr>
      <t>'arpu管轄本部'</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</si>
  <si>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okinawa_category </t>
    </r>
    <r>
      <rPr>
        <b/>
        <sz val="10"/>
        <color rgb="FF0080FF"/>
        <rFont val="Consolas"/>
        <family val="3"/>
      </rPr>
      <t>IS</t>
    </r>
    <r>
      <rPr>
        <b/>
        <sz val="10"/>
        <color theme="1"/>
        <rFont val="Consolas"/>
        <family val="3"/>
      </rPr>
      <t xml:space="preserve"> </t>
    </r>
    <r>
      <rPr>
        <b/>
        <sz val="10"/>
        <color rgb="FFFF2800"/>
        <rFont val="Consolas"/>
        <family val="3"/>
      </rPr>
      <t>'沖縄区分'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</si>
  <si>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okinawa_category_official_name </t>
    </r>
    <r>
      <rPr>
        <b/>
        <sz val="10"/>
        <color rgb="FF0080FF"/>
        <rFont val="Consolas"/>
        <family val="3"/>
      </rPr>
      <t>IS</t>
    </r>
    <r>
      <rPr>
        <b/>
        <sz val="10"/>
        <color theme="1"/>
        <rFont val="Consolas"/>
        <family val="3"/>
      </rPr>
      <t xml:space="preserve"> </t>
    </r>
    <r>
      <rPr>
        <b/>
        <sz val="10"/>
        <color rgb="FFFF2800"/>
        <rFont val="Consolas"/>
        <family val="3"/>
      </rPr>
      <t>'沖縄区分正式名称'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</si>
  <si>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step_primary_distributor_code </t>
    </r>
    <r>
      <rPr>
        <b/>
        <sz val="10"/>
        <color rgb="FF0080FF"/>
        <rFont val="Consolas"/>
        <family val="3"/>
      </rPr>
      <t>IS</t>
    </r>
    <r>
      <rPr>
        <b/>
        <sz val="10"/>
        <color theme="1"/>
        <rFont val="Consolas"/>
        <family val="3"/>
      </rPr>
      <t xml:space="preserve"> </t>
    </r>
    <r>
      <rPr>
        <b/>
        <sz val="10"/>
        <color rgb="FFFF2800"/>
        <rFont val="Consolas"/>
        <family val="3"/>
      </rPr>
      <t>'step一次代理店コード'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</si>
  <si>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willcom_code </t>
    </r>
    <r>
      <rPr>
        <b/>
        <sz val="10"/>
        <color rgb="FF0080FF"/>
        <rFont val="Consolas"/>
        <family val="3"/>
      </rPr>
      <t>IS</t>
    </r>
    <r>
      <rPr>
        <b/>
        <sz val="10"/>
        <color theme="1"/>
        <rFont val="Consolas"/>
        <family val="3"/>
      </rPr>
      <t xml:space="preserve"> </t>
    </r>
    <r>
      <rPr>
        <b/>
        <sz val="10"/>
        <color rgb="FFFF2800"/>
        <rFont val="Consolas"/>
        <family val="3"/>
      </rPr>
      <t>'willcomコード'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</si>
  <si>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jenesys_primary_distributor_cd </t>
    </r>
    <r>
      <rPr>
        <b/>
        <sz val="10"/>
        <color rgb="FF0080FF"/>
        <rFont val="Consolas"/>
        <family val="3"/>
      </rPr>
      <t>IS</t>
    </r>
    <r>
      <rPr>
        <b/>
        <sz val="10"/>
        <color theme="1"/>
        <rFont val="Consolas"/>
        <family val="3"/>
      </rPr>
      <t xml:space="preserve"> </t>
    </r>
    <r>
      <rPr>
        <b/>
        <sz val="10"/>
        <color rgb="FFFF2800"/>
        <rFont val="Consolas"/>
        <family val="3"/>
      </rPr>
      <t>'jenesys一次代理店cd'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</si>
  <si>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eaccess_code </t>
    </r>
    <r>
      <rPr>
        <b/>
        <sz val="10"/>
        <color rgb="FF0080FF"/>
        <rFont val="Consolas"/>
        <family val="3"/>
      </rPr>
      <t>IS</t>
    </r>
    <r>
      <rPr>
        <b/>
        <sz val="10"/>
        <color theme="1"/>
        <rFont val="Consolas"/>
        <family val="3"/>
      </rPr>
      <t xml:space="preserve"> </t>
    </r>
    <r>
      <rPr>
        <b/>
        <sz val="10"/>
        <color rgb="FFFF2800"/>
        <rFont val="Consolas"/>
        <family val="3"/>
      </rPr>
      <t>'eaccessコード'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</si>
  <si>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billing_flag </t>
    </r>
    <r>
      <rPr>
        <b/>
        <sz val="10"/>
        <color rgb="FF0080FF"/>
        <rFont val="Consolas"/>
        <family val="3"/>
      </rPr>
      <t>IS</t>
    </r>
    <r>
      <rPr>
        <b/>
        <sz val="10"/>
        <color theme="1"/>
        <rFont val="Consolas"/>
        <family val="3"/>
      </rPr>
      <t xml:space="preserve"> </t>
    </r>
    <r>
      <rPr>
        <b/>
        <sz val="10"/>
        <color rgb="FFFF2800"/>
        <rFont val="Consolas"/>
        <family val="3"/>
      </rPr>
      <t>'請求先フラグ'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</si>
  <si>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operating_store_flag </t>
    </r>
    <r>
      <rPr>
        <b/>
        <sz val="10"/>
        <color rgb="FF0080FF"/>
        <rFont val="Consolas"/>
        <family val="3"/>
      </rPr>
      <t>IS</t>
    </r>
    <r>
      <rPr>
        <b/>
        <sz val="10"/>
        <color theme="1"/>
        <rFont val="Consolas"/>
        <family val="3"/>
      </rPr>
      <t xml:space="preserve"> </t>
    </r>
    <r>
      <rPr>
        <b/>
        <sz val="10"/>
        <color rgb="FFFF2800"/>
        <rFont val="Consolas"/>
        <family val="3"/>
      </rPr>
      <t>'運営店フラグ'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</si>
  <si>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operating_store_code </t>
    </r>
    <r>
      <rPr>
        <b/>
        <sz val="10"/>
        <color rgb="FF0080FF"/>
        <rFont val="Consolas"/>
        <family val="3"/>
      </rPr>
      <t>IS</t>
    </r>
    <r>
      <rPr>
        <b/>
        <sz val="10"/>
        <color theme="1"/>
        <rFont val="Consolas"/>
        <family val="3"/>
      </rPr>
      <t xml:space="preserve"> </t>
    </r>
    <r>
      <rPr>
        <b/>
        <sz val="10"/>
        <color rgb="FFFF2800"/>
        <rFont val="Consolas"/>
        <family val="3"/>
      </rPr>
      <t>'運営店コード'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</si>
  <si>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chkdigit_operating_store_cd </t>
    </r>
    <r>
      <rPr>
        <b/>
        <sz val="10"/>
        <color rgb="FF0080FF"/>
        <rFont val="Consolas"/>
        <family val="3"/>
      </rPr>
      <t>IS</t>
    </r>
    <r>
      <rPr>
        <b/>
        <sz val="10"/>
        <color theme="1"/>
        <rFont val="Consolas"/>
        <family val="3"/>
      </rPr>
      <t xml:space="preserve"> </t>
    </r>
    <r>
      <rPr>
        <b/>
        <sz val="10"/>
        <color rgb="FFFF2800"/>
        <rFont val="Consolas"/>
        <family val="3"/>
      </rPr>
      <t>'chkdigit運営店cd'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</si>
  <si>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affiliated_store_survey_approval_number </t>
    </r>
    <r>
      <rPr>
        <b/>
        <sz val="10"/>
        <color rgb="FF0080FF"/>
        <rFont val="Consolas"/>
        <family val="3"/>
      </rPr>
      <t>IS</t>
    </r>
    <r>
      <rPr>
        <b/>
        <sz val="10"/>
        <color theme="1"/>
        <rFont val="Consolas"/>
        <family val="3"/>
      </rPr>
      <t xml:space="preserve"> </t>
    </r>
    <r>
      <rPr>
        <b/>
        <sz val="10"/>
        <color rgb="FFFF2800"/>
        <rFont val="Consolas"/>
        <family val="3"/>
      </rPr>
      <t>'加盟店調査承認番号'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</si>
  <si>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backup_date </t>
    </r>
    <r>
      <rPr>
        <b/>
        <sz val="10"/>
        <color rgb="FF0080FF"/>
        <rFont val="Consolas"/>
        <family val="3"/>
      </rPr>
      <t>IS</t>
    </r>
    <r>
      <rPr>
        <b/>
        <sz val="10"/>
        <color theme="1"/>
        <rFont val="Consolas"/>
        <family val="3"/>
      </rPr>
      <t xml:space="preserve"> </t>
    </r>
    <r>
      <rPr>
        <b/>
        <sz val="10"/>
        <color rgb="FFFF2800"/>
        <rFont val="Consolas"/>
        <family val="3"/>
      </rPr>
      <t>'予備日付'</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</si>
  <si>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billing_payment_summary_flag </t>
    </r>
    <r>
      <rPr>
        <b/>
        <sz val="10"/>
        <color rgb="FF0080FF"/>
        <rFont val="Consolas"/>
        <family val="3"/>
      </rPr>
      <t>IS</t>
    </r>
    <r>
      <rPr>
        <b/>
        <sz val="10"/>
        <color theme="1"/>
        <rFont val="Consolas"/>
        <family val="3"/>
      </rPr>
      <t xml:space="preserve"> </t>
    </r>
    <r>
      <rPr>
        <b/>
        <sz val="10"/>
        <color rgb="FFFF2800"/>
        <rFont val="Consolas"/>
        <family val="3"/>
      </rPr>
      <t>'請求支払集計フラグ'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</si>
  <si>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billing_payment_summary_code </t>
    </r>
    <r>
      <rPr>
        <b/>
        <sz val="10"/>
        <color rgb="FF0080FF"/>
        <rFont val="Consolas"/>
        <family val="3"/>
      </rPr>
      <t>IS</t>
    </r>
    <r>
      <rPr>
        <b/>
        <sz val="10"/>
        <color theme="1"/>
        <rFont val="Consolas"/>
        <family val="3"/>
      </rPr>
      <t xml:space="preserve"> </t>
    </r>
    <r>
      <rPr>
        <b/>
        <sz val="10"/>
        <color rgb="FFFF2800"/>
        <rFont val="Consolas"/>
        <family val="3"/>
      </rPr>
      <t>'請求支払集計コード'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</si>
  <si>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chkdigit_billing_payment_summary_cd </t>
    </r>
    <r>
      <rPr>
        <b/>
        <sz val="10"/>
        <color rgb="FF0080FF"/>
        <rFont val="Consolas"/>
        <family val="3"/>
      </rPr>
      <t>IS</t>
    </r>
    <r>
      <rPr>
        <b/>
        <sz val="10"/>
        <color theme="1"/>
        <rFont val="Consolas"/>
        <family val="3"/>
      </rPr>
      <t xml:space="preserve"> </t>
    </r>
    <r>
      <rPr>
        <b/>
        <sz val="10"/>
        <color rgb="FFFF2800"/>
        <rFont val="Consolas"/>
        <family val="3"/>
      </rPr>
      <t>'chkdigit請求支払集計cd'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</si>
  <si>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shop_classification_code </t>
    </r>
    <r>
      <rPr>
        <b/>
        <sz val="10"/>
        <color rgb="FF0080FF"/>
        <rFont val="Consolas"/>
        <family val="3"/>
      </rPr>
      <t>IS</t>
    </r>
    <r>
      <rPr>
        <b/>
        <sz val="10"/>
        <color theme="1"/>
        <rFont val="Consolas"/>
        <family val="3"/>
      </rPr>
      <t xml:space="preserve"> </t>
    </r>
    <r>
      <rPr>
        <b/>
        <sz val="10"/>
        <color rgb="FFFF2800"/>
        <rFont val="Consolas"/>
        <family val="3"/>
      </rPr>
      <t>'ショップ分類コード'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</si>
  <si>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logistics_channel_cd </t>
    </r>
    <r>
      <rPr>
        <b/>
        <sz val="10"/>
        <color rgb="FF0080FF"/>
        <rFont val="Consolas"/>
        <family val="3"/>
      </rPr>
      <t>IS</t>
    </r>
    <r>
      <rPr>
        <b/>
        <sz val="10"/>
        <color theme="1"/>
        <rFont val="Consolas"/>
        <family val="3"/>
      </rPr>
      <t xml:space="preserve"> </t>
    </r>
    <r>
      <rPr>
        <b/>
        <sz val="10"/>
        <color rgb="FFFF2800"/>
        <rFont val="Consolas"/>
        <family val="3"/>
      </rPr>
      <t>'物流流通チャネルcd'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</si>
  <si>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sub_store_owner_flag </t>
    </r>
    <r>
      <rPr>
        <b/>
        <sz val="10"/>
        <color rgb="FF0080FF"/>
        <rFont val="Consolas"/>
        <family val="3"/>
      </rPr>
      <t>IS</t>
    </r>
    <r>
      <rPr>
        <b/>
        <sz val="10"/>
        <color theme="1"/>
        <rFont val="Consolas"/>
        <family val="3"/>
      </rPr>
      <t xml:space="preserve"> </t>
    </r>
    <r>
      <rPr>
        <b/>
        <sz val="10"/>
        <color rgb="FFFF2800"/>
        <rFont val="Consolas"/>
        <family val="3"/>
      </rPr>
      <t>'店舗主副フラグ'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</si>
  <si>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store_owner_code </t>
    </r>
    <r>
      <rPr>
        <b/>
        <sz val="10"/>
        <color rgb="FF0080FF"/>
        <rFont val="Consolas"/>
        <family val="3"/>
      </rPr>
      <t>IS</t>
    </r>
    <r>
      <rPr>
        <b/>
        <sz val="10"/>
        <color theme="1"/>
        <rFont val="Consolas"/>
        <family val="3"/>
      </rPr>
      <t xml:space="preserve"> </t>
    </r>
    <r>
      <rPr>
        <b/>
        <sz val="10"/>
        <color rgb="FFFF2800"/>
        <rFont val="Consolas"/>
        <family val="3"/>
      </rPr>
      <t>'店舗主コード'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</si>
  <si>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chkdigit_store_owner_cd </t>
    </r>
    <r>
      <rPr>
        <b/>
        <sz val="10"/>
        <color rgb="FF0080FF"/>
        <rFont val="Consolas"/>
        <family val="3"/>
      </rPr>
      <t>IS</t>
    </r>
    <r>
      <rPr>
        <b/>
        <sz val="10"/>
        <color theme="1"/>
        <rFont val="Consolas"/>
        <family val="3"/>
      </rPr>
      <t xml:space="preserve"> </t>
    </r>
    <r>
      <rPr>
        <b/>
        <sz val="10"/>
        <color rgb="FFFF2800"/>
        <rFont val="Consolas"/>
        <family val="3"/>
      </rPr>
      <t>'chkdigit店舗主cd'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</si>
  <si>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group_management_flag </t>
    </r>
    <r>
      <rPr>
        <b/>
        <sz val="10"/>
        <color rgb="FF0080FF"/>
        <rFont val="Consolas"/>
        <family val="3"/>
      </rPr>
      <t>IS</t>
    </r>
    <r>
      <rPr>
        <b/>
        <sz val="10"/>
        <color theme="1"/>
        <rFont val="Consolas"/>
        <family val="3"/>
      </rPr>
      <t xml:space="preserve"> </t>
    </r>
    <r>
      <rPr>
        <b/>
        <sz val="10"/>
        <color rgb="FFFF2800"/>
        <rFont val="Consolas"/>
        <family val="3"/>
      </rPr>
      <t>'グループ管理フラグ'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</si>
  <si>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group_master_code </t>
    </r>
    <r>
      <rPr>
        <b/>
        <sz val="10"/>
        <color rgb="FF0080FF"/>
        <rFont val="Consolas"/>
        <family val="3"/>
      </rPr>
      <t>IS</t>
    </r>
    <r>
      <rPr>
        <b/>
        <sz val="10"/>
        <color theme="1"/>
        <rFont val="Consolas"/>
        <family val="3"/>
      </rPr>
      <t xml:space="preserve"> </t>
    </r>
    <r>
      <rPr>
        <b/>
        <sz val="10"/>
        <color rgb="FFFF2800"/>
        <rFont val="Consolas"/>
        <family val="3"/>
      </rPr>
      <t>'グループ主コード'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</si>
  <si>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promotional_item_shipping_flag </t>
    </r>
    <r>
      <rPr>
        <b/>
        <sz val="10"/>
        <color rgb="FF0080FF"/>
        <rFont val="Consolas"/>
        <family val="3"/>
      </rPr>
      <t>IS</t>
    </r>
    <r>
      <rPr>
        <b/>
        <sz val="10"/>
        <color theme="1"/>
        <rFont val="Consolas"/>
        <family val="3"/>
      </rPr>
      <t xml:space="preserve"> </t>
    </r>
    <r>
      <rPr>
        <b/>
        <sz val="10"/>
        <color rgb="FFFF2800"/>
        <rFont val="Consolas"/>
        <family val="3"/>
      </rPr>
      <t>'販促品出荷flg'</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</si>
  <si>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promotional_item_shipping_flag_nm </t>
    </r>
    <r>
      <rPr>
        <b/>
        <sz val="10"/>
        <color rgb="FF0080FF"/>
        <rFont val="Consolas"/>
        <family val="3"/>
      </rPr>
      <t>IS</t>
    </r>
    <r>
      <rPr>
        <b/>
        <sz val="10"/>
        <color theme="1"/>
        <rFont val="Consolas"/>
        <family val="3"/>
      </rPr>
      <t xml:space="preserve"> </t>
    </r>
    <r>
      <rPr>
        <b/>
        <sz val="10"/>
        <color rgb="FFFF2800"/>
        <rFont val="Consolas"/>
        <family val="3"/>
      </rPr>
      <t>'販促品出荷flg_nm'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</si>
  <si>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old_region_code </t>
    </r>
    <r>
      <rPr>
        <b/>
        <sz val="10"/>
        <color rgb="FF0080FF"/>
        <rFont val="Consolas"/>
        <family val="3"/>
      </rPr>
      <t>IS</t>
    </r>
    <r>
      <rPr>
        <b/>
        <sz val="10"/>
        <color theme="1"/>
        <rFont val="Consolas"/>
        <family val="3"/>
      </rPr>
      <t xml:space="preserve"> </t>
    </r>
    <r>
      <rPr>
        <b/>
        <sz val="10"/>
        <color rgb="FFFF2800"/>
        <rFont val="Consolas"/>
        <family val="3"/>
      </rPr>
      <t>'旧地域コード'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</si>
  <si>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mvno_category </t>
    </r>
    <r>
      <rPr>
        <b/>
        <sz val="10"/>
        <color rgb="FF0080FF"/>
        <rFont val="Consolas"/>
        <family val="3"/>
      </rPr>
      <t>IS</t>
    </r>
    <r>
      <rPr>
        <b/>
        <sz val="10"/>
        <color theme="1"/>
        <rFont val="Consolas"/>
        <family val="3"/>
      </rPr>
      <t xml:space="preserve"> </t>
    </r>
    <r>
      <rPr>
        <b/>
        <sz val="10"/>
        <color rgb="FFFF2800"/>
        <rFont val="Consolas"/>
        <family val="3"/>
      </rPr>
      <t>'mvno区分'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</si>
  <si>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mvno_category_official_name </t>
    </r>
    <r>
      <rPr>
        <b/>
        <sz val="10"/>
        <color rgb="FF0080FF"/>
        <rFont val="Consolas"/>
        <family val="3"/>
      </rPr>
      <t>IS</t>
    </r>
    <r>
      <rPr>
        <b/>
        <sz val="10"/>
        <color theme="1"/>
        <rFont val="Consolas"/>
        <family val="3"/>
      </rPr>
      <t xml:space="preserve"> </t>
    </r>
    <r>
      <rPr>
        <b/>
        <sz val="10"/>
        <color rgb="FFFF2800"/>
        <rFont val="Consolas"/>
        <family val="3"/>
      </rPr>
      <t>'mvno区分正式名称'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</si>
  <si>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mvno_attribute </t>
    </r>
    <r>
      <rPr>
        <b/>
        <sz val="10"/>
        <color rgb="FF0080FF"/>
        <rFont val="Consolas"/>
        <family val="3"/>
      </rPr>
      <t>IS</t>
    </r>
    <r>
      <rPr>
        <b/>
        <sz val="10"/>
        <color theme="1"/>
        <rFont val="Consolas"/>
        <family val="3"/>
      </rPr>
      <t xml:space="preserve"> </t>
    </r>
    <r>
      <rPr>
        <b/>
        <sz val="10"/>
        <color rgb="FFFF2800"/>
        <rFont val="Consolas"/>
        <family val="3"/>
      </rPr>
      <t>'mvno属性'</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</si>
  <si>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mvno_attribute_official_name </t>
    </r>
    <r>
      <rPr>
        <b/>
        <sz val="10"/>
        <color rgb="FF0080FF"/>
        <rFont val="Consolas"/>
        <family val="3"/>
      </rPr>
      <t>IS</t>
    </r>
    <r>
      <rPr>
        <b/>
        <sz val="10"/>
        <color theme="1"/>
        <rFont val="Consolas"/>
        <family val="3"/>
      </rPr>
      <t xml:space="preserve"> </t>
    </r>
    <r>
      <rPr>
        <b/>
        <sz val="10"/>
        <color rgb="FFFF2800"/>
        <rFont val="Consolas"/>
        <family val="3"/>
      </rPr>
      <t>'mvno属性正式名称'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</si>
  <si>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corporate_my_number </t>
    </r>
    <r>
      <rPr>
        <b/>
        <sz val="10"/>
        <color rgb="FF0080FF"/>
        <rFont val="Consolas"/>
        <family val="3"/>
      </rPr>
      <t>IS</t>
    </r>
    <r>
      <rPr>
        <b/>
        <sz val="10"/>
        <color theme="1"/>
        <rFont val="Consolas"/>
        <family val="3"/>
      </rPr>
      <t xml:space="preserve"> </t>
    </r>
    <r>
      <rPr>
        <b/>
        <sz val="10"/>
        <color rgb="FFFF2800"/>
        <rFont val="Consolas"/>
        <family val="3"/>
      </rPr>
      <t>'法人マイナンバー'</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</si>
  <si>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corporate_name </t>
    </r>
    <r>
      <rPr>
        <b/>
        <sz val="10"/>
        <color rgb="FF0080FF"/>
        <rFont val="Consolas"/>
        <family val="3"/>
      </rPr>
      <t>IS</t>
    </r>
    <r>
      <rPr>
        <b/>
        <sz val="10"/>
        <color theme="1"/>
        <rFont val="Consolas"/>
        <family val="3"/>
      </rPr>
      <t xml:space="preserve"> </t>
    </r>
    <r>
      <rPr>
        <b/>
        <sz val="10"/>
        <color rgb="FFFF2800"/>
        <rFont val="Consolas"/>
        <family val="3"/>
      </rPr>
      <t>'法人名称'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</si>
  <si>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mars_agency_store</t>
    </r>
    <r>
      <rPr>
        <b/>
        <sz val="10"/>
        <color rgb="FF808080"/>
        <rFont val="Consolas"/>
        <family val="3"/>
      </rPr>
      <t>.</t>
    </r>
    <r>
      <rPr>
        <b/>
        <sz val="10"/>
        <color theme="1"/>
        <rFont val="Consolas"/>
        <family val="3"/>
      </rPr>
      <t xml:space="preserve">manager_name </t>
    </r>
    <r>
      <rPr>
        <b/>
        <sz val="10"/>
        <color rgb="FF0080FF"/>
        <rFont val="Consolas"/>
        <family val="3"/>
      </rPr>
      <t>IS</t>
    </r>
    <r>
      <rPr>
        <b/>
        <sz val="10"/>
        <color theme="1"/>
        <rFont val="Consolas"/>
        <family val="3"/>
      </rPr>
      <t xml:space="preserve"> </t>
    </r>
    <r>
      <rPr>
        <b/>
        <sz val="10"/>
        <color rgb="FFFF2800"/>
        <rFont val="Consolas"/>
        <family val="3"/>
      </rPr>
      <t>'管理責任者名'</t>
    </r>
    <r>
      <rPr>
        <b/>
        <sz val="10"/>
        <color rgb="FF808080"/>
        <rFont val="Consolas"/>
        <family val="3"/>
      </rPr>
      <t>;</t>
    </r>
  </si>
  <si>
    <t>m_キャンペーン</t>
  </si>
  <si>
    <t>M_キャンペーン_[権限]</t>
  </si>
  <si>
    <t>V001730</t>
  </si>
  <si>
    <t>mars_campaign</t>
    <phoneticPr fontId="2"/>
  </si>
  <si>
    <t>キャンペーンの情報を保有。</t>
  </si>
  <si>
    <r>
      <t>DROP</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EXISTS</t>
    </r>
    <r>
      <rPr>
        <b/>
        <sz val="10"/>
        <color theme="1"/>
        <rFont val="Consolas"/>
        <family val="3"/>
      </rPr>
      <t xml:space="preserve"> mars_campaign </t>
    </r>
    <r>
      <rPr>
        <b/>
        <sz val="10"/>
        <color rgb="FF0080FF"/>
        <rFont val="Consolas"/>
        <family val="3"/>
      </rPr>
      <t>CASCADE</t>
    </r>
    <r>
      <rPr>
        <b/>
        <sz val="10"/>
        <color rgb="FF808080"/>
        <rFont val="Consolas"/>
        <family val="3"/>
      </rPr>
      <t>;</t>
    </r>
    <r>
      <rPr>
        <b/>
        <sz val="10"/>
        <color theme="1"/>
        <rFont val="Consolas"/>
        <family val="3"/>
      </rPr>
      <t xml:space="preserve"> </t>
    </r>
  </si>
  <si>
    <r>
      <t>CREATE</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NOT</t>
    </r>
    <r>
      <rPr>
        <b/>
        <sz val="10"/>
        <color theme="1"/>
        <rFont val="Consolas"/>
        <family val="3"/>
      </rPr>
      <t xml:space="preserve"> </t>
    </r>
    <r>
      <rPr>
        <b/>
        <sz val="10"/>
        <color rgb="FF0080FF"/>
        <rFont val="Consolas"/>
        <family val="3"/>
      </rPr>
      <t>EXISTS</t>
    </r>
    <r>
      <rPr>
        <b/>
        <sz val="10"/>
        <color theme="1"/>
        <rFont val="Consolas"/>
        <family val="3"/>
      </rPr>
      <t xml:space="preserve"> mars_campaign </t>
    </r>
    <r>
      <rPr>
        <b/>
        <sz val="10"/>
        <color rgb="FF808080"/>
        <rFont val="Consolas"/>
        <family val="3"/>
      </rPr>
      <t>(</t>
    </r>
    <r>
      <rPr>
        <b/>
        <sz val="10"/>
        <color theme="1"/>
        <rFont val="Consolas"/>
        <family val="3"/>
      </rPr>
      <t xml:space="preserve"> </t>
    </r>
  </si>
  <si>
    <t>キャンペーンid</t>
  </si>
  <si>
    <t>キャンペーンを一意に特定するID</t>
  </si>
  <si>
    <t>campaign_id</t>
  </si>
  <si>
    <r>
      <t xml:space="preserve">campaign_id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</si>
  <si>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キャンペーン名称</t>
  </si>
  <si>
    <t>半角は許容しない</t>
  </si>
  <si>
    <t>campaign_name</t>
  </si>
  <si>
    <r>
      <t xml:space="preserve">campaign_name </t>
    </r>
    <r>
      <rPr>
        <b/>
        <sz val="10"/>
        <color rgb="FF0080FF"/>
        <rFont val="Consolas"/>
        <family val="3"/>
      </rPr>
      <t>VARCHAR</t>
    </r>
    <r>
      <rPr>
        <b/>
        <sz val="10"/>
        <color rgb="FF808080"/>
        <rFont val="Consolas"/>
        <family val="3"/>
      </rPr>
      <t>(</t>
    </r>
    <r>
      <rPr>
        <b/>
        <sz val="10"/>
        <color rgb="FFFF2800"/>
        <rFont val="Consolas"/>
        <family val="3"/>
      </rPr>
      <t>2400</t>
    </r>
    <r>
      <rPr>
        <b/>
        <sz val="10"/>
        <color rgb="FF808080"/>
        <rFont val="Consolas"/>
        <family val="3"/>
      </rPr>
      <t>),</t>
    </r>
  </si>
  <si>
    <t>説明</t>
  </si>
  <si>
    <t>description</t>
  </si>
  <si>
    <r>
      <t xml:space="preserve">description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</si>
  <si>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レコードの有効開始日（履歴管理用日時）</t>
  </si>
  <si>
    <t>レコードの有効終了日（履歴管理用日時）</t>
  </si>
  <si>
    <t>旧フラグ</t>
  </si>
  <si>
    <t>新データモデル：null</t>
  </si>
  <si>
    <t>old_flag</t>
  </si>
  <si>
    <r>
      <t xml:space="preserve">old_flag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</si>
  <si>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旧データモデル：1</t>
  </si>
  <si>
    <r>
      <t>CONSTRAINT</t>
    </r>
    <r>
      <rPr>
        <b/>
        <sz val="10"/>
        <color theme="1"/>
        <rFont val="Consolas"/>
        <family val="3"/>
      </rPr>
      <t xml:space="preserve"> pk_mars_campaign </t>
    </r>
    <r>
      <rPr>
        <b/>
        <sz val="10"/>
        <color rgb="FF0080FF"/>
        <rFont val="Consolas"/>
        <family val="3"/>
      </rPr>
      <t>PRIMARY</t>
    </r>
    <r>
      <rPr>
        <b/>
        <sz val="10"/>
        <color theme="1"/>
        <rFont val="Consolas"/>
        <family val="3"/>
      </rPr>
      <t xml:space="preserve"> </t>
    </r>
    <r>
      <rPr>
        <b/>
        <sz val="10"/>
        <color rgb="FF0080FF"/>
        <rFont val="Consolas"/>
        <family val="3"/>
      </rPr>
      <t>KEY</t>
    </r>
    <r>
      <rPr>
        <b/>
        <sz val="10"/>
        <color theme="1"/>
        <rFont val="Consolas"/>
        <family val="3"/>
      </rPr>
      <t xml:space="preserve"> </t>
    </r>
    <r>
      <rPr>
        <b/>
        <sz val="10"/>
        <color rgb="FF808080"/>
        <rFont val="Consolas"/>
        <family val="3"/>
      </rPr>
      <t>(</t>
    </r>
    <r>
      <rPr>
        <b/>
        <sz val="10"/>
        <color theme="1"/>
        <rFont val="Consolas"/>
        <family val="3"/>
      </rPr>
      <t>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</si>
  <si>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TABLE</t>
    </r>
    <r>
      <rPr>
        <b/>
        <sz val="10"/>
        <color theme="1"/>
        <rFont val="Consolas"/>
        <family val="3"/>
      </rPr>
      <t xml:space="preserve"> mars_campaign </t>
    </r>
    <r>
      <rPr>
        <b/>
        <sz val="10"/>
        <color rgb="FF0080FF"/>
        <rFont val="Consolas"/>
        <family val="3"/>
      </rPr>
      <t>IS</t>
    </r>
    <r>
      <rPr>
        <b/>
        <sz val="10"/>
        <color theme="1"/>
        <rFont val="Consolas"/>
        <family val="3"/>
      </rPr>
      <t xml:space="preserve"> </t>
    </r>
    <r>
      <rPr>
        <b/>
        <sz val="10"/>
        <color rgb="FFFF2800"/>
        <rFont val="Consolas"/>
        <family val="3"/>
      </rPr>
      <t>'m_キャンペーン'</t>
    </r>
    <r>
      <rPr>
        <b/>
        <sz val="10"/>
        <color rgb="FF808080"/>
        <rFont val="Consolas"/>
        <family val="3"/>
      </rPr>
      <t>;</t>
    </r>
  </si>
  <si>
    <t>新旧データモデルの区分け方は、CAERUS PJのS-in前のデータモデルを旧、S-in後のデータモデルを新とする</t>
  </si>
  <si>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mars_campaign</t>
    </r>
    <r>
      <rPr>
        <b/>
        <sz val="10"/>
        <color rgb="FF808080"/>
        <rFont val="Consolas"/>
        <family val="3"/>
      </rPr>
      <t>.</t>
    </r>
    <r>
      <rPr>
        <b/>
        <sz val="10"/>
        <color theme="1"/>
        <rFont val="Consolas"/>
        <family val="3"/>
      </rPr>
      <t xml:space="preserve">id </t>
    </r>
    <r>
      <rPr>
        <b/>
        <sz val="10"/>
        <color rgb="FF0080FF"/>
        <rFont val="Consolas"/>
        <family val="3"/>
      </rPr>
      <t>IS</t>
    </r>
    <r>
      <rPr>
        <b/>
        <sz val="10"/>
        <color theme="1"/>
        <rFont val="Consolas"/>
        <family val="3"/>
      </rPr>
      <t xml:space="preserve"> </t>
    </r>
    <r>
      <rPr>
        <b/>
        <sz val="10"/>
        <color rgb="FFFF2800"/>
        <rFont val="Consolas"/>
        <family val="3"/>
      </rPr>
      <t>'id'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</si>
  <si>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mars_campaign</t>
    </r>
    <r>
      <rPr>
        <b/>
        <sz val="10"/>
        <color rgb="FF808080"/>
        <rFont val="Consolas"/>
        <family val="3"/>
      </rPr>
      <t>.</t>
    </r>
    <r>
      <rPr>
        <b/>
        <sz val="10"/>
        <color theme="1"/>
        <rFont val="Consolas"/>
        <family val="3"/>
      </rPr>
      <t xml:space="preserve">campaign_id </t>
    </r>
    <r>
      <rPr>
        <b/>
        <sz val="10"/>
        <color rgb="FF0080FF"/>
        <rFont val="Consolas"/>
        <family val="3"/>
      </rPr>
      <t>IS</t>
    </r>
    <r>
      <rPr>
        <b/>
        <sz val="10"/>
        <color theme="1"/>
        <rFont val="Consolas"/>
        <family val="3"/>
      </rPr>
      <t xml:space="preserve"> </t>
    </r>
    <r>
      <rPr>
        <b/>
        <sz val="10"/>
        <color rgb="FFFF2800"/>
        <rFont val="Consolas"/>
        <family val="3"/>
      </rPr>
      <t>'キャンペーンid'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</si>
  <si>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mars_campaign</t>
    </r>
    <r>
      <rPr>
        <b/>
        <sz val="10"/>
        <color rgb="FF808080"/>
        <rFont val="Consolas"/>
        <family val="3"/>
      </rPr>
      <t>.</t>
    </r>
    <r>
      <rPr>
        <b/>
        <sz val="10"/>
        <color theme="1"/>
        <rFont val="Consolas"/>
        <family val="3"/>
      </rPr>
      <t xml:space="preserve">campaign_name </t>
    </r>
    <r>
      <rPr>
        <b/>
        <sz val="10"/>
        <color rgb="FF0080FF"/>
        <rFont val="Consolas"/>
        <family val="3"/>
      </rPr>
      <t>IS</t>
    </r>
    <r>
      <rPr>
        <b/>
        <sz val="10"/>
        <color theme="1"/>
        <rFont val="Consolas"/>
        <family val="3"/>
      </rPr>
      <t xml:space="preserve"> </t>
    </r>
    <r>
      <rPr>
        <b/>
        <sz val="10"/>
        <color rgb="FFFF2800"/>
        <rFont val="Consolas"/>
        <family val="3"/>
      </rPr>
      <t>'キャンペーン名称'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</si>
  <si>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mars_campaign</t>
    </r>
    <r>
      <rPr>
        <b/>
        <sz val="10"/>
        <color rgb="FF808080"/>
        <rFont val="Consolas"/>
        <family val="3"/>
      </rPr>
      <t>.</t>
    </r>
    <r>
      <rPr>
        <b/>
        <sz val="10"/>
        <color theme="1"/>
        <rFont val="Consolas"/>
        <family val="3"/>
      </rPr>
      <t xml:space="preserve">description </t>
    </r>
    <r>
      <rPr>
        <b/>
        <sz val="10"/>
        <color rgb="FF0080FF"/>
        <rFont val="Consolas"/>
        <family val="3"/>
      </rPr>
      <t>IS</t>
    </r>
    <r>
      <rPr>
        <b/>
        <sz val="10"/>
        <color theme="1"/>
        <rFont val="Consolas"/>
        <family val="3"/>
      </rPr>
      <t xml:space="preserve"> </t>
    </r>
    <r>
      <rPr>
        <b/>
        <sz val="10"/>
        <color rgb="FFFF2800"/>
        <rFont val="Consolas"/>
        <family val="3"/>
      </rPr>
      <t>'説明'</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</si>
  <si>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mars_campaign</t>
    </r>
    <r>
      <rPr>
        <b/>
        <sz val="10"/>
        <color rgb="FF808080"/>
        <rFont val="Consolas"/>
        <family val="3"/>
      </rPr>
      <t>.</t>
    </r>
    <r>
      <rPr>
        <b/>
        <sz val="10"/>
        <color theme="1"/>
        <rFont val="Consolas"/>
        <family val="3"/>
      </rPr>
      <t xml:space="preserve">effective_start_date </t>
    </r>
    <r>
      <rPr>
        <b/>
        <sz val="10"/>
        <color rgb="FF0080FF"/>
        <rFont val="Consolas"/>
        <family val="3"/>
      </rPr>
      <t>IS</t>
    </r>
    <r>
      <rPr>
        <b/>
        <sz val="10"/>
        <color theme="1"/>
        <rFont val="Consolas"/>
        <family val="3"/>
      </rPr>
      <t xml:space="preserve"> </t>
    </r>
    <r>
      <rPr>
        <b/>
        <sz val="10"/>
        <color rgb="FFFF2800"/>
        <rFont val="Consolas"/>
        <family val="3"/>
      </rPr>
      <t>'有効開始日'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</si>
  <si>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mars_campaign</t>
    </r>
    <r>
      <rPr>
        <b/>
        <sz val="10"/>
        <color rgb="FF808080"/>
        <rFont val="Consolas"/>
        <family val="3"/>
      </rPr>
      <t>.</t>
    </r>
    <r>
      <rPr>
        <b/>
        <sz val="10"/>
        <color theme="1"/>
        <rFont val="Consolas"/>
        <family val="3"/>
      </rPr>
      <t xml:space="preserve">effective_end_date </t>
    </r>
    <r>
      <rPr>
        <b/>
        <sz val="10"/>
        <color rgb="FF0080FF"/>
        <rFont val="Consolas"/>
        <family val="3"/>
      </rPr>
      <t>IS</t>
    </r>
    <r>
      <rPr>
        <b/>
        <sz val="10"/>
        <color theme="1"/>
        <rFont val="Consolas"/>
        <family val="3"/>
      </rPr>
      <t xml:space="preserve"> </t>
    </r>
    <r>
      <rPr>
        <b/>
        <sz val="10"/>
        <color rgb="FFFF2800"/>
        <rFont val="Consolas"/>
        <family val="3"/>
      </rPr>
      <t>'有効終了日'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</si>
  <si>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mars_campaign</t>
    </r>
    <r>
      <rPr>
        <b/>
        <sz val="10"/>
        <color rgb="FF808080"/>
        <rFont val="Consolas"/>
        <family val="3"/>
      </rPr>
      <t>.</t>
    </r>
    <r>
      <rPr>
        <b/>
        <sz val="10"/>
        <color theme="1"/>
        <rFont val="Consolas"/>
        <family val="3"/>
      </rPr>
      <t xml:space="preserve">old_flag </t>
    </r>
    <r>
      <rPr>
        <b/>
        <sz val="10"/>
        <color rgb="FF0080FF"/>
        <rFont val="Consolas"/>
        <family val="3"/>
      </rPr>
      <t>IS</t>
    </r>
    <r>
      <rPr>
        <b/>
        <sz val="10"/>
        <color theme="1"/>
        <rFont val="Consolas"/>
        <family val="3"/>
      </rPr>
      <t xml:space="preserve"> </t>
    </r>
    <r>
      <rPr>
        <b/>
        <sz val="10"/>
        <color rgb="FFFF2800"/>
        <rFont val="Consolas"/>
        <family val="3"/>
      </rPr>
      <t>'旧フラグ'</t>
    </r>
    <r>
      <rPr>
        <b/>
        <sz val="10"/>
        <color rgb="FF808080"/>
        <rFont val="Consolas"/>
        <family val="3"/>
      </rPr>
      <t>;</t>
    </r>
  </si>
  <si>
    <t>m_商品</t>
    <phoneticPr fontId="2"/>
  </si>
  <si>
    <t>V001780</t>
  </si>
  <si>
    <t>mars_product</t>
    <phoneticPr fontId="2"/>
  </si>
  <si>
    <t>データ概要： 商品コード単位で商品に関する情報を保有。 M_商品 ：M_商品_ALLから最新フラグが「1」のデータのみ抽出</t>
  </si>
  <si>
    <r>
      <t>DROP</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EXISTS</t>
    </r>
    <r>
      <rPr>
        <b/>
        <sz val="10"/>
        <color theme="1"/>
        <rFont val="Consolas"/>
        <family val="3"/>
      </rPr>
      <t xml:space="preserve"> mars_product </t>
    </r>
    <r>
      <rPr>
        <b/>
        <sz val="10"/>
        <color rgb="FF0080FF"/>
        <rFont val="Consolas"/>
        <family val="3"/>
      </rPr>
      <t>CASCADE</t>
    </r>
    <r>
      <rPr>
        <b/>
        <sz val="10"/>
        <color rgb="FF808080"/>
        <rFont val="Consolas"/>
        <family val="3"/>
      </rPr>
      <t>;</t>
    </r>
    <r>
      <rPr>
        <b/>
        <sz val="10"/>
        <color theme="1"/>
        <rFont val="Consolas"/>
        <family val="3"/>
      </rPr>
      <t xml:space="preserve"> </t>
    </r>
  </si>
  <si>
    <r>
      <t>CREATE</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NOT</t>
    </r>
    <r>
      <rPr>
        <b/>
        <sz val="10"/>
        <color theme="1"/>
        <rFont val="Consolas"/>
        <family val="3"/>
      </rPr>
      <t xml:space="preserve"> </t>
    </r>
    <r>
      <rPr>
        <b/>
        <sz val="10"/>
        <color rgb="FF0080FF"/>
        <rFont val="Consolas"/>
        <family val="3"/>
      </rPr>
      <t>EXISTS</t>
    </r>
    <r>
      <rPr>
        <b/>
        <sz val="10"/>
        <color theme="1"/>
        <rFont val="Consolas"/>
        <family val="3"/>
      </rPr>
      <t xml:space="preserve"> mars_product </t>
    </r>
    <r>
      <rPr>
        <b/>
        <sz val="10"/>
        <color rgb="FF808080"/>
        <rFont val="Consolas"/>
        <family val="3"/>
      </rPr>
      <t>(</t>
    </r>
    <r>
      <rPr>
        <b/>
        <sz val="10"/>
        <color theme="1"/>
        <rFont val="Consolas"/>
        <family val="3"/>
      </rPr>
      <t xml:space="preserve"> </t>
    </r>
  </si>
  <si>
    <r>
      <t xml:space="preserve">product_code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</si>
  <si>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validity_start_date</t>
  </si>
  <si>
    <r>
      <t xml:space="preserve">validity_start_date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</si>
  <si>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有効開始時間</t>
  </si>
  <si>
    <t>validity_start_time</t>
  </si>
  <si>
    <r>
      <t xml:space="preserve">validity_start_time </t>
    </r>
    <r>
      <rPr>
        <b/>
        <sz val="10"/>
        <color rgb="FF0080FF"/>
        <rFont val="Consolas"/>
        <family val="3"/>
      </rPr>
      <t>VARCHAR</t>
    </r>
    <r>
      <rPr>
        <b/>
        <sz val="10"/>
        <color rgb="FF808080"/>
        <rFont val="Consolas"/>
        <family val="3"/>
      </rPr>
      <t>(</t>
    </r>
    <r>
      <rPr>
        <b/>
        <sz val="10"/>
        <color rgb="FFFF2800"/>
        <rFont val="Consolas"/>
        <family val="3"/>
      </rPr>
      <t>12</t>
    </r>
    <r>
      <rPr>
        <b/>
        <sz val="10"/>
        <color rgb="FF808080"/>
        <rFont val="Consolas"/>
        <family val="3"/>
      </rPr>
      <t>),</t>
    </r>
  </si>
  <si>
    <t>validity_end_date</t>
  </si>
  <si>
    <r>
      <t xml:space="preserve">validity_end_date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</si>
  <si>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有効終了時間</t>
  </si>
  <si>
    <t>validity_end_time</t>
  </si>
  <si>
    <r>
      <t xml:space="preserve">validity_end_time </t>
    </r>
    <r>
      <rPr>
        <b/>
        <sz val="10"/>
        <color rgb="FF0080FF"/>
        <rFont val="Consolas"/>
        <family val="3"/>
      </rPr>
      <t>VARCHAR</t>
    </r>
    <r>
      <rPr>
        <b/>
        <sz val="10"/>
        <color rgb="FF808080"/>
        <rFont val="Consolas"/>
        <family val="3"/>
      </rPr>
      <t>(</t>
    </r>
    <r>
      <rPr>
        <b/>
        <sz val="10"/>
        <color rgb="FFFF2800"/>
        <rFont val="Consolas"/>
        <family val="3"/>
      </rPr>
      <t>12</t>
    </r>
    <r>
      <rPr>
        <b/>
        <sz val="10"/>
        <color rgb="FF808080"/>
        <rFont val="Consolas"/>
        <family val="3"/>
      </rPr>
      <t>),</t>
    </r>
  </si>
  <si>
    <r>
      <t xml:space="preserve">area_code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</si>
  <si>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商品正式名称</t>
  </si>
  <si>
    <t>product_official_name</t>
  </si>
  <si>
    <r>
      <t xml:space="preserve">product_official_name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</si>
  <si>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商品カナ名称</t>
  </si>
  <si>
    <t>product_name_in_kana</t>
  </si>
  <si>
    <r>
      <t xml:space="preserve">product_name_in_kana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</si>
  <si>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商品英語名称</t>
  </si>
  <si>
    <t>product_name_in_english</t>
  </si>
  <si>
    <r>
      <t xml:space="preserve">product_name_in_english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</si>
  <si>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商品略称</t>
  </si>
  <si>
    <t>product_abbreviation</t>
  </si>
  <si>
    <r>
      <t xml:space="preserve">product_abbreviation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</si>
  <si>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商品細分類id</t>
  </si>
  <si>
    <t>product_subcategory_id</t>
  </si>
  <si>
    <r>
      <t xml:space="preserve">product_subcategory_id </t>
    </r>
    <r>
      <rPr>
        <b/>
        <sz val="10"/>
        <color rgb="FF0080FF"/>
        <rFont val="Consolas"/>
        <family val="3"/>
      </rPr>
      <t>VARCHAR</t>
    </r>
    <r>
      <rPr>
        <b/>
        <sz val="10"/>
        <color rgb="FF808080"/>
        <rFont val="Consolas"/>
        <family val="3"/>
      </rPr>
      <t>(</t>
    </r>
    <r>
      <rPr>
        <b/>
        <sz val="10"/>
        <color rgb="FFFF2800"/>
        <rFont val="Consolas"/>
        <family val="3"/>
      </rPr>
      <t>20</t>
    </r>
    <r>
      <rPr>
        <b/>
        <sz val="10"/>
        <color rgb="FF808080"/>
        <rFont val="Consolas"/>
        <family val="3"/>
      </rPr>
      <t>),</t>
    </r>
  </si>
  <si>
    <t>商品細分類正式名称</t>
  </si>
  <si>
    <t>product_subcategory_official_name</t>
  </si>
  <si>
    <r>
      <t xml:space="preserve">product_subcategory_official_name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</si>
  <si>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商品細分類カナ名称</t>
  </si>
  <si>
    <t>product_subcategory_kana</t>
  </si>
  <si>
    <r>
      <t xml:space="preserve">product_subcategory_kana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</si>
  <si>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商品細分類英語名称</t>
  </si>
  <si>
    <t>product_subcategory_english_name</t>
  </si>
  <si>
    <r>
      <t xml:space="preserve">product_subcategory_english_name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</si>
  <si>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商品小分類id</t>
  </si>
  <si>
    <t>product_small_category_id</t>
  </si>
  <si>
    <r>
      <t xml:space="preserve">product_small_category_id </t>
    </r>
    <r>
      <rPr>
        <b/>
        <sz val="10"/>
        <color rgb="FF0080FF"/>
        <rFont val="Consolas"/>
        <family val="3"/>
      </rPr>
      <t>VARCHAR</t>
    </r>
    <r>
      <rPr>
        <b/>
        <sz val="10"/>
        <color rgb="FF808080"/>
        <rFont val="Consolas"/>
        <family val="3"/>
      </rPr>
      <t>(</t>
    </r>
    <r>
      <rPr>
        <b/>
        <sz val="10"/>
        <color rgb="FFFF2800"/>
        <rFont val="Consolas"/>
        <family val="3"/>
      </rPr>
      <t>20</t>
    </r>
    <r>
      <rPr>
        <b/>
        <sz val="10"/>
        <color rgb="FF808080"/>
        <rFont val="Consolas"/>
        <family val="3"/>
      </rPr>
      <t>),</t>
    </r>
  </si>
  <si>
    <t>商品小分類正式名称</t>
  </si>
  <si>
    <t>product_small_category_official_name</t>
  </si>
  <si>
    <r>
      <t xml:space="preserve">product_small_category_official_name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</si>
  <si>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商品小分類カナ名称</t>
  </si>
  <si>
    <t>product_small_category_kana</t>
  </si>
  <si>
    <r>
      <t xml:space="preserve">product_small_category_kana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</si>
  <si>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商品小分類英語名称</t>
  </si>
  <si>
    <t>product_small_category_english_name</t>
  </si>
  <si>
    <r>
      <t xml:space="preserve">product_small_category_english_name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</si>
  <si>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商品中分類id</t>
  </si>
  <si>
    <t>product_middle_category_id</t>
  </si>
  <si>
    <r>
      <t xml:space="preserve">product_middle_category_id </t>
    </r>
    <r>
      <rPr>
        <b/>
        <sz val="10"/>
        <color rgb="FF0080FF"/>
        <rFont val="Consolas"/>
        <family val="3"/>
      </rPr>
      <t>VARCHAR</t>
    </r>
    <r>
      <rPr>
        <b/>
        <sz val="10"/>
        <color rgb="FF808080"/>
        <rFont val="Consolas"/>
        <family val="3"/>
      </rPr>
      <t>(</t>
    </r>
    <r>
      <rPr>
        <b/>
        <sz val="10"/>
        <color rgb="FFFF2800"/>
        <rFont val="Consolas"/>
        <family val="3"/>
      </rPr>
      <t>20</t>
    </r>
    <r>
      <rPr>
        <b/>
        <sz val="10"/>
        <color rgb="FF808080"/>
        <rFont val="Consolas"/>
        <family val="3"/>
      </rPr>
      <t>),</t>
    </r>
  </si>
  <si>
    <t>商品中分類正式名称</t>
  </si>
  <si>
    <t>product_middle_category_official_name</t>
  </si>
  <si>
    <r>
      <t xml:space="preserve">product_middle_category_official_name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</si>
  <si>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商品中分類カナ名称</t>
  </si>
  <si>
    <t>product_middle_category_kana</t>
  </si>
  <si>
    <r>
      <t xml:space="preserve">product_middle_category_kana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</si>
  <si>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商品中分類英語名称</t>
  </si>
  <si>
    <t>product_middle_category_english_name</t>
  </si>
  <si>
    <r>
      <t xml:space="preserve">product_middle_category_english_name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</si>
  <si>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商品大分類id</t>
  </si>
  <si>
    <t>product_major_category_id</t>
  </si>
  <si>
    <r>
      <t xml:space="preserve">product_major_category_id </t>
    </r>
    <r>
      <rPr>
        <b/>
        <sz val="10"/>
        <color rgb="FF0080FF"/>
        <rFont val="Consolas"/>
        <family val="3"/>
      </rPr>
      <t>VARCHAR</t>
    </r>
    <r>
      <rPr>
        <b/>
        <sz val="10"/>
        <color rgb="FF808080"/>
        <rFont val="Consolas"/>
        <family val="3"/>
      </rPr>
      <t>(</t>
    </r>
    <r>
      <rPr>
        <b/>
        <sz val="10"/>
        <color rgb="FFFF2800"/>
        <rFont val="Consolas"/>
        <family val="3"/>
      </rPr>
      <t>20</t>
    </r>
    <r>
      <rPr>
        <b/>
        <sz val="10"/>
        <color rgb="FF808080"/>
        <rFont val="Consolas"/>
        <family val="3"/>
      </rPr>
      <t>),</t>
    </r>
  </si>
  <si>
    <t>商品大分類正式名称</t>
  </si>
  <si>
    <t>product_major_category_official_name</t>
  </si>
  <si>
    <r>
      <t xml:space="preserve">product_major_category_official_name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</si>
  <si>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商品大分類カナ名称</t>
  </si>
  <si>
    <t>product_major_category_kana</t>
  </si>
  <si>
    <r>
      <t xml:space="preserve">product_major_category_kana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</si>
  <si>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商品大分類英語名称</t>
  </si>
  <si>
    <t>product_major_category_english_name</t>
  </si>
  <si>
    <r>
      <t xml:space="preserve">product_major_category_english_name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</si>
  <si>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個体管理タイプコード</t>
  </si>
  <si>
    <t>individual_management_type_code</t>
  </si>
  <si>
    <r>
      <t xml:space="preserve">individual_management_type_code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</si>
  <si>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メーカーid</t>
  </si>
  <si>
    <t>manufacturer_id</t>
  </si>
  <si>
    <r>
      <t xml:space="preserve">manufacturer_id </t>
    </r>
    <r>
      <rPr>
        <b/>
        <sz val="10"/>
        <color rgb="FF0080FF"/>
        <rFont val="Consolas"/>
        <family val="3"/>
      </rPr>
      <t>VARCHAR</t>
    </r>
    <r>
      <rPr>
        <b/>
        <sz val="10"/>
        <color rgb="FF808080"/>
        <rFont val="Consolas"/>
        <family val="3"/>
      </rPr>
      <t>(</t>
    </r>
    <r>
      <rPr>
        <b/>
        <sz val="10"/>
        <color rgb="FFFF2800"/>
        <rFont val="Consolas"/>
        <family val="3"/>
      </rPr>
      <t>20</t>
    </r>
    <r>
      <rPr>
        <b/>
        <sz val="10"/>
        <color rgb="FF808080"/>
        <rFont val="Consolas"/>
        <family val="3"/>
      </rPr>
      <t>),</t>
    </r>
  </si>
  <si>
    <t>メーカー正式名称</t>
  </si>
  <si>
    <t>manufacturer_official_name</t>
  </si>
  <si>
    <r>
      <t xml:space="preserve">manufacturer_official_name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</si>
  <si>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メーカーカナ名称</t>
  </si>
  <si>
    <t>manufacturer_name_in_kana</t>
  </si>
  <si>
    <r>
      <t xml:space="preserve">manufacturer_name_in_kana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</si>
  <si>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メーカー英語名称</t>
  </si>
  <si>
    <t>manufacturer_name_in_english</t>
  </si>
  <si>
    <r>
      <t xml:space="preserve">manufacturer_name_in_english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</si>
  <si>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ブランドid</t>
  </si>
  <si>
    <t>brand_id</t>
  </si>
  <si>
    <r>
      <t xml:space="preserve">brand_id </t>
    </r>
    <r>
      <rPr>
        <b/>
        <sz val="10"/>
        <color rgb="FF0080FF"/>
        <rFont val="Consolas"/>
        <family val="3"/>
      </rPr>
      <t>VARCHAR</t>
    </r>
    <r>
      <rPr>
        <b/>
        <sz val="10"/>
        <color rgb="FF808080"/>
        <rFont val="Consolas"/>
        <family val="3"/>
      </rPr>
      <t>(</t>
    </r>
    <r>
      <rPr>
        <b/>
        <sz val="10"/>
        <color rgb="FFFF2800"/>
        <rFont val="Consolas"/>
        <family val="3"/>
      </rPr>
      <t>20</t>
    </r>
    <r>
      <rPr>
        <b/>
        <sz val="10"/>
        <color rgb="FF808080"/>
        <rFont val="Consolas"/>
        <family val="3"/>
      </rPr>
      <t>),</t>
    </r>
  </si>
  <si>
    <t>ブランド正式名称</t>
  </si>
  <si>
    <t>brand_official_name</t>
  </si>
  <si>
    <r>
      <t xml:space="preserve">brand_official_name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</si>
  <si>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ブランドコード</t>
  </si>
  <si>
    <t>brand_code</t>
  </si>
  <si>
    <r>
      <t xml:space="preserve">brand_code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</si>
  <si>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ブランドカナ名称</t>
  </si>
  <si>
    <t>brand_name_in_kana</t>
  </si>
  <si>
    <r>
      <t xml:space="preserve">brand_name_in_kana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</si>
  <si>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ブランド略称</t>
  </si>
  <si>
    <t>brand_abbreviation</t>
  </si>
  <si>
    <r>
      <t xml:space="preserve">brand_abbreviation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</si>
  <si>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ブランド英語名称</t>
  </si>
  <si>
    <t>brand_name_in_english</t>
  </si>
  <si>
    <r>
      <t xml:space="preserve">brand_name_in_english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</si>
  <si>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janコード</t>
  </si>
  <si>
    <t>jan_code</t>
  </si>
  <si>
    <r>
      <t xml:space="preserve">jan_code </t>
    </r>
    <r>
      <rPr>
        <b/>
        <sz val="10"/>
        <color rgb="FF0080FF"/>
        <rFont val="Consolas"/>
        <family val="3"/>
      </rPr>
      <t>VARCHAR</t>
    </r>
    <r>
      <rPr>
        <b/>
        <sz val="10"/>
        <color rgb="FF808080"/>
        <rFont val="Consolas"/>
        <family val="3"/>
      </rPr>
      <t>(</t>
    </r>
    <r>
      <rPr>
        <b/>
        <sz val="10"/>
        <color rgb="FFFF2800"/>
        <rFont val="Consolas"/>
        <family val="3"/>
      </rPr>
      <t>26</t>
    </r>
    <r>
      <rPr>
        <b/>
        <sz val="10"/>
        <color rgb="FF808080"/>
        <rFont val="Consolas"/>
        <family val="3"/>
      </rPr>
      <t>),</t>
    </r>
  </si>
  <si>
    <t>商品色正式名称</t>
  </si>
  <si>
    <t>product_color_official_name</t>
  </si>
  <si>
    <r>
      <t xml:space="preserve">product_color_official_name </t>
    </r>
    <r>
      <rPr>
        <b/>
        <sz val="10"/>
        <color rgb="FF0080FF"/>
        <rFont val="Consolas"/>
        <family val="3"/>
      </rPr>
      <t>VARCHAR</t>
    </r>
    <r>
      <rPr>
        <b/>
        <sz val="10"/>
        <color rgb="FF808080"/>
        <rFont val="Consolas"/>
        <family val="3"/>
      </rPr>
      <t>(</t>
    </r>
    <r>
      <rPr>
        <b/>
        <sz val="10"/>
        <color rgb="FFFF2800"/>
        <rFont val="Consolas"/>
        <family val="3"/>
      </rPr>
      <t>600</t>
    </r>
    <r>
      <rPr>
        <b/>
        <sz val="10"/>
        <color rgb="FF808080"/>
        <rFont val="Consolas"/>
        <family val="3"/>
      </rPr>
      <t>),</t>
    </r>
  </si>
  <si>
    <t>商品色略称</t>
  </si>
  <si>
    <t>product_color_abbreviation</t>
  </si>
  <si>
    <r>
      <t xml:space="preserve">product_color_abbreviation </t>
    </r>
    <r>
      <rPr>
        <b/>
        <sz val="10"/>
        <color rgb="FF0080FF"/>
        <rFont val="Consolas"/>
        <family val="3"/>
      </rPr>
      <t>VARCHAR</t>
    </r>
    <r>
      <rPr>
        <b/>
        <sz val="10"/>
        <color rgb="FF808080"/>
        <rFont val="Consolas"/>
        <family val="3"/>
      </rPr>
      <t>(</t>
    </r>
    <r>
      <rPr>
        <b/>
        <sz val="10"/>
        <color rgb="FFFF2800"/>
        <rFont val="Consolas"/>
        <family val="3"/>
      </rPr>
      <t>240</t>
    </r>
    <r>
      <rPr>
        <b/>
        <sz val="10"/>
        <color rgb="FF808080"/>
        <rFont val="Consolas"/>
        <family val="3"/>
      </rPr>
      <t>),</t>
    </r>
  </si>
  <si>
    <t>標準色id</t>
  </si>
  <si>
    <t>standard_color_id</t>
  </si>
  <si>
    <r>
      <t xml:space="preserve">standard_color_id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</si>
  <si>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標準色正式名称</t>
  </si>
  <si>
    <t>standard_color_official_name</t>
  </si>
  <si>
    <r>
      <t xml:space="preserve">standard_color_official_name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</si>
  <si>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標準色カナ名称</t>
  </si>
  <si>
    <t>standard_color_name_in_kana</t>
  </si>
  <si>
    <r>
      <t xml:space="preserve">standard_color_name_in_kana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</si>
  <si>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標準色英語名称</t>
  </si>
  <si>
    <t>standard_color_name_in_english</t>
  </si>
  <si>
    <r>
      <t xml:space="preserve">standard_color_name_in_english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</si>
  <si>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機種コード</t>
  </si>
  <si>
    <t>model_code</t>
  </si>
  <si>
    <r>
      <t xml:space="preserve">model_code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</si>
  <si>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機種正式名称</t>
  </si>
  <si>
    <t>model_official_name</t>
  </si>
  <si>
    <r>
      <t xml:space="preserve">model_official_name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</si>
  <si>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手数料支払停止日</t>
  </si>
  <si>
    <t>fee_payment_stop_date</t>
  </si>
  <si>
    <r>
      <t xml:space="preserve">fee_payment_stop_date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</si>
  <si>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mvno識別id</t>
  </si>
  <si>
    <t>mvno_identification_id</t>
  </si>
  <si>
    <r>
      <t xml:space="preserve">mvno_identification_id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</si>
  <si>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mvno識別略称2</t>
  </si>
  <si>
    <t>mvno_identification_abbreviation_2</t>
  </si>
  <si>
    <r>
      <t xml:space="preserve">mvno_identification_abbreviation_2 </t>
    </r>
    <r>
      <rPr>
        <b/>
        <sz val="10"/>
        <color rgb="FF0080FF"/>
        <rFont val="Consolas"/>
        <family val="3"/>
      </rPr>
      <t>VARCHAR</t>
    </r>
    <r>
      <rPr>
        <b/>
        <sz val="10"/>
        <color rgb="FF808080"/>
        <rFont val="Consolas"/>
        <family val="3"/>
      </rPr>
      <t>(</t>
    </r>
    <r>
      <rPr>
        <b/>
        <sz val="10"/>
        <color rgb="FFFF2800"/>
        <rFont val="Consolas"/>
        <family val="3"/>
      </rPr>
      <t>120</t>
    </r>
    <r>
      <rPr>
        <b/>
        <sz val="10"/>
        <color rgb="FF808080"/>
        <rFont val="Consolas"/>
        <family val="3"/>
      </rPr>
      <t>),</t>
    </r>
  </si>
  <si>
    <t>販売開始日</t>
  </si>
  <si>
    <t>sales_start_date</t>
  </si>
  <si>
    <r>
      <t xml:space="preserve">sales_start_date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</si>
  <si>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販売終了日</t>
  </si>
  <si>
    <t>sales_end_date</t>
  </si>
  <si>
    <r>
      <t xml:space="preserve">sales_end_date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</si>
  <si>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買い増し有効開始日</t>
  </si>
  <si>
    <t>additional_purchase_validity_start_date</t>
  </si>
  <si>
    <r>
      <t xml:space="preserve">additional_purchase_validity_start_date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</si>
  <si>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買い増し有効終了日</t>
  </si>
  <si>
    <t>additional_purchase_validity_end_date</t>
  </si>
  <si>
    <r>
      <t xml:space="preserve">additional_purchase_validity_end_date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</si>
  <si>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cic商品コード</t>
  </si>
  <si>
    <t>cic_product_code</t>
  </si>
  <si>
    <r>
      <t xml:space="preserve">cic_product_code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</si>
  <si>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生活必需品外フラグ</t>
  </si>
  <si>
    <t>non_essential_flag</t>
  </si>
  <si>
    <r>
      <t xml:space="preserve">non_essential_flag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</si>
  <si>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サービス世代id</t>
  </si>
  <si>
    <t>service_generation_id</t>
  </si>
  <si>
    <r>
      <t xml:space="preserve">service_generation_id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</si>
  <si>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サービス世代正式名称</t>
  </si>
  <si>
    <t>service_generation_official_name</t>
  </si>
  <si>
    <r>
      <t xml:space="preserve">service_generation_official_name </t>
    </r>
    <r>
      <rPr>
        <b/>
        <sz val="10"/>
        <color rgb="FF0080FF"/>
        <rFont val="Consolas"/>
        <family val="3"/>
      </rPr>
      <t>VARCHAR</t>
    </r>
    <r>
      <rPr>
        <b/>
        <sz val="10"/>
        <color rgb="FF808080"/>
        <rFont val="Consolas"/>
        <family val="3"/>
      </rPr>
      <t>(</t>
    </r>
    <r>
      <rPr>
        <b/>
        <sz val="10"/>
        <color rgb="FFFF2800"/>
        <rFont val="Consolas"/>
        <family val="3"/>
      </rPr>
      <t>240</t>
    </r>
    <r>
      <rPr>
        <b/>
        <sz val="10"/>
        <color rgb="FF808080"/>
        <rFont val="Consolas"/>
        <family val="3"/>
      </rPr>
      <t>),</t>
    </r>
  </si>
  <si>
    <t>容量</t>
  </si>
  <si>
    <t>capacity</t>
  </si>
  <si>
    <r>
      <t xml:space="preserve">capacity </t>
    </r>
    <r>
      <rPr>
        <b/>
        <sz val="10"/>
        <color rgb="FF0080FF"/>
        <rFont val="Consolas"/>
        <family val="3"/>
      </rPr>
      <t>VARCHAR</t>
    </r>
    <r>
      <rPr>
        <b/>
        <sz val="10"/>
        <color rgb="FF808080"/>
        <rFont val="Consolas"/>
        <family val="3"/>
      </rPr>
      <t>(</t>
    </r>
    <r>
      <rPr>
        <b/>
        <sz val="10"/>
        <color rgb="FFFF2800"/>
        <rFont val="Consolas"/>
        <family val="3"/>
      </rPr>
      <t>20</t>
    </r>
    <r>
      <rPr>
        <b/>
        <sz val="10"/>
        <color rgb="FF808080"/>
        <rFont val="Consolas"/>
        <family val="3"/>
      </rPr>
      <t>),</t>
    </r>
  </si>
  <si>
    <t>割賦審査上限chk対象flg</t>
  </si>
  <si>
    <t>installment_review_limit_chk_target_flg</t>
  </si>
  <si>
    <r>
      <t xml:space="preserve">installment_review_limit_chk_target_flg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</si>
  <si>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opt品割賦販売適用flg</t>
  </si>
  <si>
    <t>opt_installment_sales_applicable_flg</t>
  </si>
  <si>
    <r>
      <t xml:space="preserve">opt_installment_sales_applicable_flg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</si>
  <si>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opt品割賦販売適用from</t>
  </si>
  <si>
    <t>opt_installment_sales_applicable_from</t>
  </si>
  <si>
    <r>
      <t xml:space="preserve">opt_installment_sales_applicable_from </t>
    </r>
    <r>
      <rPr>
        <b/>
        <sz val="10"/>
        <color rgb="FF0080FF"/>
        <rFont val="Consolas"/>
        <family val="3"/>
      </rPr>
      <t>VARCHAR</t>
    </r>
    <r>
      <rPr>
        <b/>
        <sz val="10"/>
        <color rgb="FF808080"/>
        <rFont val="Consolas"/>
        <family val="3"/>
      </rPr>
      <t>(</t>
    </r>
    <r>
      <rPr>
        <b/>
        <sz val="10"/>
        <color rgb="FFFF2800"/>
        <rFont val="Consolas"/>
        <family val="3"/>
      </rPr>
      <t>16</t>
    </r>
    <r>
      <rPr>
        <b/>
        <sz val="10"/>
        <color rgb="FF808080"/>
        <rFont val="Consolas"/>
        <family val="3"/>
      </rPr>
      <t>),</t>
    </r>
  </si>
  <si>
    <t>売価</t>
  </si>
  <si>
    <t>sales_price</t>
  </si>
  <si>
    <r>
      <t xml:space="preserve">sales_price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</si>
  <si>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端末区分</t>
  </si>
  <si>
    <t>device_category</t>
  </si>
  <si>
    <r>
      <t xml:space="preserve">device_category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</si>
  <si>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端末区分正式名称</t>
  </si>
  <si>
    <t>device_category_official_name</t>
  </si>
  <si>
    <r>
      <t xml:space="preserve">device_category_official_name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</si>
  <si>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大分類</t>
  </si>
  <si>
    <t>major_category</t>
  </si>
  <si>
    <r>
      <t xml:space="preserve">major_category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</si>
  <si>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大分類正式名称</t>
  </si>
  <si>
    <t>major_category_official_name</t>
  </si>
  <si>
    <r>
      <t xml:space="preserve">major_category_official_name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</si>
  <si>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中分類</t>
  </si>
  <si>
    <t>middle_category</t>
  </si>
  <si>
    <r>
      <t xml:space="preserve">middle_category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</si>
  <si>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中分類正式名称</t>
  </si>
  <si>
    <t>middle_category_official_name</t>
  </si>
  <si>
    <r>
      <t xml:space="preserve">middle_category_official_name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</si>
  <si>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小分類</t>
  </si>
  <si>
    <t>minor_category</t>
  </si>
  <si>
    <r>
      <t xml:space="preserve">minor_category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</si>
  <si>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小分類正式名称</t>
  </si>
  <si>
    <t>minor_category_official_name</t>
  </si>
  <si>
    <r>
      <t xml:space="preserve">minor_category_official_name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</si>
  <si>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機能フラグ</t>
  </si>
  <si>
    <t>feature_flag</t>
  </si>
  <si>
    <r>
      <t xml:space="preserve">feature_flag </t>
    </r>
    <r>
      <rPr>
        <b/>
        <sz val="10"/>
        <color rgb="FF0080FF"/>
        <rFont val="Consolas"/>
        <family val="3"/>
      </rPr>
      <t>VARCHAR</t>
    </r>
    <r>
      <rPr>
        <b/>
        <sz val="10"/>
        <color rgb="FF808080"/>
        <rFont val="Consolas"/>
        <family val="3"/>
      </rPr>
      <t>(</t>
    </r>
    <r>
      <rPr>
        <b/>
        <sz val="10"/>
        <color rgb="FFFF2800"/>
        <rFont val="Consolas"/>
        <family val="3"/>
      </rPr>
      <t>100</t>
    </r>
    <r>
      <rPr>
        <b/>
        <sz val="10"/>
        <color rgb="FF808080"/>
        <rFont val="Consolas"/>
        <family val="3"/>
      </rPr>
      <t>),</t>
    </r>
  </si>
  <si>
    <t>バンドルプラン識別id</t>
  </si>
  <si>
    <t>bundle_plan_identification_id</t>
  </si>
  <si>
    <r>
      <t xml:space="preserve">bundle_plan_identification_id </t>
    </r>
    <r>
      <rPr>
        <b/>
        <sz val="10"/>
        <color rgb="FF0080FF"/>
        <rFont val="Consolas"/>
        <family val="3"/>
      </rPr>
      <t>VARCHAR</t>
    </r>
    <r>
      <rPr>
        <b/>
        <sz val="10"/>
        <color rgb="FF808080"/>
        <rFont val="Consolas"/>
        <family val="3"/>
      </rPr>
      <t>(</t>
    </r>
    <r>
      <rPr>
        <b/>
        <sz val="10"/>
        <color rgb="FFFF2800"/>
        <rFont val="Consolas"/>
        <family val="3"/>
      </rPr>
      <t>20</t>
    </r>
    <r>
      <rPr>
        <b/>
        <sz val="10"/>
        <color rgb="FF808080"/>
        <rFont val="Consolas"/>
        <family val="3"/>
      </rPr>
      <t>),</t>
    </r>
  </si>
  <si>
    <t>バンドルプランnm</t>
  </si>
  <si>
    <t>bundle_plan_nm</t>
  </si>
  <si>
    <r>
      <t xml:space="preserve">bundle_plan_nm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</si>
  <si>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チャージ額</t>
  </si>
  <si>
    <t>charge_amount</t>
  </si>
  <si>
    <r>
      <t xml:space="preserve">charge_amount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</si>
  <si>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ユニバーサル使用料</t>
  </si>
  <si>
    <t>uni_universal_usage_fee</t>
  </si>
  <si>
    <r>
      <t xml:space="preserve">uni_universal_usage_fee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</si>
  <si>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利用有効期間</t>
  </si>
  <si>
    <t>validity_period</t>
  </si>
  <si>
    <r>
      <t xml:space="preserve">validity_period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</si>
  <si>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物流商品コード</t>
  </si>
  <si>
    <t>logistics_product_code</t>
  </si>
  <si>
    <r>
      <t xml:space="preserve">logistics_product_code </t>
    </r>
    <r>
      <rPr>
        <b/>
        <sz val="10"/>
        <color rgb="FF0080FF"/>
        <rFont val="Consolas"/>
        <family val="3"/>
      </rPr>
      <t>VARCHAR</t>
    </r>
    <r>
      <rPr>
        <b/>
        <sz val="10"/>
        <color rgb="FF808080"/>
        <rFont val="Consolas"/>
        <family val="3"/>
      </rPr>
      <t>(</t>
    </r>
    <r>
      <rPr>
        <b/>
        <sz val="10"/>
        <color rgb="FFFF2800"/>
        <rFont val="Consolas"/>
        <family val="3"/>
      </rPr>
      <t>30</t>
    </r>
    <r>
      <rPr>
        <b/>
        <sz val="10"/>
        <color rgb="FF808080"/>
        <rFont val="Consolas"/>
        <family val="3"/>
      </rPr>
      <t>),</t>
    </r>
  </si>
  <si>
    <t>数量金額管理区分</t>
  </si>
  <si>
    <t>quantity_amount_classification</t>
  </si>
  <si>
    <r>
      <t xml:space="preserve">quantity_amount_classification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</si>
  <si>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商品税分類コード</t>
  </si>
  <si>
    <t>product_tax_classification_code</t>
  </si>
  <si>
    <r>
      <t xml:space="preserve">product_tax_classification_code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</si>
  <si>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物流商品税分類</t>
  </si>
  <si>
    <t>logistics_product_tax_classification</t>
  </si>
  <si>
    <r>
      <t xml:space="preserve">logistics_product_tax_classification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</si>
  <si>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物流基本単位数量</t>
  </si>
  <si>
    <t>logistics_base_unit_quantity</t>
  </si>
  <si>
    <r>
      <t xml:space="preserve">logistics_base_unit_quantity </t>
    </r>
    <r>
      <rPr>
        <b/>
        <sz val="10"/>
        <color rgb="FF0080FF"/>
        <rFont val="Consolas"/>
        <family val="3"/>
      </rPr>
      <t>VARCHAR</t>
    </r>
    <r>
      <rPr>
        <b/>
        <sz val="10"/>
        <color rgb="FF808080"/>
        <rFont val="Consolas"/>
        <family val="3"/>
      </rPr>
      <t>(</t>
    </r>
    <r>
      <rPr>
        <b/>
        <sz val="10"/>
        <color rgb="FFFF2800"/>
        <rFont val="Consolas"/>
        <family val="3"/>
      </rPr>
      <t>40</t>
    </r>
    <r>
      <rPr>
        <b/>
        <sz val="10"/>
        <color rgb="FF808080"/>
        <rFont val="Consolas"/>
        <family val="3"/>
      </rPr>
      <t>),</t>
    </r>
  </si>
  <si>
    <t>標準入数</t>
  </si>
  <si>
    <t>13,3</t>
  </si>
  <si>
    <t>standard_quantity</t>
  </si>
  <si>
    <r>
      <t xml:space="preserve">standard_quantity </t>
    </r>
    <r>
      <rPr>
        <b/>
        <sz val="10"/>
        <color rgb="FF0080FF"/>
        <rFont val="Consolas"/>
        <family val="3"/>
      </rPr>
      <t>DECIMAL</t>
    </r>
    <r>
      <rPr>
        <b/>
        <sz val="10"/>
        <color rgb="FF808080"/>
        <rFont val="Consolas"/>
        <family val="3"/>
      </rPr>
      <t>(</t>
    </r>
    <r>
      <rPr>
        <b/>
        <sz val="10"/>
        <color rgb="FFFF2800"/>
        <rFont val="Consolas"/>
        <family val="3"/>
      </rPr>
      <t>13</t>
    </r>
    <r>
      <rPr>
        <b/>
        <sz val="10"/>
        <color rgb="FF808080"/>
        <rFont val="Consolas"/>
        <family val="3"/>
      </rPr>
      <t>,</t>
    </r>
    <r>
      <rPr>
        <b/>
        <sz val="10"/>
        <color rgb="FFFF2800"/>
        <rFont val="Consolas"/>
        <family val="3"/>
      </rPr>
      <t>3</t>
    </r>
    <r>
      <rPr>
        <b/>
        <sz val="10"/>
        <color rgb="FF808080"/>
        <rFont val="Consolas"/>
        <family val="3"/>
      </rPr>
      <t>),</t>
    </r>
  </si>
  <si>
    <t>出荷時入数</t>
  </si>
  <si>
    <t>shipping_quantity</t>
  </si>
  <si>
    <r>
      <t xml:space="preserve">shipping_quantity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</si>
  <si>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個装箱サイズ_縦</t>
  </si>
  <si>
    <t>individual_box_size_length</t>
  </si>
  <si>
    <r>
      <t xml:space="preserve">individual_box_size_length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</si>
  <si>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個装箱サイズ_横</t>
  </si>
  <si>
    <t>individual_box_size_width</t>
  </si>
  <si>
    <r>
      <t xml:space="preserve">individual_box_size_width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</si>
  <si>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個装箱サイズ_高さ</t>
  </si>
  <si>
    <t>individual_box_size_height</t>
  </si>
  <si>
    <r>
      <t xml:space="preserve">individual_box_size_height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</si>
  <si>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梱包財_紙重量</t>
  </si>
  <si>
    <t>paper_packaging_material_weight</t>
  </si>
  <si>
    <r>
      <t xml:space="preserve">paper_packaging_material_weight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</si>
  <si>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梱包財_プラ重量</t>
  </si>
  <si>
    <t>plastic_packaging_material_weight</t>
  </si>
  <si>
    <r>
      <t xml:space="preserve">plastic_packaging_material_weight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</si>
  <si>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商品重量</t>
  </si>
  <si>
    <t>product_weight</t>
  </si>
  <si>
    <r>
      <t xml:space="preserve">product_weight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</si>
  <si>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パレット積み付け数</t>
  </si>
  <si>
    <t>number_of_pallets</t>
  </si>
  <si>
    <r>
      <t xml:space="preserve">number_of_pallets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</si>
  <si>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梱包仕様等</t>
  </si>
  <si>
    <t>packaging_specifications_etc</t>
  </si>
  <si>
    <r>
      <t xml:space="preserve">packaging_specifications_etc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</si>
  <si>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mrp管理者コード</t>
  </si>
  <si>
    <t>mrp_administrator_code</t>
  </si>
  <si>
    <r>
      <t xml:space="preserve">mrp_administrator_code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</si>
  <si>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変換代表フラグ</t>
  </si>
  <si>
    <t>conversion_representative_flag</t>
  </si>
  <si>
    <r>
      <t xml:space="preserve">conversion_representative_flag </t>
    </r>
    <r>
      <rPr>
        <b/>
        <sz val="10"/>
        <color rgb="FF0080FF"/>
        <rFont val="Consolas"/>
        <family val="3"/>
      </rPr>
      <t>VARCHAR</t>
    </r>
    <r>
      <rPr>
        <b/>
        <sz val="10"/>
        <color rgb="FF808080"/>
        <rFont val="Consolas"/>
        <family val="3"/>
      </rPr>
      <t>(</t>
    </r>
    <r>
      <rPr>
        <b/>
        <sz val="10"/>
        <color rgb="FFFF2800"/>
        <rFont val="Consolas"/>
        <family val="3"/>
      </rPr>
      <t>2</t>
    </r>
    <r>
      <rPr>
        <b/>
        <sz val="10"/>
        <color rgb="FF808080"/>
        <rFont val="Consolas"/>
        <family val="3"/>
      </rPr>
      <t>),</t>
    </r>
  </si>
  <si>
    <t>検品用商品タイプcd</t>
  </si>
  <si>
    <t>product_type_for_inspection_cd</t>
  </si>
  <si>
    <r>
      <t xml:space="preserve">product_type_for_inspection_cd </t>
    </r>
    <r>
      <rPr>
        <b/>
        <sz val="10"/>
        <color rgb="FF0080FF"/>
        <rFont val="Consolas"/>
        <family val="3"/>
      </rPr>
      <t>VARCHAR</t>
    </r>
    <r>
      <rPr>
        <b/>
        <sz val="10"/>
        <color rgb="FF808080"/>
        <rFont val="Consolas"/>
        <family val="3"/>
      </rPr>
      <t>(</t>
    </r>
    <r>
      <rPr>
        <b/>
        <sz val="10"/>
        <color rgb="FFFF2800"/>
        <rFont val="Consolas"/>
        <family val="3"/>
      </rPr>
      <t>6</t>
    </r>
    <r>
      <rPr>
        <b/>
        <sz val="10"/>
        <color rgb="FF808080"/>
        <rFont val="Consolas"/>
        <family val="3"/>
      </rPr>
      <t>),</t>
    </r>
  </si>
  <si>
    <t>検品用商品タイプnm</t>
  </si>
  <si>
    <t>product_type_for_inspection_nm</t>
  </si>
  <si>
    <r>
      <t xml:space="preserve">product_type_for_inspection_nm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</si>
  <si>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t>model_id</t>
  </si>
  <si>
    <r>
      <t xml:space="preserve">model_id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r>
      <rPr>
        <b/>
        <sz val="10"/>
        <color rgb="FFFF2800"/>
        <rFont val="Consolas"/>
        <family val="3"/>
      </rPr>
      <t>0</t>
    </r>
    <r>
      <rPr>
        <b/>
        <sz val="10"/>
        <color rgb="FF808080"/>
        <rFont val="Consolas"/>
        <family val="3"/>
      </rPr>
      <t>),</t>
    </r>
  </si>
  <si>
    <t>imsiタイプ</t>
  </si>
  <si>
    <t>imsi_type</t>
  </si>
  <si>
    <r>
      <t xml:space="preserve">imsi_type </t>
    </r>
    <r>
      <rPr>
        <b/>
        <sz val="10"/>
        <color rgb="FF0080FF"/>
        <rFont val="Consolas"/>
        <family val="3"/>
      </rPr>
      <t>VARCHAR</t>
    </r>
    <r>
      <rPr>
        <b/>
        <sz val="10"/>
        <color rgb="FF808080"/>
        <rFont val="Consolas"/>
        <family val="3"/>
      </rPr>
      <t>(</t>
    </r>
    <r>
      <rPr>
        <b/>
        <sz val="10"/>
        <color rgb="FFFF2800"/>
        <rFont val="Consolas"/>
        <family val="3"/>
      </rPr>
      <t>4</t>
    </r>
    <r>
      <rPr>
        <b/>
        <sz val="10"/>
        <color rgb="FF808080"/>
        <rFont val="Consolas"/>
        <family val="3"/>
      </rPr>
      <t>),</t>
    </r>
  </si>
  <si>
    <t>imsiタイプ正式名称</t>
  </si>
  <si>
    <t>imsi_type_official_name</t>
  </si>
  <si>
    <r>
      <t xml:space="preserve">imsi_type_official_name </t>
    </r>
    <r>
      <rPr>
        <b/>
        <sz val="10"/>
        <color rgb="FF0080FF"/>
        <rFont val="Consolas"/>
        <family val="3"/>
      </rPr>
      <t>VARCHAR</t>
    </r>
    <r>
      <rPr>
        <b/>
        <sz val="10"/>
        <color rgb="FF808080"/>
        <rFont val="Consolas"/>
        <family val="3"/>
      </rPr>
      <t>(</t>
    </r>
    <r>
      <rPr>
        <b/>
        <sz val="10"/>
        <color rgb="FFFF2800"/>
        <rFont val="Consolas"/>
        <family val="3"/>
      </rPr>
      <t>1200</t>
    </r>
    <r>
      <rPr>
        <b/>
        <sz val="10"/>
        <color rgb="FF808080"/>
        <rFont val="Consolas"/>
        <family val="3"/>
      </rPr>
      <t>),</t>
    </r>
  </si>
  <si>
    <r>
      <t>CONSTRAINT</t>
    </r>
    <r>
      <rPr>
        <b/>
        <sz val="10"/>
        <color theme="1"/>
        <rFont val="Consolas"/>
        <family val="3"/>
      </rPr>
      <t xml:space="preserve"> pk_mars_product </t>
    </r>
    <r>
      <rPr>
        <b/>
        <sz val="10"/>
        <color rgb="FF0080FF"/>
        <rFont val="Consolas"/>
        <family val="3"/>
      </rPr>
      <t>PRIMARY</t>
    </r>
    <r>
      <rPr>
        <b/>
        <sz val="10"/>
        <color theme="1"/>
        <rFont val="Consolas"/>
        <family val="3"/>
      </rPr>
      <t xml:space="preserve"> </t>
    </r>
    <r>
      <rPr>
        <b/>
        <sz val="10"/>
        <color rgb="FF0080FF"/>
        <rFont val="Consolas"/>
        <family val="3"/>
      </rPr>
      <t>KEY</t>
    </r>
    <r>
      <rPr>
        <b/>
        <sz val="10"/>
        <color theme="1"/>
        <rFont val="Consolas"/>
        <family val="3"/>
      </rPr>
      <t xml:space="preserve"> </t>
    </r>
    <r>
      <rPr>
        <b/>
        <sz val="10"/>
        <color rgb="FF808080"/>
        <rFont val="Consolas"/>
        <family val="3"/>
      </rPr>
      <t>(</t>
    </r>
    <r>
      <rPr>
        <b/>
        <sz val="10"/>
        <color theme="1"/>
        <rFont val="Consolas"/>
        <family val="3"/>
      </rPr>
      <t>id</t>
    </r>
    <r>
      <rPr>
        <b/>
        <sz val="10"/>
        <color rgb="FF808080"/>
        <rFont val="Consolas"/>
        <family val="3"/>
      </rPr>
      <t>));</t>
    </r>
    <r>
      <rPr>
        <b/>
        <sz val="10"/>
        <color theme="1"/>
        <rFont val="Consolas"/>
        <family val="3"/>
      </rPr>
      <t xml:space="preserve"> </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</si>
  <si>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TABLE</t>
    </r>
    <r>
      <rPr>
        <b/>
        <sz val="10"/>
        <color theme="1"/>
        <rFont val="Consolas"/>
        <family val="3"/>
      </rPr>
      <t xml:space="preserve"> mars_product </t>
    </r>
    <r>
      <rPr>
        <b/>
        <sz val="10"/>
        <color rgb="FF0080FF"/>
        <rFont val="Consolas"/>
        <family val="3"/>
      </rPr>
      <t>IS</t>
    </r>
    <r>
      <rPr>
        <b/>
        <sz val="10"/>
        <color theme="1"/>
        <rFont val="Consolas"/>
        <family val="3"/>
      </rPr>
      <t xml:space="preserve"> </t>
    </r>
    <r>
      <rPr>
        <b/>
        <sz val="10"/>
        <color rgb="FFFF2800"/>
        <rFont val="Consolas"/>
        <family val="3"/>
      </rPr>
      <t>'ビュー'</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</si>
  <si>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id </t>
    </r>
    <r>
      <rPr>
        <b/>
        <sz val="10"/>
        <color rgb="FF0080FF"/>
        <rFont val="Consolas"/>
        <family val="3"/>
      </rPr>
      <t>IS</t>
    </r>
    <r>
      <rPr>
        <b/>
        <sz val="10"/>
        <color theme="1"/>
        <rFont val="Consolas"/>
        <family val="3"/>
      </rPr>
      <t xml:space="preserve"> </t>
    </r>
    <r>
      <rPr>
        <b/>
        <sz val="10"/>
        <color rgb="FFFF2800"/>
        <rFont val="Consolas"/>
        <family val="3"/>
      </rPr>
      <t>'id'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</si>
  <si>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product_code </t>
    </r>
    <r>
      <rPr>
        <b/>
        <sz val="10"/>
        <color rgb="FF0080FF"/>
        <rFont val="Consolas"/>
        <family val="3"/>
      </rPr>
      <t>IS</t>
    </r>
    <r>
      <rPr>
        <b/>
        <sz val="10"/>
        <color theme="1"/>
        <rFont val="Consolas"/>
        <family val="3"/>
      </rPr>
      <t xml:space="preserve"> </t>
    </r>
    <r>
      <rPr>
        <b/>
        <sz val="10"/>
        <color rgb="FFFF2800"/>
        <rFont val="Consolas"/>
        <family val="3"/>
      </rPr>
      <t>'商品コード'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</si>
  <si>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validity_start_date </t>
    </r>
    <r>
      <rPr>
        <b/>
        <sz val="10"/>
        <color rgb="FF0080FF"/>
        <rFont val="Consolas"/>
        <family val="3"/>
      </rPr>
      <t>IS</t>
    </r>
    <r>
      <rPr>
        <b/>
        <sz val="10"/>
        <color theme="1"/>
        <rFont val="Consolas"/>
        <family val="3"/>
      </rPr>
      <t xml:space="preserve"> </t>
    </r>
    <r>
      <rPr>
        <b/>
        <sz val="10"/>
        <color rgb="FFFF2800"/>
        <rFont val="Consolas"/>
        <family val="3"/>
      </rPr>
      <t>'有効開始日'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</si>
  <si>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validity_start_time </t>
    </r>
    <r>
      <rPr>
        <b/>
        <sz val="10"/>
        <color rgb="FF0080FF"/>
        <rFont val="Consolas"/>
        <family val="3"/>
      </rPr>
      <t>IS</t>
    </r>
    <r>
      <rPr>
        <b/>
        <sz val="10"/>
        <color theme="1"/>
        <rFont val="Consolas"/>
        <family val="3"/>
      </rPr>
      <t xml:space="preserve"> </t>
    </r>
    <r>
      <rPr>
        <b/>
        <sz val="10"/>
        <color rgb="FFFF2800"/>
        <rFont val="Consolas"/>
        <family val="3"/>
      </rPr>
      <t>'有効開始時間'</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</si>
  <si>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validity_end_date </t>
    </r>
    <r>
      <rPr>
        <b/>
        <sz val="10"/>
        <color rgb="FF0080FF"/>
        <rFont val="Consolas"/>
        <family val="3"/>
      </rPr>
      <t>IS</t>
    </r>
    <r>
      <rPr>
        <b/>
        <sz val="10"/>
        <color theme="1"/>
        <rFont val="Consolas"/>
        <family val="3"/>
      </rPr>
      <t xml:space="preserve"> </t>
    </r>
    <r>
      <rPr>
        <b/>
        <sz val="10"/>
        <color rgb="FFFF2800"/>
        <rFont val="Consolas"/>
        <family val="3"/>
      </rPr>
      <t>'有効終了日'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</si>
  <si>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validity_end_time </t>
    </r>
    <r>
      <rPr>
        <b/>
        <sz val="10"/>
        <color rgb="FF0080FF"/>
        <rFont val="Consolas"/>
        <family val="3"/>
      </rPr>
      <t>IS</t>
    </r>
    <r>
      <rPr>
        <b/>
        <sz val="10"/>
        <color theme="1"/>
        <rFont val="Consolas"/>
        <family val="3"/>
      </rPr>
      <t xml:space="preserve"> </t>
    </r>
    <r>
      <rPr>
        <b/>
        <sz val="10"/>
        <color rgb="FFFF2800"/>
        <rFont val="Consolas"/>
        <family val="3"/>
      </rPr>
      <t>'有効終了時間'</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</si>
  <si>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area_code </t>
    </r>
    <r>
      <rPr>
        <b/>
        <sz val="10"/>
        <color rgb="FF0080FF"/>
        <rFont val="Consolas"/>
        <family val="3"/>
      </rPr>
      <t>IS</t>
    </r>
    <r>
      <rPr>
        <b/>
        <sz val="10"/>
        <color theme="1"/>
        <rFont val="Consolas"/>
        <family val="3"/>
      </rPr>
      <t xml:space="preserve"> </t>
    </r>
    <r>
      <rPr>
        <b/>
        <sz val="10"/>
        <color rgb="FFFF2800"/>
        <rFont val="Consolas"/>
        <family val="3"/>
      </rPr>
      <t>'地域コード'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</si>
  <si>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product_official_name </t>
    </r>
    <r>
      <rPr>
        <b/>
        <sz val="10"/>
        <color rgb="FF0080FF"/>
        <rFont val="Consolas"/>
        <family val="3"/>
      </rPr>
      <t>IS</t>
    </r>
    <r>
      <rPr>
        <b/>
        <sz val="10"/>
        <color theme="1"/>
        <rFont val="Consolas"/>
        <family val="3"/>
      </rPr>
      <t xml:space="preserve"> </t>
    </r>
    <r>
      <rPr>
        <b/>
        <sz val="10"/>
        <color rgb="FFFF2800"/>
        <rFont val="Consolas"/>
        <family val="3"/>
      </rPr>
      <t>'商品正式名称'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</si>
  <si>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product_name_in_kana </t>
    </r>
    <r>
      <rPr>
        <b/>
        <sz val="10"/>
        <color rgb="FF0080FF"/>
        <rFont val="Consolas"/>
        <family val="3"/>
      </rPr>
      <t>IS</t>
    </r>
    <r>
      <rPr>
        <b/>
        <sz val="10"/>
        <color theme="1"/>
        <rFont val="Consolas"/>
        <family val="3"/>
      </rPr>
      <t xml:space="preserve"> </t>
    </r>
    <r>
      <rPr>
        <b/>
        <sz val="10"/>
        <color rgb="FFFF2800"/>
        <rFont val="Consolas"/>
        <family val="3"/>
      </rPr>
      <t>'商品カナ名称'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</si>
  <si>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product_name_in_english </t>
    </r>
    <r>
      <rPr>
        <b/>
        <sz val="10"/>
        <color rgb="FF0080FF"/>
        <rFont val="Consolas"/>
        <family val="3"/>
      </rPr>
      <t>IS</t>
    </r>
    <r>
      <rPr>
        <b/>
        <sz val="10"/>
        <color theme="1"/>
        <rFont val="Consolas"/>
        <family val="3"/>
      </rPr>
      <t xml:space="preserve"> </t>
    </r>
    <r>
      <rPr>
        <b/>
        <sz val="10"/>
        <color rgb="FFFF2800"/>
        <rFont val="Consolas"/>
        <family val="3"/>
      </rPr>
      <t>'商品英語名称'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</si>
  <si>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product_abbreviation </t>
    </r>
    <r>
      <rPr>
        <b/>
        <sz val="10"/>
        <color rgb="FF0080FF"/>
        <rFont val="Consolas"/>
        <family val="3"/>
      </rPr>
      <t>IS</t>
    </r>
    <r>
      <rPr>
        <b/>
        <sz val="10"/>
        <color theme="1"/>
        <rFont val="Consolas"/>
        <family val="3"/>
      </rPr>
      <t xml:space="preserve"> </t>
    </r>
    <r>
      <rPr>
        <b/>
        <sz val="10"/>
        <color rgb="FFFF2800"/>
        <rFont val="Consolas"/>
        <family val="3"/>
      </rPr>
      <t>'商品略称'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</si>
  <si>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product_subcategory_id </t>
    </r>
    <r>
      <rPr>
        <b/>
        <sz val="10"/>
        <color rgb="FF0080FF"/>
        <rFont val="Consolas"/>
        <family val="3"/>
      </rPr>
      <t>IS</t>
    </r>
    <r>
      <rPr>
        <b/>
        <sz val="10"/>
        <color theme="1"/>
        <rFont val="Consolas"/>
        <family val="3"/>
      </rPr>
      <t xml:space="preserve"> </t>
    </r>
    <r>
      <rPr>
        <b/>
        <sz val="10"/>
        <color rgb="FFFF2800"/>
        <rFont val="Consolas"/>
        <family val="3"/>
      </rPr>
      <t>'商品細分類id'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</si>
  <si>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product_subcategory_official_name </t>
    </r>
    <r>
      <rPr>
        <b/>
        <sz val="10"/>
        <color rgb="FF0080FF"/>
        <rFont val="Consolas"/>
        <family val="3"/>
      </rPr>
      <t>IS</t>
    </r>
    <r>
      <rPr>
        <b/>
        <sz val="10"/>
        <color theme="1"/>
        <rFont val="Consolas"/>
        <family val="3"/>
      </rPr>
      <t xml:space="preserve"> </t>
    </r>
    <r>
      <rPr>
        <b/>
        <sz val="10"/>
        <color rgb="FFFF2800"/>
        <rFont val="Consolas"/>
        <family val="3"/>
      </rPr>
      <t>'商品細分類正式名称'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</si>
  <si>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product_subcategory_kana </t>
    </r>
    <r>
      <rPr>
        <b/>
        <sz val="10"/>
        <color rgb="FF0080FF"/>
        <rFont val="Consolas"/>
        <family val="3"/>
      </rPr>
      <t>IS</t>
    </r>
    <r>
      <rPr>
        <b/>
        <sz val="10"/>
        <color theme="1"/>
        <rFont val="Consolas"/>
        <family val="3"/>
      </rPr>
      <t xml:space="preserve"> </t>
    </r>
    <r>
      <rPr>
        <b/>
        <sz val="10"/>
        <color rgb="FFFF2800"/>
        <rFont val="Consolas"/>
        <family val="3"/>
      </rPr>
      <t>'商品細分類カナ名称'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</si>
  <si>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product_subcategory_english_name </t>
    </r>
    <r>
      <rPr>
        <b/>
        <sz val="10"/>
        <color rgb="FF0080FF"/>
        <rFont val="Consolas"/>
        <family val="3"/>
      </rPr>
      <t>IS</t>
    </r>
    <r>
      <rPr>
        <b/>
        <sz val="10"/>
        <color theme="1"/>
        <rFont val="Consolas"/>
        <family val="3"/>
      </rPr>
      <t xml:space="preserve"> </t>
    </r>
    <r>
      <rPr>
        <b/>
        <sz val="10"/>
        <color rgb="FFFF2800"/>
        <rFont val="Consolas"/>
        <family val="3"/>
      </rPr>
      <t>'商品細分類英語名称'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</si>
  <si>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product_small_category_id </t>
    </r>
    <r>
      <rPr>
        <b/>
        <sz val="10"/>
        <color rgb="FF0080FF"/>
        <rFont val="Consolas"/>
        <family val="3"/>
      </rPr>
      <t>IS</t>
    </r>
    <r>
      <rPr>
        <b/>
        <sz val="10"/>
        <color theme="1"/>
        <rFont val="Consolas"/>
        <family val="3"/>
      </rPr>
      <t xml:space="preserve"> </t>
    </r>
    <r>
      <rPr>
        <b/>
        <sz val="10"/>
        <color rgb="FFFF2800"/>
        <rFont val="Consolas"/>
        <family val="3"/>
      </rPr>
      <t>'商品小分類id'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</si>
  <si>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product_small_category_official_name </t>
    </r>
    <r>
      <rPr>
        <b/>
        <sz val="10"/>
        <color rgb="FF0080FF"/>
        <rFont val="Consolas"/>
        <family val="3"/>
      </rPr>
      <t>IS</t>
    </r>
    <r>
      <rPr>
        <b/>
        <sz val="10"/>
        <color theme="1"/>
        <rFont val="Consolas"/>
        <family val="3"/>
      </rPr>
      <t xml:space="preserve"> </t>
    </r>
    <r>
      <rPr>
        <b/>
        <sz val="10"/>
        <color rgb="FFFF2800"/>
        <rFont val="Consolas"/>
        <family val="3"/>
      </rPr>
      <t>'商品小分類正式名称'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</si>
  <si>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product_small_category_kana </t>
    </r>
    <r>
      <rPr>
        <b/>
        <sz val="10"/>
        <color rgb="FF0080FF"/>
        <rFont val="Consolas"/>
        <family val="3"/>
      </rPr>
      <t>IS</t>
    </r>
    <r>
      <rPr>
        <b/>
        <sz val="10"/>
        <color theme="1"/>
        <rFont val="Consolas"/>
        <family val="3"/>
      </rPr>
      <t xml:space="preserve"> </t>
    </r>
    <r>
      <rPr>
        <b/>
        <sz val="10"/>
        <color rgb="FFFF2800"/>
        <rFont val="Consolas"/>
        <family val="3"/>
      </rPr>
      <t>'商品小分類カナ名称'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</si>
  <si>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product_small_category_english_name </t>
    </r>
    <r>
      <rPr>
        <b/>
        <sz val="10"/>
        <color rgb="FF0080FF"/>
        <rFont val="Consolas"/>
        <family val="3"/>
      </rPr>
      <t>IS</t>
    </r>
    <r>
      <rPr>
        <b/>
        <sz val="10"/>
        <color theme="1"/>
        <rFont val="Consolas"/>
        <family val="3"/>
      </rPr>
      <t xml:space="preserve"> </t>
    </r>
    <r>
      <rPr>
        <b/>
        <sz val="10"/>
        <color rgb="FFFF2800"/>
        <rFont val="Consolas"/>
        <family val="3"/>
      </rPr>
      <t>'商品小分類英語名称'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</si>
  <si>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product_middle_category_id </t>
    </r>
    <r>
      <rPr>
        <b/>
        <sz val="10"/>
        <color rgb="FF0080FF"/>
        <rFont val="Consolas"/>
        <family val="3"/>
      </rPr>
      <t>IS</t>
    </r>
    <r>
      <rPr>
        <b/>
        <sz val="10"/>
        <color theme="1"/>
        <rFont val="Consolas"/>
        <family val="3"/>
      </rPr>
      <t xml:space="preserve"> </t>
    </r>
    <r>
      <rPr>
        <b/>
        <sz val="10"/>
        <color rgb="FFFF2800"/>
        <rFont val="Consolas"/>
        <family val="3"/>
      </rPr>
      <t>'商品中分類id'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</si>
  <si>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product_middle_category_official_name </t>
    </r>
    <r>
      <rPr>
        <b/>
        <sz val="10"/>
        <color rgb="FF0080FF"/>
        <rFont val="Consolas"/>
        <family val="3"/>
      </rPr>
      <t>IS</t>
    </r>
    <r>
      <rPr>
        <b/>
        <sz val="10"/>
        <color theme="1"/>
        <rFont val="Consolas"/>
        <family val="3"/>
      </rPr>
      <t xml:space="preserve"> </t>
    </r>
    <r>
      <rPr>
        <b/>
        <sz val="10"/>
        <color rgb="FFFF2800"/>
        <rFont val="Consolas"/>
        <family val="3"/>
      </rPr>
      <t>'商品中分類正式名称'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</si>
  <si>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product_middle_category_kana </t>
    </r>
    <r>
      <rPr>
        <b/>
        <sz val="10"/>
        <color rgb="FF0080FF"/>
        <rFont val="Consolas"/>
        <family val="3"/>
      </rPr>
      <t>IS</t>
    </r>
    <r>
      <rPr>
        <b/>
        <sz val="10"/>
        <color theme="1"/>
        <rFont val="Consolas"/>
        <family val="3"/>
      </rPr>
      <t xml:space="preserve"> </t>
    </r>
    <r>
      <rPr>
        <b/>
        <sz val="10"/>
        <color rgb="FFFF2800"/>
        <rFont val="Consolas"/>
        <family val="3"/>
      </rPr>
      <t>'商品中分類カナ名称'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</si>
  <si>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product_middle_category_english_name </t>
    </r>
    <r>
      <rPr>
        <b/>
        <sz val="10"/>
        <color rgb="FF0080FF"/>
        <rFont val="Consolas"/>
        <family val="3"/>
      </rPr>
      <t>IS</t>
    </r>
    <r>
      <rPr>
        <b/>
        <sz val="10"/>
        <color theme="1"/>
        <rFont val="Consolas"/>
        <family val="3"/>
      </rPr>
      <t xml:space="preserve"> </t>
    </r>
    <r>
      <rPr>
        <b/>
        <sz val="10"/>
        <color rgb="FFFF2800"/>
        <rFont val="Consolas"/>
        <family val="3"/>
      </rPr>
      <t>'商品中分類英語名称'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</si>
  <si>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product_major_category_id </t>
    </r>
    <r>
      <rPr>
        <b/>
        <sz val="10"/>
        <color rgb="FF0080FF"/>
        <rFont val="Consolas"/>
        <family val="3"/>
      </rPr>
      <t>IS</t>
    </r>
    <r>
      <rPr>
        <b/>
        <sz val="10"/>
        <color theme="1"/>
        <rFont val="Consolas"/>
        <family val="3"/>
      </rPr>
      <t xml:space="preserve"> </t>
    </r>
    <r>
      <rPr>
        <b/>
        <sz val="10"/>
        <color rgb="FFFF2800"/>
        <rFont val="Consolas"/>
        <family val="3"/>
      </rPr>
      <t>'商品大分類id'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</si>
  <si>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product_major_category_official_name </t>
    </r>
    <r>
      <rPr>
        <b/>
        <sz val="10"/>
        <color rgb="FF0080FF"/>
        <rFont val="Consolas"/>
        <family val="3"/>
      </rPr>
      <t>IS</t>
    </r>
    <r>
      <rPr>
        <b/>
        <sz val="10"/>
        <color theme="1"/>
        <rFont val="Consolas"/>
        <family val="3"/>
      </rPr>
      <t xml:space="preserve"> </t>
    </r>
    <r>
      <rPr>
        <b/>
        <sz val="10"/>
        <color rgb="FFFF2800"/>
        <rFont val="Consolas"/>
        <family val="3"/>
      </rPr>
      <t>'商品大分類正式名称'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</si>
  <si>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product_major_category_kana </t>
    </r>
    <r>
      <rPr>
        <b/>
        <sz val="10"/>
        <color rgb="FF0080FF"/>
        <rFont val="Consolas"/>
        <family val="3"/>
      </rPr>
      <t>IS</t>
    </r>
    <r>
      <rPr>
        <b/>
        <sz val="10"/>
        <color theme="1"/>
        <rFont val="Consolas"/>
        <family val="3"/>
      </rPr>
      <t xml:space="preserve"> </t>
    </r>
    <r>
      <rPr>
        <b/>
        <sz val="10"/>
        <color rgb="FFFF2800"/>
        <rFont val="Consolas"/>
        <family val="3"/>
      </rPr>
      <t>'商品大分類カナ名称'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</si>
  <si>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product_major_category_english_name </t>
    </r>
    <r>
      <rPr>
        <b/>
        <sz val="10"/>
        <color rgb="FF0080FF"/>
        <rFont val="Consolas"/>
        <family val="3"/>
      </rPr>
      <t>IS</t>
    </r>
    <r>
      <rPr>
        <b/>
        <sz val="10"/>
        <color theme="1"/>
        <rFont val="Consolas"/>
        <family val="3"/>
      </rPr>
      <t xml:space="preserve"> </t>
    </r>
    <r>
      <rPr>
        <b/>
        <sz val="10"/>
        <color rgb="FFFF2800"/>
        <rFont val="Consolas"/>
        <family val="3"/>
      </rPr>
      <t>'商品大分類英語名称'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</si>
  <si>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individual_management_type_code </t>
    </r>
    <r>
      <rPr>
        <b/>
        <sz val="10"/>
        <color rgb="FF0080FF"/>
        <rFont val="Consolas"/>
        <family val="3"/>
      </rPr>
      <t>IS</t>
    </r>
    <r>
      <rPr>
        <b/>
        <sz val="10"/>
        <color theme="1"/>
        <rFont val="Consolas"/>
        <family val="3"/>
      </rPr>
      <t xml:space="preserve"> </t>
    </r>
    <r>
      <rPr>
        <b/>
        <sz val="10"/>
        <color rgb="FFFF2800"/>
        <rFont val="Consolas"/>
        <family val="3"/>
      </rPr>
      <t>'個体管理タイプコード'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</si>
  <si>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manufacturer_id </t>
    </r>
    <r>
      <rPr>
        <b/>
        <sz val="10"/>
        <color rgb="FF0080FF"/>
        <rFont val="Consolas"/>
        <family val="3"/>
      </rPr>
      <t>IS</t>
    </r>
    <r>
      <rPr>
        <b/>
        <sz val="10"/>
        <color theme="1"/>
        <rFont val="Consolas"/>
        <family val="3"/>
      </rPr>
      <t xml:space="preserve"> </t>
    </r>
    <r>
      <rPr>
        <b/>
        <sz val="10"/>
        <color rgb="FFFF2800"/>
        <rFont val="Consolas"/>
        <family val="3"/>
      </rPr>
      <t>'メーカーid'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</si>
  <si>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manufacturer_official_name </t>
    </r>
    <r>
      <rPr>
        <b/>
        <sz val="10"/>
        <color rgb="FF0080FF"/>
        <rFont val="Consolas"/>
        <family val="3"/>
      </rPr>
      <t>IS</t>
    </r>
    <r>
      <rPr>
        <b/>
        <sz val="10"/>
        <color theme="1"/>
        <rFont val="Consolas"/>
        <family val="3"/>
      </rPr>
      <t xml:space="preserve"> </t>
    </r>
    <r>
      <rPr>
        <b/>
        <sz val="10"/>
        <color rgb="FFFF2800"/>
        <rFont val="Consolas"/>
        <family val="3"/>
      </rPr>
      <t>'メーカー正式名称'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</si>
  <si>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manufacturer_name_in_kana </t>
    </r>
    <r>
      <rPr>
        <b/>
        <sz val="10"/>
        <color rgb="FF0080FF"/>
        <rFont val="Consolas"/>
        <family val="3"/>
      </rPr>
      <t>IS</t>
    </r>
    <r>
      <rPr>
        <b/>
        <sz val="10"/>
        <color theme="1"/>
        <rFont val="Consolas"/>
        <family val="3"/>
      </rPr>
      <t xml:space="preserve"> </t>
    </r>
    <r>
      <rPr>
        <b/>
        <sz val="10"/>
        <color rgb="FFFF2800"/>
        <rFont val="Consolas"/>
        <family val="3"/>
      </rPr>
      <t>'メーカーカナ名称'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</si>
  <si>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manufacturer_name_in_english </t>
    </r>
    <r>
      <rPr>
        <b/>
        <sz val="10"/>
        <color rgb="FF0080FF"/>
        <rFont val="Consolas"/>
        <family val="3"/>
      </rPr>
      <t>IS</t>
    </r>
    <r>
      <rPr>
        <b/>
        <sz val="10"/>
        <color theme="1"/>
        <rFont val="Consolas"/>
        <family val="3"/>
      </rPr>
      <t xml:space="preserve"> </t>
    </r>
    <r>
      <rPr>
        <b/>
        <sz val="10"/>
        <color rgb="FFFF2800"/>
        <rFont val="Consolas"/>
        <family val="3"/>
      </rPr>
      <t>'メーカー英語名称'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</si>
  <si>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brand_id </t>
    </r>
    <r>
      <rPr>
        <b/>
        <sz val="10"/>
        <color rgb="FF0080FF"/>
        <rFont val="Consolas"/>
        <family val="3"/>
      </rPr>
      <t>IS</t>
    </r>
    <r>
      <rPr>
        <b/>
        <sz val="10"/>
        <color theme="1"/>
        <rFont val="Consolas"/>
        <family val="3"/>
      </rPr>
      <t xml:space="preserve"> </t>
    </r>
    <r>
      <rPr>
        <b/>
        <sz val="10"/>
        <color rgb="FFFF2800"/>
        <rFont val="Consolas"/>
        <family val="3"/>
      </rPr>
      <t>'ブランドid'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</si>
  <si>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brand_official_name </t>
    </r>
    <r>
      <rPr>
        <b/>
        <sz val="10"/>
        <color rgb="FF0080FF"/>
        <rFont val="Consolas"/>
        <family val="3"/>
      </rPr>
      <t>IS</t>
    </r>
    <r>
      <rPr>
        <b/>
        <sz val="10"/>
        <color theme="1"/>
        <rFont val="Consolas"/>
        <family val="3"/>
      </rPr>
      <t xml:space="preserve"> </t>
    </r>
    <r>
      <rPr>
        <b/>
        <sz val="10"/>
        <color rgb="FFFF2800"/>
        <rFont val="Consolas"/>
        <family val="3"/>
      </rPr>
      <t>'ブランド正式名称'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</si>
  <si>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brand_code </t>
    </r>
    <r>
      <rPr>
        <b/>
        <sz val="10"/>
        <color rgb="FF0080FF"/>
        <rFont val="Consolas"/>
        <family val="3"/>
      </rPr>
      <t>IS</t>
    </r>
    <r>
      <rPr>
        <b/>
        <sz val="10"/>
        <color theme="1"/>
        <rFont val="Consolas"/>
        <family val="3"/>
      </rPr>
      <t xml:space="preserve"> </t>
    </r>
    <r>
      <rPr>
        <b/>
        <sz val="10"/>
        <color rgb="FFFF2800"/>
        <rFont val="Consolas"/>
        <family val="3"/>
      </rPr>
      <t>'ブランドコード'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</si>
  <si>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brand_name_in_kana </t>
    </r>
    <r>
      <rPr>
        <b/>
        <sz val="10"/>
        <color rgb="FF0080FF"/>
        <rFont val="Consolas"/>
        <family val="3"/>
      </rPr>
      <t>IS</t>
    </r>
    <r>
      <rPr>
        <b/>
        <sz val="10"/>
        <color theme="1"/>
        <rFont val="Consolas"/>
        <family val="3"/>
      </rPr>
      <t xml:space="preserve"> </t>
    </r>
    <r>
      <rPr>
        <b/>
        <sz val="10"/>
        <color rgb="FFFF2800"/>
        <rFont val="Consolas"/>
        <family val="3"/>
      </rPr>
      <t>'ブランドカナ名称'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</si>
  <si>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brand_abbreviation </t>
    </r>
    <r>
      <rPr>
        <b/>
        <sz val="10"/>
        <color rgb="FF0080FF"/>
        <rFont val="Consolas"/>
        <family val="3"/>
      </rPr>
      <t>IS</t>
    </r>
    <r>
      <rPr>
        <b/>
        <sz val="10"/>
        <color theme="1"/>
        <rFont val="Consolas"/>
        <family val="3"/>
      </rPr>
      <t xml:space="preserve"> </t>
    </r>
    <r>
      <rPr>
        <b/>
        <sz val="10"/>
        <color rgb="FFFF2800"/>
        <rFont val="Consolas"/>
        <family val="3"/>
      </rPr>
      <t>'ブランド略称'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</si>
  <si>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brand_name_in_english </t>
    </r>
    <r>
      <rPr>
        <b/>
        <sz val="10"/>
        <color rgb="FF0080FF"/>
        <rFont val="Consolas"/>
        <family val="3"/>
      </rPr>
      <t>IS</t>
    </r>
    <r>
      <rPr>
        <b/>
        <sz val="10"/>
        <color theme="1"/>
        <rFont val="Consolas"/>
        <family val="3"/>
      </rPr>
      <t xml:space="preserve"> </t>
    </r>
    <r>
      <rPr>
        <b/>
        <sz val="10"/>
        <color rgb="FFFF2800"/>
        <rFont val="Consolas"/>
        <family val="3"/>
      </rPr>
      <t>'ブランド英語名称'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</si>
  <si>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jan_code </t>
    </r>
    <r>
      <rPr>
        <b/>
        <sz val="10"/>
        <color rgb="FF0080FF"/>
        <rFont val="Consolas"/>
        <family val="3"/>
      </rPr>
      <t>IS</t>
    </r>
    <r>
      <rPr>
        <b/>
        <sz val="10"/>
        <color theme="1"/>
        <rFont val="Consolas"/>
        <family val="3"/>
      </rPr>
      <t xml:space="preserve"> </t>
    </r>
    <r>
      <rPr>
        <b/>
        <sz val="10"/>
        <color rgb="FFFF2800"/>
        <rFont val="Consolas"/>
        <family val="3"/>
      </rPr>
      <t>'janコード'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</si>
  <si>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product_color_official_name </t>
    </r>
    <r>
      <rPr>
        <b/>
        <sz val="10"/>
        <color rgb="FF0080FF"/>
        <rFont val="Consolas"/>
        <family val="3"/>
      </rPr>
      <t>IS</t>
    </r>
    <r>
      <rPr>
        <b/>
        <sz val="10"/>
        <color theme="1"/>
        <rFont val="Consolas"/>
        <family val="3"/>
      </rPr>
      <t xml:space="preserve"> </t>
    </r>
    <r>
      <rPr>
        <b/>
        <sz val="10"/>
        <color rgb="FFFF2800"/>
        <rFont val="Consolas"/>
        <family val="3"/>
      </rPr>
      <t>'商品色正式名称'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</si>
  <si>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product_color_abbreviation </t>
    </r>
    <r>
      <rPr>
        <b/>
        <sz val="10"/>
        <color rgb="FF0080FF"/>
        <rFont val="Consolas"/>
        <family val="3"/>
      </rPr>
      <t>IS</t>
    </r>
    <r>
      <rPr>
        <b/>
        <sz val="10"/>
        <color theme="1"/>
        <rFont val="Consolas"/>
        <family val="3"/>
      </rPr>
      <t xml:space="preserve"> </t>
    </r>
    <r>
      <rPr>
        <b/>
        <sz val="10"/>
        <color rgb="FFFF2800"/>
        <rFont val="Consolas"/>
        <family val="3"/>
      </rPr>
      <t>'商品色略称'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</si>
  <si>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standard_color_id </t>
    </r>
    <r>
      <rPr>
        <b/>
        <sz val="10"/>
        <color rgb="FF0080FF"/>
        <rFont val="Consolas"/>
        <family val="3"/>
      </rPr>
      <t>IS</t>
    </r>
    <r>
      <rPr>
        <b/>
        <sz val="10"/>
        <color theme="1"/>
        <rFont val="Consolas"/>
        <family val="3"/>
      </rPr>
      <t xml:space="preserve"> </t>
    </r>
    <r>
      <rPr>
        <b/>
        <sz val="10"/>
        <color rgb="FFFF2800"/>
        <rFont val="Consolas"/>
        <family val="3"/>
      </rPr>
      <t>'標準色id'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</si>
  <si>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standard_color_official_name </t>
    </r>
    <r>
      <rPr>
        <b/>
        <sz val="10"/>
        <color rgb="FF0080FF"/>
        <rFont val="Consolas"/>
        <family val="3"/>
      </rPr>
      <t>IS</t>
    </r>
    <r>
      <rPr>
        <b/>
        <sz val="10"/>
        <color theme="1"/>
        <rFont val="Consolas"/>
        <family val="3"/>
      </rPr>
      <t xml:space="preserve"> </t>
    </r>
    <r>
      <rPr>
        <b/>
        <sz val="10"/>
        <color rgb="FFFF2800"/>
        <rFont val="Consolas"/>
        <family val="3"/>
      </rPr>
      <t>'標準色正式名称'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</si>
  <si>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standard_color_name_in_kana </t>
    </r>
    <r>
      <rPr>
        <b/>
        <sz val="10"/>
        <color rgb="FF0080FF"/>
        <rFont val="Consolas"/>
        <family val="3"/>
      </rPr>
      <t>IS</t>
    </r>
    <r>
      <rPr>
        <b/>
        <sz val="10"/>
        <color theme="1"/>
        <rFont val="Consolas"/>
        <family val="3"/>
      </rPr>
      <t xml:space="preserve"> </t>
    </r>
    <r>
      <rPr>
        <b/>
        <sz val="10"/>
        <color rgb="FFFF2800"/>
        <rFont val="Consolas"/>
        <family val="3"/>
      </rPr>
      <t>'標準色カナ名称'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</si>
  <si>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standard_color_name_in_english </t>
    </r>
    <r>
      <rPr>
        <b/>
        <sz val="10"/>
        <color rgb="FF0080FF"/>
        <rFont val="Consolas"/>
        <family val="3"/>
      </rPr>
      <t>IS</t>
    </r>
    <r>
      <rPr>
        <b/>
        <sz val="10"/>
        <color theme="1"/>
        <rFont val="Consolas"/>
        <family val="3"/>
      </rPr>
      <t xml:space="preserve"> </t>
    </r>
    <r>
      <rPr>
        <b/>
        <sz val="10"/>
        <color rgb="FFFF2800"/>
        <rFont val="Consolas"/>
        <family val="3"/>
      </rPr>
      <t>'標準色英語名称'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</si>
  <si>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model_code </t>
    </r>
    <r>
      <rPr>
        <b/>
        <sz val="10"/>
        <color rgb="FF0080FF"/>
        <rFont val="Consolas"/>
        <family val="3"/>
      </rPr>
      <t>IS</t>
    </r>
    <r>
      <rPr>
        <b/>
        <sz val="10"/>
        <color theme="1"/>
        <rFont val="Consolas"/>
        <family val="3"/>
      </rPr>
      <t xml:space="preserve"> </t>
    </r>
    <r>
      <rPr>
        <b/>
        <sz val="10"/>
        <color rgb="FFFF2800"/>
        <rFont val="Consolas"/>
        <family val="3"/>
      </rPr>
      <t>'機種コード'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</si>
  <si>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model_official_name </t>
    </r>
    <r>
      <rPr>
        <b/>
        <sz val="10"/>
        <color rgb="FF0080FF"/>
        <rFont val="Consolas"/>
        <family val="3"/>
      </rPr>
      <t>IS</t>
    </r>
    <r>
      <rPr>
        <b/>
        <sz val="10"/>
        <color theme="1"/>
        <rFont val="Consolas"/>
        <family val="3"/>
      </rPr>
      <t xml:space="preserve"> </t>
    </r>
    <r>
      <rPr>
        <b/>
        <sz val="10"/>
        <color rgb="FFFF2800"/>
        <rFont val="Consolas"/>
        <family val="3"/>
      </rPr>
      <t>'機種正式名称'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</si>
  <si>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fee_payment_stop_date </t>
    </r>
    <r>
      <rPr>
        <b/>
        <sz val="10"/>
        <color rgb="FF0080FF"/>
        <rFont val="Consolas"/>
        <family val="3"/>
      </rPr>
      <t>IS</t>
    </r>
    <r>
      <rPr>
        <b/>
        <sz val="10"/>
        <color theme="1"/>
        <rFont val="Consolas"/>
        <family val="3"/>
      </rPr>
      <t xml:space="preserve"> </t>
    </r>
    <r>
      <rPr>
        <b/>
        <sz val="10"/>
        <color rgb="FFFF2800"/>
        <rFont val="Consolas"/>
        <family val="3"/>
      </rPr>
      <t>'手数料支払停止日'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</si>
  <si>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mvno_identification_id </t>
    </r>
    <r>
      <rPr>
        <b/>
        <sz val="10"/>
        <color rgb="FF0080FF"/>
        <rFont val="Consolas"/>
        <family val="3"/>
      </rPr>
      <t>IS</t>
    </r>
    <r>
      <rPr>
        <b/>
        <sz val="10"/>
        <color theme="1"/>
        <rFont val="Consolas"/>
        <family val="3"/>
      </rPr>
      <t xml:space="preserve"> </t>
    </r>
    <r>
      <rPr>
        <b/>
        <sz val="10"/>
        <color rgb="FFFF2800"/>
        <rFont val="Consolas"/>
        <family val="3"/>
      </rPr>
      <t>'mvno識別id'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</si>
  <si>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mvno_identification_abbreviation_2 </t>
    </r>
    <r>
      <rPr>
        <b/>
        <sz val="10"/>
        <color rgb="FF0080FF"/>
        <rFont val="Consolas"/>
        <family val="3"/>
      </rPr>
      <t>IS</t>
    </r>
    <r>
      <rPr>
        <b/>
        <sz val="10"/>
        <color theme="1"/>
        <rFont val="Consolas"/>
        <family val="3"/>
      </rPr>
      <t xml:space="preserve"> </t>
    </r>
    <r>
      <rPr>
        <b/>
        <sz val="10"/>
        <color rgb="FFFF2800"/>
        <rFont val="Consolas"/>
        <family val="3"/>
      </rPr>
      <t>'mvno識別略称2'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</si>
  <si>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sales_start_date </t>
    </r>
    <r>
      <rPr>
        <b/>
        <sz val="10"/>
        <color rgb="FF0080FF"/>
        <rFont val="Consolas"/>
        <family val="3"/>
      </rPr>
      <t>IS</t>
    </r>
    <r>
      <rPr>
        <b/>
        <sz val="10"/>
        <color theme="1"/>
        <rFont val="Consolas"/>
        <family val="3"/>
      </rPr>
      <t xml:space="preserve"> </t>
    </r>
    <r>
      <rPr>
        <b/>
        <sz val="10"/>
        <color rgb="FFFF2800"/>
        <rFont val="Consolas"/>
        <family val="3"/>
      </rPr>
      <t>'販売開始日'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</si>
  <si>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sales_end_date </t>
    </r>
    <r>
      <rPr>
        <b/>
        <sz val="10"/>
        <color rgb="FF0080FF"/>
        <rFont val="Consolas"/>
        <family val="3"/>
      </rPr>
      <t>IS</t>
    </r>
    <r>
      <rPr>
        <b/>
        <sz val="10"/>
        <color theme="1"/>
        <rFont val="Consolas"/>
        <family val="3"/>
      </rPr>
      <t xml:space="preserve"> </t>
    </r>
    <r>
      <rPr>
        <b/>
        <sz val="10"/>
        <color rgb="FFFF2800"/>
        <rFont val="Consolas"/>
        <family val="3"/>
      </rPr>
      <t>'販売終了日'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</si>
  <si>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additional_purchase_validity_start_date </t>
    </r>
    <r>
      <rPr>
        <b/>
        <sz val="10"/>
        <color rgb="FF0080FF"/>
        <rFont val="Consolas"/>
        <family val="3"/>
      </rPr>
      <t>IS</t>
    </r>
    <r>
      <rPr>
        <b/>
        <sz val="10"/>
        <color theme="1"/>
        <rFont val="Consolas"/>
        <family val="3"/>
      </rPr>
      <t xml:space="preserve"> </t>
    </r>
    <r>
      <rPr>
        <b/>
        <sz val="10"/>
        <color rgb="FFFF2800"/>
        <rFont val="Consolas"/>
        <family val="3"/>
      </rPr>
      <t>'買い増し有効開始日'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</si>
  <si>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additional_purchase_validity_end_date </t>
    </r>
    <r>
      <rPr>
        <b/>
        <sz val="10"/>
        <color rgb="FF0080FF"/>
        <rFont val="Consolas"/>
        <family val="3"/>
      </rPr>
      <t>IS</t>
    </r>
    <r>
      <rPr>
        <b/>
        <sz val="10"/>
        <color theme="1"/>
        <rFont val="Consolas"/>
        <family val="3"/>
      </rPr>
      <t xml:space="preserve"> </t>
    </r>
    <r>
      <rPr>
        <b/>
        <sz val="10"/>
        <color rgb="FFFF2800"/>
        <rFont val="Consolas"/>
        <family val="3"/>
      </rPr>
      <t>'買い増し有効終了日'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</si>
  <si>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cic_product_code </t>
    </r>
    <r>
      <rPr>
        <b/>
        <sz val="10"/>
        <color rgb="FF0080FF"/>
        <rFont val="Consolas"/>
        <family val="3"/>
      </rPr>
      <t>IS</t>
    </r>
    <r>
      <rPr>
        <b/>
        <sz val="10"/>
        <color theme="1"/>
        <rFont val="Consolas"/>
        <family val="3"/>
      </rPr>
      <t xml:space="preserve"> </t>
    </r>
    <r>
      <rPr>
        <b/>
        <sz val="10"/>
        <color rgb="FFFF2800"/>
        <rFont val="Consolas"/>
        <family val="3"/>
      </rPr>
      <t>'cic商品コード'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</si>
  <si>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non_essential_flag </t>
    </r>
    <r>
      <rPr>
        <b/>
        <sz val="10"/>
        <color rgb="FF0080FF"/>
        <rFont val="Consolas"/>
        <family val="3"/>
      </rPr>
      <t>IS</t>
    </r>
    <r>
      <rPr>
        <b/>
        <sz val="10"/>
        <color theme="1"/>
        <rFont val="Consolas"/>
        <family val="3"/>
      </rPr>
      <t xml:space="preserve"> </t>
    </r>
    <r>
      <rPr>
        <b/>
        <sz val="10"/>
        <color rgb="FFFF2800"/>
        <rFont val="Consolas"/>
        <family val="3"/>
      </rPr>
      <t>'生活必需品外フラグ'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</si>
  <si>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service_generation_id </t>
    </r>
    <r>
      <rPr>
        <b/>
        <sz val="10"/>
        <color rgb="FF0080FF"/>
        <rFont val="Consolas"/>
        <family val="3"/>
      </rPr>
      <t>IS</t>
    </r>
    <r>
      <rPr>
        <b/>
        <sz val="10"/>
        <color theme="1"/>
        <rFont val="Consolas"/>
        <family val="3"/>
      </rPr>
      <t xml:space="preserve"> </t>
    </r>
    <r>
      <rPr>
        <b/>
        <sz val="10"/>
        <color rgb="FFFF2800"/>
        <rFont val="Consolas"/>
        <family val="3"/>
      </rPr>
      <t>'サービス世代id'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</si>
  <si>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service_generation_official_name </t>
    </r>
    <r>
      <rPr>
        <b/>
        <sz val="10"/>
        <color rgb="FF0080FF"/>
        <rFont val="Consolas"/>
        <family val="3"/>
      </rPr>
      <t>IS</t>
    </r>
    <r>
      <rPr>
        <b/>
        <sz val="10"/>
        <color theme="1"/>
        <rFont val="Consolas"/>
        <family val="3"/>
      </rPr>
      <t xml:space="preserve"> </t>
    </r>
    <r>
      <rPr>
        <b/>
        <sz val="10"/>
        <color rgb="FFFF2800"/>
        <rFont val="Consolas"/>
        <family val="3"/>
      </rPr>
      <t>'サービス世代正式名称'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</si>
  <si>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capacity </t>
    </r>
    <r>
      <rPr>
        <b/>
        <sz val="10"/>
        <color rgb="FF0080FF"/>
        <rFont val="Consolas"/>
        <family val="3"/>
      </rPr>
      <t>IS</t>
    </r>
    <r>
      <rPr>
        <b/>
        <sz val="10"/>
        <color theme="1"/>
        <rFont val="Consolas"/>
        <family val="3"/>
      </rPr>
      <t xml:space="preserve"> </t>
    </r>
    <r>
      <rPr>
        <b/>
        <sz val="10"/>
        <color rgb="FFFF2800"/>
        <rFont val="Consolas"/>
        <family val="3"/>
      </rPr>
      <t>'容量'</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</si>
  <si>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installment_review_limit_chk_target_flg </t>
    </r>
    <r>
      <rPr>
        <b/>
        <sz val="10"/>
        <color rgb="FF0080FF"/>
        <rFont val="Consolas"/>
        <family val="3"/>
      </rPr>
      <t>IS</t>
    </r>
    <r>
      <rPr>
        <b/>
        <sz val="10"/>
        <color theme="1"/>
        <rFont val="Consolas"/>
        <family val="3"/>
      </rPr>
      <t xml:space="preserve"> </t>
    </r>
    <r>
      <rPr>
        <b/>
        <sz val="10"/>
        <color rgb="FFFF2800"/>
        <rFont val="Consolas"/>
        <family val="3"/>
      </rPr>
      <t>'割賦審査上限chk対象flg'</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</si>
  <si>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opt_installment_sales_applicable_flg </t>
    </r>
    <r>
      <rPr>
        <b/>
        <sz val="10"/>
        <color rgb="FF0080FF"/>
        <rFont val="Consolas"/>
        <family val="3"/>
      </rPr>
      <t>IS</t>
    </r>
    <r>
      <rPr>
        <b/>
        <sz val="10"/>
        <color theme="1"/>
        <rFont val="Consolas"/>
        <family val="3"/>
      </rPr>
      <t xml:space="preserve"> </t>
    </r>
    <r>
      <rPr>
        <b/>
        <sz val="10"/>
        <color rgb="FFFF2800"/>
        <rFont val="Consolas"/>
        <family val="3"/>
      </rPr>
      <t>'opt品割賦販売適用flg'</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</si>
  <si>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opt_installment_sales_applicable_from </t>
    </r>
    <r>
      <rPr>
        <b/>
        <sz val="10"/>
        <color rgb="FF0080FF"/>
        <rFont val="Consolas"/>
        <family val="3"/>
      </rPr>
      <t>IS</t>
    </r>
    <r>
      <rPr>
        <b/>
        <sz val="10"/>
        <color theme="1"/>
        <rFont val="Consolas"/>
        <family val="3"/>
      </rPr>
      <t xml:space="preserve"> </t>
    </r>
    <r>
      <rPr>
        <b/>
        <sz val="10"/>
        <color rgb="FFFF2800"/>
        <rFont val="Consolas"/>
        <family val="3"/>
      </rPr>
      <t>'opt品割賦販売適用from'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</si>
  <si>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sales_price </t>
    </r>
    <r>
      <rPr>
        <b/>
        <sz val="10"/>
        <color rgb="FF0080FF"/>
        <rFont val="Consolas"/>
        <family val="3"/>
      </rPr>
      <t>IS</t>
    </r>
    <r>
      <rPr>
        <b/>
        <sz val="10"/>
        <color theme="1"/>
        <rFont val="Consolas"/>
        <family val="3"/>
      </rPr>
      <t xml:space="preserve"> </t>
    </r>
    <r>
      <rPr>
        <b/>
        <sz val="10"/>
        <color rgb="FFFF2800"/>
        <rFont val="Consolas"/>
        <family val="3"/>
      </rPr>
      <t>'売価'</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</si>
  <si>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device_category </t>
    </r>
    <r>
      <rPr>
        <b/>
        <sz val="10"/>
        <color rgb="FF0080FF"/>
        <rFont val="Consolas"/>
        <family val="3"/>
      </rPr>
      <t>IS</t>
    </r>
    <r>
      <rPr>
        <b/>
        <sz val="10"/>
        <color theme="1"/>
        <rFont val="Consolas"/>
        <family val="3"/>
      </rPr>
      <t xml:space="preserve"> </t>
    </r>
    <r>
      <rPr>
        <b/>
        <sz val="10"/>
        <color rgb="FFFF2800"/>
        <rFont val="Consolas"/>
        <family val="3"/>
      </rPr>
      <t>'端末区分'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</si>
  <si>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device_category_official_name </t>
    </r>
    <r>
      <rPr>
        <b/>
        <sz val="10"/>
        <color rgb="FF0080FF"/>
        <rFont val="Consolas"/>
        <family val="3"/>
      </rPr>
      <t>IS</t>
    </r>
    <r>
      <rPr>
        <b/>
        <sz val="10"/>
        <color theme="1"/>
        <rFont val="Consolas"/>
        <family val="3"/>
      </rPr>
      <t xml:space="preserve"> </t>
    </r>
    <r>
      <rPr>
        <b/>
        <sz val="10"/>
        <color rgb="FFFF2800"/>
        <rFont val="Consolas"/>
        <family val="3"/>
      </rPr>
      <t>'端末区分正式名称'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</si>
  <si>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major_category </t>
    </r>
    <r>
      <rPr>
        <b/>
        <sz val="10"/>
        <color rgb="FF0080FF"/>
        <rFont val="Consolas"/>
        <family val="3"/>
      </rPr>
      <t>IS</t>
    </r>
    <r>
      <rPr>
        <b/>
        <sz val="10"/>
        <color theme="1"/>
        <rFont val="Consolas"/>
        <family val="3"/>
      </rPr>
      <t xml:space="preserve"> </t>
    </r>
    <r>
      <rPr>
        <b/>
        <sz val="10"/>
        <color rgb="FFFF2800"/>
        <rFont val="Consolas"/>
        <family val="3"/>
      </rPr>
      <t>'大分類'</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</si>
  <si>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major_category_official_name </t>
    </r>
    <r>
      <rPr>
        <b/>
        <sz val="10"/>
        <color rgb="FF0080FF"/>
        <rFont val="Consolas"/>
        <family val="3"/>
      </rPr>
      <t>IS</t>
    </r>
    <r>
      <rPr>
        <b/>
        <sz val="10"/>
        <color theme="1"/>
        <rFont val="Consolas"/>
        <family val="3"/>
      </rPr>
      <t xml:space="preserve"> </t>
    </r>
    <r>
      <rPr>
        <b/>
        <sz val="10"/>
        <color rgb="FFFF2800"/>
        <rFont val="Consolas"/>
        <family val="3"/>
      </rPr>
      <t>'大分類正式名称'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</si>
  <si>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middle_category </t>
    </r>
    <r>
      <rPr>
        <b/>
        <sz val="10"/>
        <color rgb="FF0080FF"/>
        <rFont val="Consolas"/>
        <family val="3"/>
      </rPr>
      <t>IS</t>
    </r>
    <r>
      <rPr>
        <b/>
        <sz val="10"/>
        <color theme="1"/>
        <rFont val="Consolas"/>
        <family val="3"/>
      </rPr>
      <t xml:space="preserve"> </t>
    </r>
    <r>
      <rPr>
        <b/>
        <sz val="10"/>
        <color rgb="FFFF2800"/>
        <rFont val="Consolas"/>
        <family val="3"/>
      </rPr>
      <t>'中分類'</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</si>
  <si>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middle_category_official_name </t>
    </r>
    <r>
      <rPr>
        <b/>
        <sz val="10"/>
        <color rgb="FF0080FF"/>
        <rFont val="Consolas"/>
        <family val="3"/>
      </rPr>
      <t>IS</t>
    </r>
    <r>
      <rPr>
        <b/>
        <sz val="10"/>
        <color theme="1"/>
        <rFont val="Consolas"/>
        <family val="3"/>
      </rPr>
      <t xml:space="preserve"> </t>
    </r>
    <r>
      <rPr>
        <b/>
        <sz val="10"/>
        <color rgb="FFFF2800"/>
        <rFont val="Consolas"/>
        <family val="3"/>
      </rPr>
      <t>'中分類正式名称'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</si>
  <si>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minor_category </t>
    </r>
    <r>
      <rPr>
        <b/>
        <sz val="10"/>
        <color rgb="FF0080FF"/>
        <rFont val="Consolas"/>
        <family val="3"/>
      </rPr>
      <t>IS</t>
    </r>
    <r>
      <rPr>
        <b/>
        <sz val="10"/>
        <color theme="1"/>
        <rFont val="Consolas"/>
        <family val="3"/>
      </rPr>
      <t xml:space="preserve"> </t>
    </r>
    <r>
      <rPr>
        <b/>
        <sz val="10"/>
        <color rgb="FFFF2800"/>
        <rFont val="Consolas"/>
        <family val="3"/>
      </rPr>
      <t>'小分類'</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</si>
  <si>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minor_category_official_name </t>
    </r>
    <r>
      <rPr>
        <b/>
        <sz val="10"/>
        <color rgb="FF0080FF"/>
        <rFont val="Consolas"/>
        <family val="3"/>
      </rPr>
      <t>IS</t>
    </r>
    <r>
      <rPr>
        <b/>
        <sz val="10"/>
        <color theme="1"/>
        <rFont val="Consolas"/>
        <family val="3"/>
      </rPr>
      <t xml:space="preserve"> </t>
    </r>
    <r>
      <rPr>
        <b/>
        <sz val="10"/>
        <color rgb="FFFF2800"/>
        <rFont val="Consolas"/>
        <family val="3"/>
      </rPr>
      <t>'小分類正式名称'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</si>
  <si>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feature_flag </t>
    </r>
    <r>
      <rPr>
        <b/>
        <sz val="10"/>
        <color rgb="FF0080FF"/>
        <rFont val="Consolas"/>
        <family val="3"/>
      </rPr>
      <t>IS</t>
    </r>
    <r>
      <rPr>
        <b/>
        <sz val="10"/>
        <color theme="1"/>
        <rFont val="Consolas"/>
        <family val="3"/>
      </rPr>
      <t xml:space="preserve"> </t>
    </r>
    <r>
      <rPr>
        <b/>
        <sz val="10"/>
        <color rgb="FFFF2800"/>
        <rFont val="Consolas"/>
        <family val="3"/>
      </rPr>
      <t>'機能フラグ'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</si>
  <si>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bundle_plan_identification_id </t>
    </r>
    <r>
      <rPr>
        <b/>
        <sz val="10"/>
        <color rgb="FF0080FF"/>
        <rFont val="Consolas"/>
        <family val="3"/>
      </rPr>
      <t>IS</t>
    </r>
    <r>
      <rPr>
        <b/>
        <sz val="10"/>
        <color theme="1"/>
        <rFont val="Consolas"/>
        <family val="3"/>
      </rPr>
      <t xml:space="preserve"> </t>
    </r>
    <r>
      <rPr>
        <b/>
        <sz val="10"/>
        <color rgb="FFFF2800"/>
        <rFont val="Consolas"/>
        <family val="3"/>
      </rPr>
      <t>'バンドルプラン識別id'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</si>
  <si>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bundle_plan_nm </t>
    </r>
    <r>
      <rPr>
        <b/>
        <sz val="10"/>
        <color rgb="FF0080FF"/>
        <rFont val="Consolas"/>
        <family val="3"/>
      </rPr>
      <t>IS</t>
    </r>
    <r>
      <rPr>
        <b/>
        <sz val="10"/>
        <color theme="1"/>
        <rFont val="Consolas"/>
        <family val="3"/>
      </rPr>
      <t xml:space="preserve"> </t>
    </r>
    <r>
      <rPr>
        <b/>
        <sz val="10"/>
        <color rgb="FFFF2800"/>
        <rFont val="Consolas"/>
        <family val="3"/>
      </rPr>
      <t>'バンドルプランnm'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</si>
  <si>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charge_amount </t>
    </r>
    <r>
      <rPr>
        <b/>
        <sz val="10"/>
        <color rgb="FF0080FF"/>
        <rFont val="Consolas"/>
        <family val="3"/>
      </rPr>
      <t>IS</t>
    </r>
    <r>
      <rPr>
        <b/>
        <sz val="10"/>
        <color theme="1"/>
        <rFont val="Consolas"/>
        <family val="3"/>
      </rPr>
      <t xml:space="preserve"> </t>
    </r>
    <r>
      <rPr>
        <b/>
        <sz val="10"/>
        <color rgb="FFFF2800"/>
        <rFont val="Consolas"/>
        <family val="3"/>
      </rPr>
      <t>'チャージ額'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</si>
  <si>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uni_universal_usage_fee </t>
    </r>
    <r>
      <rPr>
        <b/>
        <sz val="10"/>
        <color rgb="FF0080FF"/>
        <rFont val="Consolas"/>
        <family val="3"/>
      </rPr>
      <t>IS</t>
    </r>
    <r>
      <rPr>
        <b/>
        <sz val="10"/>
        <color theme="1"/>
        <rFont val="Consolas"/>
        <family val="3"/>
      </rPr>
      <t xml:space="preserve"> </t>
    </r>
    <r>
      <rPr>
        <b/>
        <sz val="10"/>
        <color rgb="FFFF2800"/>
        <rFont val="Consolas"/>
        <family val="3"/>
      </rPr>
      <t>'ユニバーサル使用料'</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</si>
  <si>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validity_period </t>
    </r>
    <r>
      <rPr>
        <b/>
        <sz val="10"/>
        <color rgb="FF0080FF"/>
        <rFont val="Consolas"/>
        <family val="3"/>
      </rPr>
      <t>IS</t>
    </r>
    <r>
      <rPr>
        <b/>
        <sz val="10"/>
        <color theme="1"/>
        <rFont val="Consolas"/>
        <family val="3"/>
      </rPr>
      <t xml:space="preserve"> </t>
    </r>
    <r>
      <rPr>
        <b/>
        <sz val="10"/>
        <color rgb="FFFF2800"/>
        <rFont val="Consolas"/>
        <family val="3"/>
      </rPr>
      <t>'利用有効期間'</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</si>
  <si>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logistics_product_code </t>
    </r>
    <r>
      <rPr>
        <b/>
        <sz val="10"/>
        <color rgb="FF0080FF"/>
        <rFont val="Consolas"/>
        <family val="3"/>
      </rPr>
      <t>IS</t>
    </r>
    <r>
      <rPr>
        <b/>
        <sz val="10"/>
        <color theme="1"/>
        <rFont val="Consolas"/>
        <family val="3"/>
      </rPr>
      <t xml:space="preserve"> </t>
    </r>
    <r>
      <rPr>
        <b/>
        <sz val="10"/>
        <color rgb="FFFF2800"/>
        <rFont val="Consolas"/>
        <family val="3"/>
      </rPr>
      <t>'物流商品コード'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</si>
  <si>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quantity_amount_classification </t>
    </r>
    <r>
      <rPr>
        <b/>
        <sz val="10"/>
        <color rgb="FF0080FF"/>
        <rFont val="Consolas"/>
        <family val="3"/>
      </rPr>
      <t>IS</t>
    </r>
    <r>
      <rPr>
        <b/>
        <sz val="10"/>
        <color theme="1"/>
        <rFont val="Consolas"/>
        <family val="3"/>
      </rPr>
      <t xml:space="preserve"> </t>
    </r>
    <r>
      <rPr>
        <b/>
        <sz val="10"/>
        <color rgb="FFFF2800"/>
        <rFont val="Consolas"/>
        <family val="3"/>
      </rPr>
      <t>'数量金額管理区分'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</si>
  <si>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product_tax_classification_code </t>
    </r>
    <r>
      <rPr>
        <b/>
        <sz val="10"/>
        <color rgb="FF0080FF"/>
        <rFont val="Consolas"/>
        <family val="3"/>
      </rPr>
      <t>IS</t>
    </r>
    <r>
      <rPr>
        <b/>
        <sz val="10"/>
        <color theme="1"/>
        <rFont val="Consolas"/>
        <family val="3"/>
      </rPr>
      <t xml:space="preserve"> </t>
    </r>
    <r>
      <rPr>
        <b/>
        <sz val="10"/>
        <color rgb="FFFF2800"/>
        <rFont val="Consolas"/>
        <family val="3"/>
      </rPr>
      <t>'商品税分類コード'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</si>
  <si>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logistics_product_tax_classification </t>
    </r>
    <r>
      <rPr>
        <b/>
        <sz val="10"/>
        <color rgb="FF0080FF"/>
        <rFont val="Consolas"/>
        <family val="3"/>
      </rPr>
      <t>IS</t>
    </r>
    <r>
      <rPr>
        <b/>
        <sz val="10"/>
        <color theme="1"/>
        <rFont val="Consolas"/>
        <family val="3"/>
      </rPr>
      <t xml:space="preserve"> </t>
    </r>
    <r>
      <rPr>
        <b/>
        <sz val="10"/>
        <color rgb="FFFF2800"/>
        <rFont val="Consolas"/>
        <family val="3"/>
      </rPr>
      <t>'物流商品税分類'</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</si>
  <si>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logistics_base_unit_quantity </t>
    </r>
    <r>
      <rPr>
        <b/>
        <sz val="10"/>
        <color rgb="FF0080FF"/>
        <rFont val="Consolas"/>
        <family val="3"/>
      </rPr>
      <t>IS</t>
    </r>
    <r>
      <rPr>
        <b/>
        <sz val="10"/>
        <color theme="1"/>
        <rFont val="Consolas"/>
        <family val="3"/>
      </rPr>
      <t xml:space="preserve"> </t>
    </r>
    <r>
      <rPr>
        <b/>
        <sz val="10"/>
        <color rgb="FFFF2800"/>
        <rFont val="Consolas"/>
        <family val="3"/>
      </rPr>
      <t>'物流基本単位数量'</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</si>
  <si>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standard_quantity </t>
    </r>
    <r>
      <rPr>
        <b/>
        <sz val="10"/>
        <color rgb="FF0080FF"/>
        <rFont val="Consolas"/>
        <family val="3"/>
      </rPr>
      <t>IS</t>
    </r>
    <r>
      <rPr>
        <b/>
        <sz val="10"/>
        <color theme="1"/>
        <rFont val="Consolas"/>
        <family val="3"/>
      </rPr>
      <t xml:space="preserve"> </t>
    </r>
    <r>
      <rPr>
        <b/>
        <sz val="10"/>
        <color rgb="FFFF2800"/>
        <rFont val="Consolas"/>
        <family val="3"/>
      </rPr>
      <t>'標準入数'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</si>
  <si>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shipping_quantity </t>
    </r>
    <r>
      <rPr>
        <b/>
        <sz val="10"/>
        <color rgb="FF0080FF"/>
        <rFont val="Consolas"/>
        <family val="3"/>
      </rPr>
      <t>IS</t>
    </r>
    <r>
      <rPr>
        <b/>
        <sz val="10"/>
        <color theme="1"/>
        <rFont val="Consolas"/>
        <family val="3"/>
      </rPr>
      <t xml:space="preserve"> </t>
    </r>
    <r>
      <rPr>
        <b/>
        <sz val="10"/>
        <color rgb="FFFF2800"/>
        <rFont val="Consolas"/>
        <family val="3"/>
      </rPr>
      <t>'出荷時入数'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</si>
  <si>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individual_box_size_length </t>
    </r>
    <r>
      <rPr>
        <b/>
        <sz val="10"/>
        <color rgb="FF0080FF"/>
        <rFont val="Consolas"/>
        <family val="3"/>
      </rPr>
      <t>IS</t>
    </r>
    <r>
      <rPr>
        <b/>
        <sz val="10"/>
        <color theme="1"/>
        <rFont val="Consolas"/>
        <family val="3"/>
      </rPr>
      <t xml:space="preserve"> </t>
    </r>
    <r>
      <rPr>
        <b/>
        <sz val="10"/>
        <color rgb="FFFF2800"/>
        <rFont val="Consolas"/>
        <family val="3"/>
      </rPr>
      <t>'個装箱サイズ_縦'</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</si>
  <si>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individual_box_size_width </t>
    </r>
    <r>
      <rPr>
        <b/>
        <sz val="10"/>
        <color rgb="FF0080FF"/>
        <rFont val="Consolas"/>
        <family val="3"/>
      </rPr>
      <t>IS</t>
    </r>
    <r>
      <rPr>
        <b/>
        <sz val="10"/>
        <color theme="1"/>
        <rFont val="Consolas"/>
        <family val="3"/>
      </rPr>
      <t xml:space="preserve"> </t>
    </r>
    <r>
      <rPr>
        <b/>
        <sz val="10"/>
        <color rgb="FFFF2800"/>
        <rFont val="Consolas"/>
        <family val="3"/>
      </rPr>
      <t>'個装箱サイズ_横'</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</si>
  <si>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individual_box_size_height </t>
    </r>
    <r>
      <rPr>
        <b/>
        <sz val="10"/>
        <color rgb="FF0080FF"/>
        <rFont val="Consolas"/>
        <family val="3"/>
      </rPr>
      <t>IS</t>
    </r>
    <r>
      <rPr>
        <b/>
        <sz val="10"/>
        <color theme="1"/>
        <rFont val="Consolas"/>
        <family val="3"/>
      </rPr>
      <t xml:space="preserve"> </t>
    </r>
    <r>
      <rPr>
        <b/>
        <sz val="10"/>
        <color rgb="FFFF2800"/>
        <rFont val="Consolas"/>
        <family val="3"/>
      </rPr>
      <t>'個装箱サイズ_高さ'</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</si>
  <si>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paper_packaging_material_weight </t>
    </r>
    <r>
      <rPr>
        <b/>
        <sz val="10"/>
        <color rgb="FF0080FF"/>
        <rFont val="Consolas"/>
        <family val="3"/>
      </rPr>
      <t>IS</t>
    </r>
    <r>
      <rPr>
        <b/>
        <sz val="10"/>
        <color theme="1"/>
        <rFont val="Consolas"/>
        <family val="3"/>
      </rPr>
      <t xml:space="preserve"> </t>
    </r>
    <r>
      <rPr>
        <b/>
        <sz val="10"/>
        <color rgb="FFFF2800"/>
        <rFont val="Consolas"/>
        <family val="3"/>
      </rPr>
      <t>'梱包財_紙重量'</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</si>
  <si>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plastic_packaging_material_weight </t>
    </r>
    <r>
      <rPr>
        <b/>
        <sz val="10"/>
        <color rgb="FF0080FF"/>
        <rFont val="Consolas"/>
        <family val="3"/>
      </rPr>
      <t>IS</t>
    </r>
    <r>
      <rPr>
        <b/>
        <sz val="10"/>
        <color theme="1"/>
        <rFont val="Consolas"/>
        <family val="3"/>
      </rPr>
      <t xml:space="preserve"> </t>
    </r>
    <r>
      <rPr>
        <b/>
        <sz val="10"/>
        <color rgb="FFFF2800"/>
        <rFont val="Consolas"/>
        <family val="3"/>
      </rPr>
      <t>'梱包財_プラ重量'</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</si>
  <si>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product_weight </t>
    </r>
    <r>
      <rPr>
        <b/>
        <sz val="10"/>
        <color rgb="FF0080FF"/>
        <rFont val="Consolas"/>
        <family val="3"/>
      </rPr>
      <t>IS</t>
    </r>
    <r>
      <rPr>
        <b/>
        <sz val="10"/>
        <color theme="1"/>
        <rFont val="Consolas"/>
        <family val="3"/>
      </rPr>
      <t xml:space="preserve"> </t>
    </r>
    <r>
      <rPr>
        <b/>
        <sz val="10"/>
        <color rgb="FFFF2800"/>
        <rFont val="Consolas"/>
        <family val="3"/>
      </rPr>
      <t>'商品重量'</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</si>
  <si>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number_of_pallets </t>
    </r>
    <r>
      <rPr>
        <b/>
        <sz val="10"/>
        <color rgb="FF0080FF"/>
        <rFont val="Consolas"/>
        <family val="3"/>
      </rPr>
      <t>IS</t>
    </r>
    <r>
      <rPr>
        <b/>
        <sz val="10"/>
        <color theme="1"/>
        <rFont val="Consolas"/>
        <family val="3"/>
      </rPr>
      <t xml:space="preserve"> </t>
    </r>
    <r>
      <rPr>
        <b/>
        <sz val="10"/>
        <color rgb="FFFF2800"/>
        <rFont val="Consolas"/>
        <family val="3"/>
      </rPr>
      <t>'パレット積み付け数'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</si>
  <si>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packaging_specifications_etc </t>
    </r>
    <r>
      <rPr>
        <b/>
        <sz val="10"/>
        <color rgb="FF0080FF"/>
        <rFont val="Consolas"/>
        <family val="3"/>
      </rPr>
      <t>IS</t>
    </r>
    <r>
      <rPr>
        <b/>
        <sz val="10"/>
        <color theme="1"/>
        <rFont val="Consolas"/>
        <family val="3"/>
      </rPr>
      <t xml:space="preserve"> </t>
    </r>
    <r>
      <rPr>
        <b/>
        <sz val="10"/>
        <color rgb="FFFF2800"/>
        <rFont val="Consolas"/>
        <family val="3"/>
      </rPr>
      <t>'梱包仕様等'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</si>
  <si>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mrp_administrator_code </t>
    </r>
    <r>
      <rPr>
        <b/>
        <sz val="10"/>
        <color rgb="FF0080FF"/>
        <rFont val="Consolas"/>
        <family val="3"/>
      </rPr>
      <t>IS</t>
    </r>
    <r>
      <rPr>
        <b/>
        <sz val="10"/>
        <color theme="1"/>
        <rFont val="Consolas"/>
        <family val="3"/>
      </rPr>
      <t xml:space="preserve"> </t>
    </r>
    <r>
      <rPr>
        <b/>
        <sz val="10"/>
        <color rgb="FFFF2800"/>
        <rFont val="Consolas"/>
        <family val="3"/>
      </rPr>
      <t>'mrp管理者コード'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</si>
  <si>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conversion_representative_flag </t>
    </r>
    <r>
      <rPr>
        <b/>
        <sz val="10"/>
        <color rgb="FF0080FF"/>
        <rFont val="Consolas"/>
        <family val="3"/>
      </rPr>
      <t>IS</t>
    </r>
    <r>
      <rPr>
        <b/>
        <sz val="10"/>
        <color theme="1"/>
        <rFont val="Consolas"/>
        <family val="3"/>
      </rPr>
      <t xml:space="preserve"> </t>
    </r>
    <r>
      <rPr>
        <b/>
        <sz val="10"/>
        <color rgb="FFFF2800"/>
        <rFont val="Consolas"/>
        <family val="3"/>
      </rPr>
      <t>'変換代表フラグ'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</si>
  <si>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product_type_for_inspection_cd </t>
    </r>
    <r>
      <rPr>
        <b/>
        <sz val="10"/>
        <color rgb="FF0080FF"/>
        <rFont val="Consolas"/>
        <family val="3"/>
      </rPr>
      <t>IS</t>
    </r>
    <r>
      <rPr>
        <b/>
        <sz val="10"/>
        <color theme="1"/>
        <rFont val="Consolas"/>
        <family val="3"/>
      </rPr>
      <t xml:space="preserve"> </t>
    </r>
    <r>
      <rPr>
        <b/>
        <sz val="10"/>
        <color rgb="FFFF2800"/>
        <rFont val="Consolas"/>
        <family val="3"/>
      </rPr>
      <t>'検品用商品タイプcd'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</si>
  <si>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product_type_for_inspection_nm </t>
    </r>
    <r>
      <rPr>
        <b/>
        <sz val="10"/>
        <color rgb="FF0080FF"/>
        <rFont val="Consolas"/>
        <family val="3"/>
      </rPr>
      <t>IS</t>
    </r>
    <r>
      <rPr>
        <b/>
        <sz val="10"/>
        <color theme="1"/>
        <rFont val="Consolas"/>
        <family val="3"/>
      </rPr>
      <t xml:space="preserve"> </t>
    </r>
    <r>
      <rPr>
        <b/>
        <sz val="10"/>
        <color rgb="FFFF2800"/>
        <rFont val="Consolas"/>
        <family val="3"/>
      </rPr>
      <t>'検品用商品タイプnm'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</si>
  <si>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model_id </t>
    </r>
    <r>
      <rPr>
        <b/>
        <sz val="10"/>
        <color rgb="FF0080FF"/>
        <rFont val="Consolas"/>
        <family val="3"/>
      </rPr>
      <t>IS</t>
    </r>
    <r>
      <rPr>
        <b/>
        <sz val="10"/>
        <color theme="1"/>
        <rFont val="Consolas"/>
        <family val="3"/>
      </rPr>
      <t xml:space="preserve"> </t>
    </r>
    <r>
      <rPr>
        <b/>
        <sz val="10"/>
        <color rgb="FFFF2800"/>
        <rFont val="Consolas"/>
        <family val="3"/>
      </rPr>
      <t>'model_id'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</si>
  <si>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imsi_type </t>
    </r>
    <r>
      <rPr>
        <b/>
        <sz val="10"/>
        <color rgb="FF0080FF"/>
        <rFont val="Consolas"/>
        <family val="3"/>
      </rPr>
      <t>IS</t>
    </r>
    <r>
      <rPr>
        <b/>
        <sz val="10"/>
        <color theme="1"/>
        <rFont val="Consolas"/>
        <family val="3"/>
      </rPr>
      <t xml:space="preserve"> </t>
    </r>
    <r>
      <rPr>
        <b/>
        <sz val="10"/>
        <color rgb="FFFF2800"/>
        <rFont val="Consolas"/>
        <family val="3"/>
      </rPr>
      <t>'imsiタイプ'</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</si>
  <si>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mars_product</t>
    </r>
    <r>
      <rPr>
        <b/>
        <sz val="10"/>
        <color rgb="FF808080"/>
        <rFont val="Consolas"/>
        <family val="3"/>
      </rPr>
      <t>.</t>
    </r>
    <r>
      <rPr>
        <b/>
        <sz val="10"/>
        <color theme="1"/>
        <rFont val="Consolas"/>
        <family val="3"/>
      </rPr>
      <t xml:space="preserve">imsi_type_official_name </t>
    </r>
    <r>
      <rPr>
        <b/>
        <sz val="10"/>
        <color rgb="FF0080FF"/>
        <rFont val="Consolas"/>
        <family val="3"/>
      </rPr>
      <t>IS</t>
    </r>
    <r>
      <rPr>
        <b/>
        <sz val="10"/>
        <color theme="1"/>
        <rFont val="Consolas"/>
        <family val="3"/>
      </rPr>
      <t xml:space="preserve"> </t>
    </r>
    <r>
      <rPr>
        <b/>
        <sz val="10"/>
        <color rgb="FFFF2800"/>
        <rFont val="Consolas"/>
        <family val="3"/>
      </rPr>
      <t>'imsiタイプ正式名称'</t>
    </r>
    <r>
      <rPr>
        <b/>
        <sz val="10"/>
        <color rgb="FF808080"/>
        <rFont val="Consolas"/>
        <family val="3"/>
      </rPr>
      <t>;</t>
    </r>
  </si>
  <si>
    <t>b_hjn_smt_問い合わせツール_決裁_料金決裁</t>
    <phoneticPr fontId="2"/>
  </si>
  <si>
    <t>V004576</t>
  </si>
  <si>
    <t>summit_fee_settlement</t>
    <phoneticPr fontId="2"/>
  </si>
  <si>
    <t>（問合せツール）営業決裁</t>
  </si>
  <si>
    <r>
      <t>DROP</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EXISTS</t>
    </r>
    <r>
      <rPr>
        <b/>
        <sz val="10"/>
        <color theme="1"/>
        <rFont val="Consolas"/>
        <family val="3"/>
      </rPr>
      <t xml:space="preserve"> summit_fee_settlement </t>
    </r>
    <r>
      <rPr>
        <b/>
        <sz val="10"/>
        <color rgb="FF0080FF"/>
        <rFont val="Consolas"/>
        <family val="3"/>
      </rPr>
      <t>CASCADE</t>
    </r>
    <r>
      <rPr>
        <b/>
        <sz val="10"/>
        <color rgb="FF808080"/>
        <rFont val="Consolas"/>
        <family val="3"/>
      </rPr>
      <t>;</t>
    </r>
    <r>
      <rPr>
        <b/>
        <sz val="10"/>
        <color theme="1"/>
        <rFont val="Consolas"/>
        <family val="3"/>
      </rPr>
      <t xml:space="preserve"> </t>
    </r>
  </si>
  <si>
    <r>
      <t>CREATE</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NOT</t>
    </r>
    <r>
      <rPr>
        <b/>
        <sz val="10"/>
        <color theme="1"/>
        <rFont val="Consolas"/>
        <family val="3"/>
      </rPr>
      <t xml:space="preserve"> </t>
    </r>
    <r>
      <rPr>
        <b/>
        <sz val="10"/>
        <color rgb="FF0080FF"/>
        <rFont val="Consolas"/>
        <family val="3"/>
      </rPr>
      <t>EXISTS</t>
    </r>
    <r>
      <rPr>
        <b/>
        <sz val="10"/>
        <color theme="1"/>
        <rFont val="Consolas"/>
        <family val="3"/>
      </rPr>
      <t xml:space="preserve"> summit_fee_settlement </t>
    </r>
    <r>
      <rPr>
        <b/>
        <sz val="10"/>
        <color rgb="FF808080"/>
        <rFont val="Consolas"/>
        <family val="3"/>
      </rPr>
      <t>(</t>
    </r>
    <r>
      <rPr>
        <b/>
        <sz val="10"/>
        <color theme="1"/>
        <rFont val="Consolas"/>
        <family val="3"/>
      </rPr>
      <t xml:space="preserve"> </t>
    </r>
  </si>
  <si>
    <r>
      <t xml:space="preserve">approval_number </t>
    </r>
    <r>
      <rPr>
        <b/>
        <sz val="10"/>
        <color rgb="FF0080FF"/>
        <rFont val="Consolas"/>
        <family val="3"/>
      </rPr>
      <t>VARCHAR</t>
    </r>
    <r>
      <rPr>
        <b/>
        <sz val="10"/>
        <color rgb="FF808080"/>
        <rFont val="Consolas"/>
        <family val="3"/>
      </rPr>
      <t>(</t>
    </r>
    <r>
      <rPr>
        <b/>
        <sz val="10"/>
        <color rgb="FFFF2800"/>
        <rFont val="Consolas"/>
        <family val="3"/>
      </rPr>
      <t>48</t>
    </r>
    <r>
      <rPr>
        <b/>
        <sz val="10"/>
        <color rgb="FF808080"/>
        <rFont val="Consolas"/>
        <family val="3"/>
      </rPr>
      <t>),</t>
    </r>
  </si>
  <si>
    <t>ステータス名</t>
  </si>
  <si>
    <t>status_name</t>
  </si>
  <si>
    <r>
      <t xml:space="preserve">status_name </t>
    </r>
    <r>
      <rPr>
        <b/>
        <sz val="10"/>
        <color rgb="FF0080FF"/>
        <rFont val="Consolas"/>
        <family val="3"/>
      </rPr>
      <t>VARCHAR</t>
    </r>
    <r>
      <rPr>
        <b/>
        <sz val="10"/>
        <color rgb="FF808080"/>
        <rFont val="Consolas"/>
        <family val="3"/>
      </rPr>
      <t>(</t>
    </r>
    <r>
      <rPr>
        <b/>
        <sz val="10"/>
        <color rgb="FFFF2800"/>
        <rFont val="Consolas"/>
        <family val="3"/>
      </rPr>
      <t>270</t>
    </r>
    <r>
      <rPr>
        <b/>
        <sz val="10"/>
        <color rgb="FF808080"/>
        <rFont val="Consolas"/>
        <family val="3"/>
      </rPr>
      <t>),</t>
    </r>
  </si>
  <si>
    <t>ノード名</t>
  </si>
  <si>
    <t>node_name</t>
  </si>
  <si>
    <r>
      <t xml:space="preserve">node_name </t>
    </r>
    <r>
      <rPr>
        <b/>
        <sz val="10"/>
        <color rgb="FF0080FF"/>
        <rFont val="Consolas"/>
        <family val="3"/>
      </rPr>
      <t>VARCHAR</t>
    </r>
    <r>
      <rPr>
        <b/>
        <sz val="10"/>
        <color rgb="FF808080"/>
        <rFont val="Consolas"/>
        <family val="3"/>
      </rPr>
      <t>(</t>
    </r>
    <r>
      <rPr>
        <b/>
        <sz val="10"/>
        <color rgb="FFFF2800"/>
        <rFont val="Consolas"/>
        <family val="3"/>
      </rPr>
      <t>270</t>
    </r>
    <r>
      <rPr>
        <b/>
        <sz val="10"/>
        <color rgb="FF808080"/>
        <rFont val="Consolas"/>
        <family val="3"/>
      </rPr>
      <t>),</t>
    </r>
  </si>
  <si>
    <t>起案日時</t>
  </si>
  <si>
    <t>date_and_time_of_proposal</t>
  </si>
  <si>
    <r>
      <t xml:space="preserve">date_and_time_of_proposal </t>
    </r>
    <r>
      <rPr>
        <b/>
        <sz val="10"/>
        <color rgb="FF0080FF"/>
        <rFont val="Consolas"/>
        <family val="3"/>
      </rPr>
      <t>VARCHAR</t>
    </r>
    <r>
      <rPr>
        <b/>
        <sz val="10"/>
        <color rgb="FF808080"/>
        <rFont val="Consolas"/>
        <family val="3"/>
      </rPr>
      <t>(</t>
    </r>
    <r>
      <rPr>
        <b/>
        <sz val="10"/>
        <color rgb="FFFF2800"/>
        <rFont val="Consolas"/>
        <family val="3"/>
      </rPr>
      <t>69</t>
    </r>
    <r>
      <rPr>
        <b/>
        <sz val="10"/>
        <color rgb="FF808080"/>
        <rFont val="Consolas"/>
        <family val="3"/>
      </rPr>
      <t>),</t>
    </r>
  </si>
  <si>
    <t>最終処理日時</t>
  </si>
  <si>
    <t>date_and_time_of_final_processing</t>
  </si>
  <si>
    <r>
      <t xml:space="preserve">date_and_time_of_final_processing </t>
    </r>
    <r>
      <rPr>
        <b/>
        <sz val="10"/>
        <color rgb="FF0080FF"/>
        <rFont val="Consolas"/>
        <family val="3"/>
      </rPr>
      <t>VARCHAR</t>
    </r>
    <r>
      <rPr>
        <b/>
        <sz val="10"/>
        <color rgb="FF808080"/>
        <rFont val="Consolas"/>
        <family val="3"/>
      </rPr>
      <t>(</t>
    </r>
    <r>
      <rPr>
        <b/>
        <sz val="10"/>
        <color rgb="FFFF2800"/>
        <rFont val="Consolas"/>
        <family val="3"/>
      </rPr>
      <t>69</t>
    </r>
    <r>
      <rPr>
        <b/>
        <sz val="10"/>
        <color rgb="FF808080"/>
        <rFont val="Consolas"/>
        <family val="3"/>
      </rPr>
      <t>),</t>
    </r>
  </si>
  <si>
    <t>決裁日</t>
  </si>
  <si>
    <r>
      <t xml:space="preserve">approval_date </t>
    </r>
    <r>
      <rPr>
        <b/>
        <sz val="10"/>
        <color rgb="FF0080FF"/>
        <rFont val="Consolas"/>
        <family val="3"/>
      </rPr>
      <t>VARCHAR</t>
    </r>
    <r>
      <rPr>
        <b/>
        <sz val="10"/>
        <color rgb="FF808080"/>
        <rFont val="Consolas"/>
        <family val="3"/>
      </rPr>
      <t>(</t>
    </r>
    <r>
      <rPr>
        <b/>
        <sz val="10"/>
        <color rgb="FFFF2800"/>
        <rFont val="Consolas"/>
        <family val="3"/>
      </rPr>
      <t>69</t>
    </r>
    <r>
      <rPr>
        <b/>
        <sz val="10"/>
        <color rgb="FF808080"/>
        <rFont val="Consolas"/>
        <family val="3"/>
      </rPr>
      <t>),</t>
    </r>
  </si>
  <si>
    <t>決裁種別</t>
  </si>
  <si>
    <t>approval_type</t>
  </si>
  <si>
    <r>
      <t xml:space="preserve">approval_type </t>
    </r>
    <r>
      <rPr>
        <b/>
        <sz val="10"/>
        <color rgb="FF0080FF"/>
        <rFont val="Consolas"/>
        <family val="3"/>
      </rPr>
      <t>VARCHAR</t>
    </r>
    <r>
      <rPr>
        <b/>
        <sz val="10"/>
        <color rgb="FF808080"/>
        <rFont val="Consolas"/>
        <family val="3"/>
      </rPr>
      <t>(</t>
    </r>
    <r>
      <rPr>
        <b/>
        <sz val="10"/>
        <color rgb="FFFF2800"/>
        <rFont val="Consolas"/>
        <family val="3"/>
      </rPr>
      <t>2304</t>
    </r>
    <r>
      <rPr>
        <b/>
        <sz val="10"/>
        <color rgb="FF808080"/>
        <rFont val="Consolas"/>
        <family val="3"/>
      </rPr>
      <t>),</t>
    </r>
  </si>
  <si>
    <t>事業区分</t>
  </si>
  <si>
    <t>business_category</t>
  </si>
  <si>
    <r>
      <t xml:space="preserve">business_category </t>
    </r>
    <r>
      <rPr>
        <b/>
        <sz val="10"/>
        <color rgb="FF0080FF"/>
        <rFont val="Consolas"/>
        <family val="3"/>
      </rPr>
      <t>VARCHAR</t>
    </r>
    <r>
      <rPr>
        <b/>
        <sz val="10"/>
        <color rgb="FF808080"/>
        <rFont val="Consolas"/>
        <family val="3"/>
      </rPr>
      <t>(</t>
    </r>
    <r>
      <rPr>
        <b/>
        <sz val="10"/>
        <color rgb="FFFF2800"/>
        <rFont val="Consolas"/>
        <family val="3"/>
      </rPr>
      <t>2304</t>
    </r>
    <r>
      <rPr>
        <b/>
        <sz val="10"/>
        <color rgb="FF808080"/>
        <rFont val="Consolas"/>
        <family val="3"/>
      </rPr>
      <t>),</t>
    </r>
  </si>
  <si>
    <t>決裁内容</t>
  </si>
  <si>
    <t>approval_details</t>
  </si>
  <si>
    <r>
      <t xml:space="preserve">approval_details </t>
    </r>
    <r>
      <rPr>
        <b/>
        <sz val="10"/>
        <color rgb="FF0080FF"/>
        <rFont val="Consolas"/>
        <family val="3"/>
      </rPr>
      <t>VARCHAR</t>
    </r>
    <r>
      <rPr>
        <b/>
        <sz val="10"/>
        <color rgb="FF808080"/>
        <rFont val="Consolas"/>
        <family val="3"/>
      </rPr>
      <t>(</t>
    </r>
    <r>
      <rPr>
        <b/>
        <sz val="10"/>
        <color rgb="FFFF2800"/>
        <rFont val="Consolas"/>
        <family val="3"/>
      </rPr>
      <t>2304</t>
    </r>
    <r>
      <rPr>
        <b/>
        <sz val="10"/>
        <color rgb="FF808080"/>
        <rFont val="Consolas"/>
        <family val="3"/>
      </rPr>
      <t>),</t>
    </r>
  </si>
  <si>
    <t>決裁件名</t>
  </si>
  <si>
    <t>approval_subject</t>
  </si>
  <si>
    <r>
      <t xml:space="preserve">approval_subject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</si>
  <si>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案件概要_要旨記述1</t>
    <phoneticPr fontId="2"/>
  </si>
  <si>
    <t>project_summary_1</t>
  </si>
  <si>
    <r>
      <t xml:space="preserve">project_summary_1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</si>
  <si>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案件概要_要旨記述2</t>
    <phoneticPr fontId="2"/>
  </si>
  <si>
    <t>project_summary_2</t>
  </si>
  <si>
    <r>
      <t xml:space="preserve">project_summary_2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</si>
  <si>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案件概要_要旨記述3</t>
  </si>
  <si>
    <t>project_summary_3</t>
  </si>
  <si>
    <r>
      <t xml:space="preserve">project_summary_3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</si>
  <si>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案件概要_要旨記述4</t>
  </si>
  <si>
    <t>project_summary_4</t>
  </si>
  <si>
    <r>
      <t xml:space="preserve">project_summary_4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</si>
  <si>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減免調整返還回収金額</t>
  </si>
  <si>
    <t>amount_exemption_adjustment_refund_recovery</t>
  </si>
  <si>
    <r>
      <t xml:space="preserve">amount_exemption_adjustment_refund_recovery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</si>
  <si>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費用負担総額</t>
  </si>
  <si>
    <t>total_cost_burden</t>
  </si>
  <si>
    <r>
      <t xml:space="preserve">total_cost_burden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</si>
  <si>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対象期間</t>
  </si>
  <si>
    <t>applicable_period</t>
  </si>
  <si>
    <r>
      <t xml:space="preserve">applicable_period </t>
    </r>
    <r>
      <rPr>
        <b/>
        <sz val="10"/>
        <color rgb="FF0080FF"/>
        <rFont val="Consolas"/>
        <family val="3"/>
      </rPr>
      <t>VARCHAR</t>
    </r>
    <r>
      <rPr>
        <b/>
        <sz val="10"/>
        <color rgb="FF808080"/>
        <rFont val="Consolas"/>
        <family val="3"/>
      </rPr>
      <t>(</t>
    </r>
    <r>
      <rPr>
        <b/>
        <sz val="10"/>
        <color rgb="FFFF2800"/>
        <rFont val="Consolas"/>
        <family val="3"/>
      </rPr>
      <t>240</t>
    </r>
    <r>
      <rPr>
        <b/>
        <sz val="10"/>
        <color rgb="FF808080"/>
        <rFont val="Consolas"/>
        <family val="3"/>
      </rPr>
      <t>),</t>
    </r>
  </si>
  <si>
    <t>支払い時期</t>
  </si>
  <si>
    <t>payment_date</t>
  </si>
  <si>
    <r>
      <t xml:space="preserve">payment_date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</si>
  <si>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r>
      <t xml:space="preserve">number_of_lines </t>
    </r>
    <r>
      <rPr>
        <b/>
        <sz val="10"/>
        <color rgb="FF0080FF"/>
        <rFont val="Consolas"/>
        <family val="3"/>
      </rPr>
      <t>VARCHAR</t>
    </r>
    <r>
      <rPr>
        <b/>
        <sz val="10"/>
        <color rgb="FF808080"/>
        <rFont val="Consolas"/>
        <family val="3"/>
      </rPr>
      <t>(</t>
    </r>
    <r>
      <rPr>
        <b/>
        <sz val="10"/>
        <color rgb="FFFF2800"/>
        <rFont val="Consolas"/>
        <family val="3"/>
      </rPr>
      <t>240</t>
    </r>
    <r>
      <rPr>
        <b/>
        <sz val="10"/>
        <color rgb="FF808080"/>
        <rFont val="Consolas"/>
        <family val="3"/>
      </rPr>
      <t>),</t>
    </r>
  </si>
  <si>
    <t>売上総合計金額</t>
  </si>
  <si>
    <t>total_sales_amount</t>
  </si>
  <si>
    <r>
      <t xml:space="preserve">total_sales_amount </t>
    </r>
    <r>
      <rPr>
        <b/>
        <sz val="10"/>
        <color rgb="FF0080FF"/>
        <rFont val="Consolas"/>
        <family val="3"/>
      </rPr>
      <t>VARCHAR</t>
    </r>
    <r>
      <rPr>
        <b/>
        <sz val="10"/>
        <color rgb="FF808080"/>
        <rFont val="Consolas"/>
        <family val="3"/>
      </rPr>
      <t>(</t>
    </r>
    <r>
      <rPr>
        <b/>
        <sz val="10"/>
        <color rgb="FFFF2800"/>
        <rFont val="Consolas"/>
        <family val="3"/>
      </rPr>
      <t>240</t>
    </r>
    <r>
      <rPr>
        <b/>
        <sz val="10"/>
        <color rgb="FF808080"/>
        <rFont val="Consolas"/>
        <family val="3"/>
      </rPr>
      <t>),</t>
    </r>
  </si>
  <si>
    <t>請求書再発行有無</t>
  </si>
  <si>
    <t>whether_or_not_to_reissue_invoice</t>
  </si>
  <si>
    <r>
      <t xml:space="preserve">whether_or_not_to_reissue_invoice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</si>
  <si>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回収条件_内容</t>
  </si>
  <si>
    <t>collection_conditions_content</t>
  </si>
  <si>
    <r>
      <t xml:space="preserve">collection_conditions_content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</si>
  <si>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回収条件_支払期限</t>
  </si>
  <si>
    <t>collection_conditions_payment_deadline</t>
  </si>
  <si>
    <r>
      <t xml:space="preserve">collection_conditions_payment_deadline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</si>
  <si>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回収手段</t>
  </si>
  <si>
    <t>collection_method</t>
  </si>
  <si>
    <r>
      <t xml:space="preserve">collection_method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</si>
  <si>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フォームid</t>
  </si>
  <si>
    <t>form_id</t>
  </si>
  <si>
    <r>
      <t xml:space="preserve">form_id </t>
    </r>
    <r>
      <rPr>
        <b/>
        <sz val="10"/>
        <color rgb="FF0080FF"/>
        <rFont val="Consolas"/>
        <family val="3"/>
      </rPr>
      <t>VARCHAR</t>
    </r>
    <r>
      <rPr>
        <b/>
        <sz val="10"/>
        <color rgb="FF808080"/>
        <rFont val="Consolas"/>
        <family val="3"/>
      </rPr>
      <t>(</t>
    </r>
    <r>
      <rPr>
        <b/>
        <sz val="10"/>
        <color rgb="FFFF2800"/>
        <rFont val="Consolas"/>
        <family val="3"/>
      </rPr>
      <t>48</t>
    </r>
    <r>
      <rPr>
        <b/>
        <sz val="10"/>
        <color rgb="FF808080"/>
        <rFont val="Consolas"/>
        <family val="3"/>
      </rPr>
      <t>),</t>
    </r>
  </si>
  <si>
    <t>ルートid</t>
  </si>
  <si>
    <t>root_id</t>
  </si>
  <si>
    <r>
      <t xml:space="preserve">root_id </t>
    </r>
    <r>
      <rPr>
        <b/>
        <sz val="10"/>
        <color rgb="FF0080FF"/>
        <rFont val="Consolas"/>
        <family val="3"/>
      </rPr>
      <t>VARCHAR</t>
    </r>
    <r>
      <rPr>
        <b/>
        <sz val="10"/>
        <color rgb="FF808080"/>
        <rFont val="Consolas"/>
        <family val="3"/>
      </rPr>
      <t>(</t>
    </r>
    <r>
      <rPr>
        <b/>
        <sz val="10"/>
        <color rgb="FFFF2800"/>
        <rFont val="Consolas"/>
        <family val="3"/>
      </rPr>
      <t>48</t>
    </r>
    <r>
      <rPr>
        <b/>
        <sz val="10"/>
        <color rgb="FF808080"/>
        <rFont val="Consolas"/>
        <family val="3"/>
      </rPr>
      <t>),</t>
    </r>
  </si>
  <si>
    <t>ステータスid</t>
  </si>
  <si>
    <t>status_id</t>
  </si>
  <si>
    <r>
      <t xml:space="preserve">status_id </t>
    </r>
    <r>
      <rPr>
        <b/>
        <sz val="10"/>
        <color rgb="FF0080FF"/>
        <rFont val="Consolas"/>
        <family val="3"/>
      </rPr>
      <t>VARCHAR</t>
    </r>
    <r>
      <rPr>
        <b/>
        <sz val="10"/>
        <color rgb="FF808080"/>
        <rFont val="Consolas"/>
        <family val="3"/>
      </rPr>
      <t>(</t>
    </r>
    <r>
      <rPr>
        <b/>
        <sz val="10"/>
        <color rgb="FFFF2800"/>
        <rFont val="Consolas"/>
        <family val="3"/>
      </rPr>
      <t>48</t>
    </r>
    <r>
      <rPr>
        <b/>
        <sz val="10"/>
        <color rgb="FF808080"/>
        <rFont val="Consolas"/>
        <family val="3"/>
      </rPr>
      <t>),</t>
    </r>
  </si>
  <si>
    <r>
      <t>CONSTRAINT</t>
    </r>
    <r>
      <rPr>
        <b/>
        <sz val="10"/>
        <color theme="1"/>
        <rFont val="Consolas"/>
        <family val="3"/>
      </rPr>
      <t xml:space="preserve"> pk_summit_fee_settlement </t>
    </r>
    <r>
      <rPr>
        <b/>
        <sz val="10"/>
        <color rgb="FF0080FF"/>
        <rFont val="Consolas"/>
        <family val="3"/>
      </rPr>
      <t>PRIMARY</t>
    </r>
    <r>
      <rPr>
        <b/>
        <sz val="10"/>
        <color theme="1"/>
        <rFont val="Consolas"/>
        <family val="3"/>
      </rPr>
      <t xml:space="preserve"> </t>
    </r>
    <r>
      <rPr>
        <b/>
        <sz val="10"/>
        <color rgb="FF0080FF"/>
        <rFont val="Consolas"/>
        <family val="3"/>
      </rPr>
      <t>KEY</t>
    </r>
    <r>
      <rPr>
        <b/>
        <sz val="10"/>
        <color theme="1"/>
        <rFont val="Consolas"/>
        <family val="3"/>
      </rPr>
      <t xml:space="preserve"> </t>
    </r>
    <r>
      <rPr>
        <b/>
        <sz val="10"/>
        <color rgb="FF808080"/>
        <rFont val="Consolas"/>
        <family val="3"/>
      </rPr>
      <t>(</t>
    </r>
    <r>
      <rPr>
        <b/>
        <sz val="10"/>
        <color theme="1"/>
        <rFont val="Consolas"/>
        <family val="3"/>
      </rPr>
      <t>id</t>
    </r>
    <r>
      <rPr>
        <b/>
        <sz val="10"/>
        <color rgb="FF808080"/>
        <rFont val="Consolas"/>
        <family val="3"/>
      </rPr>
      <t>));</t>
    </r>
    <r>
      <rPr>
        <b/>
        <sz val="10"/>
        <color theme="1"/>
        <rFont val="Consolas"/>
        <family val="3"/>
      </rPr>
      <t xml:space="preserve"> </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</si>
  <si>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TABLE</t>
    </r>
    <r>
      <rPr>
        <b/>
        <sz val="10"/>
        <color theme="1"/>
        <rFont val="Consolas"/>
        <family val="3"/>
      </rPr>
      <t xml:space="preserve"> summit_fee_settlement </t>
    </r>
    <r>
      <rPr>
        <b/>
        <sz val="10"/>
        <color rgb="FF0080FF"/>
        <rFont val="Consolas"/>
        <family val="3"/>
      </rPr>
      <t>IS</t>
    </r>
    <r>
      <rPr>
        <b/>
        <sz val="10"/>
        <color theme="1"/>
        <rFont val="Consolas"/>
        <family val="3"/>
      </rPr>
      <t xml:space="preserve"> </t>
    </r>
    <r>
      <rPr>
        <b/>
        <sz val="10"/>
        <color rgb="FFFF2800"/>
        <rFont val="Consolas"/>
        <family val="3"/>
      </rPr>
      <t>'b_hjn_smt_問い合わせツール_決裁_料金決裁'</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</si>
  <si>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id </t>
    </r>
    <r>
      <rPr>
        <b/>
        <sz val="10"/>
        <color rgb="FF0080FF"/>
        <rFont val="Consolas"/>
        <family val="3"/>
      </rPr>
      <t>IS</t>
    </r>
    <r>
      <rPr>
        <b/>
        <sz val="10"/>
        <color theme="1"/>
        <rFont val="Consolas"/>
        <family val="3"/>
      </rPr>
      <t xml:space="preserve"> </t>
    </r>
    <r>
      <rPr>
        <b/>
        <sz val="10"/>
        <color rgb="FFFF2800"/>
        <rFont val="Consolas"/>
        <family val="3"/>
      </rPr>
      <t>'id'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</si>
  <si>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approval_number </t>
    </r>
    <r>
      <rPr>
        <b/>
        <sz val="10"/>
        <color rgb="FF0080FF"/>
        <rFont val="Consolas"/>
        <family val="3"/>
      </rPr>
      <t>IS</t>
    </r>
    <r>
      <rPr>
        <b/>
        <sz val="10"/>
        <color theme="1"/>
        <rFont val="Consolas"/>
        <family val="3"/>
      </rPr>
      <t xml:space="preserve"> </t>
    </r>
    <r>
      <rPr>
        <b/>
        <sz val="10"/>
        <color rgb="FFFF2800"/>
        <rFont val="Consolas"/>
        <family val="3"/>
      </rPr>
      <t>'決裁番号'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</si>
  <si>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status_name </t>
    </r>
    <r>
      <rPr>
        <b/>
        <sz val="10"/>
        <color rgb="FF0080FF"/>
        <rFont val="Consolas"/>
        <family val="3"/>
      </rPr>
      <t>IS</t>
    </r>
    <r>
      <rPr>
        <b/>
        <sz val="10"/>
        <color theme="1"/>
        <rFont val="Consolas"/>
        <family val="3"/>
      </rPr>
      <t xml:space="preserve"> </t>
    </r>
    <r>
      <rPr>
        <b/>
        <sz val="10"/>
        <color rgb="FFFF2800"/>
        <rFont val="Consolas"/>
        <family val="3"/>
      </rPr>
      <t>'ステータス名'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</si>
  <si>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node_name </t>
    </r>
    <r>
      <rPr>
        <b/>
        <sz val="10"/>
        <color rgb="FF0080FF"/>
        <rFont val="Consolas"/>
        <family val="3"/>
      </rPr>
      <t>IS</t>
    </r>
    <r>
      <rPr>
        <b/>
        <sz val="10"/>
        <color theme="1"/>
        <rFont val="Consolas"/>
        <family val="3"/>
      </rPr>
      <t xml:space="preserve"> </t>
    </r>
    <r>
      <rPr>
        <b/>
        <sz val="10"/>
        <color rgb="FFFF2800"/>
        <rFont val="Consolas"/>
        <family val="3"/>
      </rPr>
      <t>'ノード名'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</si>
  <si>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date_and_time_of_proposal </t>
    </r>
    <r>
      <rPr>
        <b/>
        <sz val="10"/>
        <color rgb="FF0080FF"/>
        <rFont val="Consolas"/>
        <family val="3"/>
      </rPr>
      <t>IS</t>
    </r>
    <r>
      <rPr>
        <b/>
        <sz val="10"/>
        <color theme="1"/>
        <rFont val="Consolas"/>
        <family val="3"/>
      </rPr>
      <t xml:space="preserve"> </t>
    </r>
    <r>
      <rPr>
        <b/>
        <sz val="10"/>
        <color rgb="FFFF2800"/>
        <rFont val="Consolas"/>
        <family val="3"/>
      </rPr>
      <t>'起案日時'</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</si>
  <si>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date_and_time_of_final_processing </t>
    </r>
    <r>
      <rPr>
        <b/>
        <sz val="10"/>
        <color rgb="FF0080FF"/>
        <rFont val="Consolas"/>
        <family val="3"/>
      </rPr>
      <t>IS</t>
    </r>
    <r>
      <rPr>
        <b/>
        <sz val="10"/>
        <color theme="1"/>
        <rFont val="Consolas"/>
        <family val="3"/>
      </rPr>
      <t xml:space="preserve"> </t>
    </r>
    <r>
      <rPr>
        <b/>
        <sz val="10"/>
        <color rgb="FFFF2800"/>
        <rFont val="Consolas"/>
        <family val="3"/>
      </rPr>
      <t>'最終処理日時'</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</si>
  <si>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approval_date </t>
    </r>
    <r>
      <rPr>
        <b/>
        <sz val="10"/>
        <color rgb="FF0080FF"/>
        <rFont val="Consolas"/>
        <family val="3"/>
      </rPr>
      <t>IS</t>
    </r>
    <r>
      <rPr>
        <b/>
        <sz val="10"/>
        <color theme="1"/>
        <rFont val="Consolas"/>
        <family val="3"/>
      </rPr>
      <t xml:space="preserve"> </t>
    </r>
    <r>
      <rPr>
        <b/>
        <sz val="10"/>
        <color rgb="FFFF2800"/>
        <rFont val="Consolas"/>
        <family val="3"/>
      </rPr>
      <t>'決裁日'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</si>
  <si>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approval_type </t>
    </r>
    <r>
      <rPr>
        <b/>
        <sz val="10"/>
        <color rgb="FF0080FF"/>
        <rFont val="Consolas"/>
        <family val="3"/>
      </rPr>
      <t>IS</t>
    </r>
    <r>
      <rPr>
        <b/>
        <sz val="10"/>
        <color theme="1"/>
        <rFont val="Consolas"/>
        <family val="3"/>
      </rPr>
      <t xml:space="preserve"> </t>
    </r>
    <r>
      <rPr>
        <b/>
        <sz val="10"/>
        <color rgb="FFFF2800"/>
        <rFont val="Consolas"/>
        <family val="3"/>
      </rPr>
      <t>'決裁種別'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</si>
  <si>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business_category </t>
    </r>
    <r>
      <rPr>
        <b/>
        <sz val="10"/>
        <color rgb="FF0080FF"/>
        <rFont val="Consolas"/>
        <family val="3"/>
      </rPr>
      <t>IS</t>
    </r>
    <r>
      <rPr>
        <b/>
        <sz val="10"/>
        <color theme="1"/>
        <rFont val="Consolas"/>
        <family val="3"/>
      </rPr>
      <t xml:space="preserve"> </t>
    </r>
    <r>
      <rPr>
        <b/>
        <sz val="10"/>
        <color rgb="FFFF2800"/>
        <rFont val="Consolas"/>
        <family val="3"/>
      </rPr>
      <t>'事業区分'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</si>
  <si>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approval_details </t>
    </r>
    <r>
      <rPr>
        <b/>
        <sz val="10"/>
        <color rgb="FF0080FF"/>
        <rFont val="Consolas"/>
        <family val="3"/>
      </rPr>
      <t>IS</t>
    </r>
    <r>
      <rPr>
        <b/>
        <sz val="10"/>
        <color theme="1"/>
        <rFont val="Consolas"/>
        <family val="3"/>
      </rPr>
      <t xml:space="preserve"> </t>
    </r>
    <r>
      <rPr>
        <b/>
        <sz val="10"/>
        <color rgb="FFFF2800"/>
        <rFont val="Consolas"/>
        <family val="3"/>
      </rPr>
      <t>'決裁内容'</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</si>
  <si>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approval_subject </t>
    </r>
    <r>
      <rPr>
        <b/>
        <sz val="10"/>
        <color rgb="FF0080FF"/>
        <rFont val="Consolas"/>
        <family val="3"/>
      </rPr>
      <t>IS</t>
    </r>
    <r>
      <rPr>
        <b/>
        <sz val="10"/>
        <color theme="1"/>
        <rFont val="Consolas"/>
        <family val="3"/>
      </rPr>
      <t xml:space="preserve"> </t>
    </r>
    <r>
      <rPr>
        <b/>
        <sz val="10"/>
        <color rgb="FFFF2800"/>
        <rFont val="Consolas"/>
        <family val="3"/>
      </rPr>
      <t>'決裁件名'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</si>
  <si>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project_summary_1 </t>
    </r>
    <r>
      <rPr>
        <b/>
        <sz val="10"/>
        <color rgb="FF0080FF"/>
        <rFont val="Consolas"/>
        <family val="3"/>
      </rPr>
      <t>IS</t>
    </r>
    <r>
      <rPr>
        <b/>
        <sz val="10"/>
        <color theme="1"/>
        <rFont val="Consolas"/>
        <family val="3"/>
      </rPr>
      <t xml:space="preserve"> </t>
    </r>
    <r>
      <rPr>
        <b/>
        <sz val="10"/>
        <color rgb="FFFF2800"/>
        <rFont val="Consolas"/>
        <family val="3"/>
      </rPr>
      <t>'案件概要_要旨記述1'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</si>
  <si>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project_summary_2 </t>
    </r>
    <r>
      <rPr>
        <b/>
        <sz val="10"/>
        <color rgb="FF0080FF"/>
        <rFont val="Consolas"/>
        <family val="3"/>
      </rPr>
      <t>IS</t>
    </r>
    <r>
      <rPr>
        <b/>
        <sz val="10"/>
        <color theme="1"/>
        <rFont val="Consolas"/>
        <family val="3"/>
      </rPr>
      <t xml:space="preserve"> </t>
    </r>
    <r>
      <rPr>
        <b/>
        <sz val="10"/>
        <color rgb="FFFF2800"/>
        <rFont val="Consolas"/>
        <family val="3"/>
      </rPr>
      <t>'案件概要_要旨記述2'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</si>
  <si>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project_summary_3 </t>
    </r>
    <r>
      <rPr>
        <b/>
        <sz val="10"/>
        <color rgb="FF0080FF"/>
        <rFont val="Consolas"/>
        <family val="3"/>
      </rPr>
      <t>IS</t>
    </r>
    <r>
      <rPr>
        <b/>
        <sz val="10"/>
        <color theme="1"/>
        <rFont val="Consolas"/>
        <family val="3"/>
      </rPr>
      <t xml:space="preserve"> </t>
    </r>
    <r>
      <rPr>
        <b/>
        <sz val="10"/>
        <color rgb="FFFF2800"/>
        <rFont val="Consolas"/>
        <family val="3"/>
      </rPr>
      <t>'案件概要_要旨記述3'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</si>
  <si>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project_summary_4 </t>
    </r>
    <r>
      <rPr>
        <b/>
        <sz val="10"/>
        <color rgb="FF0080FF"/>
        <rFont val="Consolas"/>
        <family val="3"/>
      </rPr>
      <t>IS</t>
    </r>
    <r>
      <rPr>
        <b/>
        <sz val="10"/>
        <color theme="1"/>
        <rFont val="Consolas"/>
        <family val="3"/>
      </rPr>
      <t xml:space="preserve"> </t>
    </r>
    <r>
      <rPr>
        <b/>
        <sz val="10"/>
        <color rgb="FFFF2800"/>
        <rFont val="Consolas"/>
        <family val="3"/>
      </rPr>
      <t>'案件概要_要旨記述4'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</si>
  <si>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amount_exemption_adjustment_refund_recovery </t>
    </r>
    <r>
      <rPr>
        <b/>
        <sz val="10"/>
        <color rgb="FF0080FF"/>
        <rFont val="Consolas"/>
        <family val="3"/>
      </rPr>
      <t>IS</t>
    </r>
    <r>
      <rPr>
        <b/>
        <sz val="10"/>
        <color theme="1"/>
        <rFont val="Consolas"/>
        <family val="3"/>
      </rPr>
      <t xml:space="preserve"> </t>
    </r>
    <r>
      <rPr>
        <b/>
        <sz val="10"/>
        <color rgb="FFFF2800"/>
        <rFont val="Consolas"/>
        <family val="3"/>
      </rPr>
      <t>'減免調整返還回収金額'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</si>
  <si>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total_cost_burden </t>
    </r>
    <r>
      <rPr>
        <b/>
        <sz val="10"/>
        <color rgb="FF0080FF"/>
        <rFont val="Consolas"/>
        <family val="3"/>
      </rPr>
      <t>IS</t>
    </r>
    <r>
      <rPr>
        <b/>
        <sz val="10"/>
        <color theme="1"/>
        <rFont val="Consolas"/>
        <family val="3"/>
      </rPr>
      <t xml:space="preserve"> </t>
    </r>
    <r>
      <rPr>
        <b/>
        <sz val="10"/>
        <color rgb="FFFF2800"/>
        <rFont val="Consolas"/>
        <family val="3"/>
      </rPr>
      <t>'費用負担総額'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</si>
  <si>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applicable_period </t>
    </r>
    <r>
      <rPr>
        <b/>
        <sz val="10"/>
        <color rgb="FF0080FF"/>
        <rFont val="Consolas"/>
        <family val="3"/>
      </rPr>
      <t>IS</t>
    </r>
    <r>
      <rPr>
        <b/>
        <sz val="10"/>
        <color theme="1"/>
        <rFont val="Consolas"/>
        <family val="3"/>
      </rPr>
      <t xml:space="preserve"> </t>
    </r>
    <r>
      <rPr>
        <b/>
        <sz val="10"/>
        <color rgb="FFFF2800"/>
        <rFont val="Consolas"/>
        <family val="3"/>
      </rPr>
      <t>'対象期間'</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</si>
  <si>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payment_date </t>
    </r>
    <r>
      <rPr>
        <b/>
        <sz val="10"/>
        <color rgb="FF0080FF"/>
        <rFont val="Consolas"/>
        <family val="3"/>
      </rPr>
      <t>IS</t>
    </r>
    <r>
      <rPr>
        <b/>
        <sz val="10"/>
        <color theme="1"/>
        <rFont val="Consolas"/>
        <family val="3"/>
      </rPr>
      <t xml:space="preserve"> </t>
    </r>
    <r>
      <rPr>
        <b/>
        <sz val="10"/>
        <color rgb="FFFF2800"/>
        <rFont val="Consolas"/>
        <family val="3"/>
      </rPr>
      <t>'支払い時期'</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</si>
  <si>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number_of_lines </t>
    </r>
    <r>
      <rPr>
        <b/>
        <sz val="10"/>
        <color rgb="FF0080FF"/>
        <rFont val="Consolas"/>
        <family val="3"/>
      </rPr>
      <t>IS</t>
    </r>
    <r>
      <rPr>
        <b/>
        <sz val="10"/>
        <color theme="1"/>
        <rFont val="Consolas"/>
        <family val="3"/>
      </rPr>
      <t xml:space="preserve"> </t>
    </r>
    <r>
      <rPr>
        <b/>
        <sz val="10"/>
        <color rgb="FFFF2800"/>
        <rFont val="Consolas"/>
        <family val="3"/>
      </rPr>
      <t>'回線数'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</si>
  <si>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total_sales_amount </t>
    </r>
    <r>
      <rPr>
        <b/>
        <sz val="10"/>
        <color rgb="FF0080FF"/>
        <rFont val="Consolas"/>
        <family val="3"/>
      </rPr>
      <t>IS</t>
    </r>
    <r>
      <rPr>
        <b/>
        <sz val="10"/>
        <color theme="1"/>
        <rFont val="Consolas"/>
        <family val="3"/>
      </rPr>
      <t xml:space="preserve"> </t>
    </r>
    <r>
      <rPr>
        <b/>
        <sz val="10"/>
        <color rgb="FFFF2800"/>
        <rFont val="Consolas"/>
        <family val="3"/>
      </rPr>
      <t>'売上総合計金額'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</si>
  <si>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whether_or_not_to_reissue_invoice </t>
    </r>
    <r>
      <rPr>
        <b/>
        <sz val="10"/>
        <color rgb="FF0080FF"/>
        <rFont val="Consolas"/>
        <family val="3"/>
      </rPr>
      <t>IS</t>
    </r>
    <r>
      <rPr>
        <b/>
        <sz val="10"/>
        <color theme="1"/>
        <rFont val="Consolas"/>
        <family val="3"/>
      </rPr>
      <t xml:space="preserve"> </t>
    </r>
    <r>
      <rPr>
        <b/>
        <sz val="10"/>
        <color rgb="FFFF2800"/>
        <rFont val="Consolas"/>
        <family val="3"/>
      </rPr>
      <t>'請求書再発行有無'</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</si>
  <si>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collection_conditions_content </t>
    </r>
    <r>
      <rPr>
        <b/>
        <sz val="10"/>
        <color rgb="FF0080FF"/>
        <rFont val="Consolas"/>
        <family val="3"/>
      </rPr>
      <t>IS</t>
    </r>
    <r>
      <rPr>
        <b/>
        <sz val="10"/>
        <color theme="1"/>
        <rFont val="Consolas"/>
        <family val="3"/>
      </rPr>
      <t xml:space="preserve"> </t>
    </r>
    <r>
      <rPr>
        <b/>
        <sz val="10"/>
        <color rgb="FFFF2800"/>
        <rFont val="Consolas"/>
        <family val="3"/>
      </rPr>
      <t>'回収条件_内容'</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</si>
  <si>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collection_conditions_payment_deadline </t>
    </r>
    <r>
      <rPr>
        <b/>
        <sz val="10"/>
        <color rgb="FF0080FF"/>
        <rFont val="Consolas"/>
        <family val="3"/>
      </rPr>
      <t>IS</t>
    </r>
    <r>
      <rPr>
        <b/>
        <sz val="10"/>
        <color theme="1"/>
        <rFont val="Consolas"/>
        <family val="3"/>
      </rPr>
      <t xml:space="preserve"> </t>
    </r>
    <r>
      <rPr>
        <b/>
        <sz val="10"/>
        <color rgb="FFFF2800"/>
        <rFont val="Consolas"/>
        <family val="3"/>
      </rPr>
      <t>'回収条件_支払期限'</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</si>
  <si>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collection_method </t>
    </r>
    <r>
      <rPr>
        <b/>
        <sz val="10"/>
        <color rgb="FF0080FF"/>
        <rFont val="Consolas"/>
        <family val="3"/>
      </rPr>
      <t>IS</t>
    </r>
    <r>
      <rPr>
        <b/>
        <sz val="10"/>
        <color theme="1"/>
        <rFont val="Consolas"/>
        <family val="3"/>
      </rPr>
      <t xml:space="preserve"> </t>
    </r>
    <r>
      <rPr>
        <b/>
        <sz val="10"/>
        <color rgb="FFFF2800"/>
        <rFont val="Consolas"/>
        <family val="3"/>
      </rPr>
      <t>'回収手段'</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</si>
  <si>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form_id </t>
    </r>
    <r>
      <rPr>
        <b/>
        <sz val="10"/>
        <color rgb="FF0080FF"/>
        <rFont val="Consolas"/>
        <family val="3"/>
      </rPr>
      <t>IS</t>
    </r>
    <r>
      <rPr>
        <b/>
        <sz val="10"/>
        <color theme="1"/>
        <rFont val="Consolas"/>
        <family val="3"/>
      </rPr>
      <t xml:space="preserve"> </t>
    </r>
    <r>
      <rPr>
        <b/>
        <sz val="10"/>
        <color rgb="FFFF2800"/>
        <rFont val="Consolas"/>
        <family val="3"/>
      </rPr>
      <t>'フォームid'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</si>
  <si>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root_id </t>
    </r>
    <r>
      <rPr>
        <b/>
        <sz val="10"/>
        <color rgb="FF0080FF"/>
        <rFont val="Consolas"/>
        <family val="3"/>
      </rPr>
      <t>IS</t>
    </r>
    <r>
      <rPr>
        <b/>
        <sz val="10"/>
        <color theme="1"/>
        <rFont val="Consolas"/>
        <family val="3"/>
      </rPr>
      <t xml:space="preserve"> </t>
    </r>
    <r>
      <rPr>
        <b/>
        <sz val="10"/>
        <color rgb="FFFF2800"/>
        <rFont val="Consolas"/>
        <family val="3"/>
      </rPr>
      <t>'ルートid'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</si>
  <si>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summit_fee_settlement</t>
    </r>
    <r>
      <rPr>
        <b/>
        <sz val="10"/>
        <color rgb="FF808080"/>
        <rFont val="Consolas"/>
        <family val="3"/>
      </rPr>
      <t>.</t>
    </r>
    <r>
      <rPr>
        <b/>
        <sz val="10"/>
        <color theme="1"/>
        <rFont val="Consolas"/>
        <family val="3"/>
      </rPr>
      <t xml:space="preserve">status_id </t>
    </r>
    <r>
      <rPr>
        <b/>
        <sz val="10"/>
        <color rgb="FF0080FF"/>
        <rFont val="Consolas"/>
        <family val="3"/>
      </rPr>
      <t>IS</t>
    </r>
    <r>
      <rPr>
        <b/>
        <sz val="10"/>
        <color theme="1"/>
        <rFont val="Consolas"/>
        <family val="3"/>
      </rPr>
      <t xml:space="preserve"> </t>
    </r>
    <r>
      <rPr>
        <b/>
        <sz val="10"/>
        <color rgb="FFFF2800"/>
        <rFont val="Consolas"/>
        <family val="3"/>
      </rPr>
      <t>'ステータスid'</t>
    </r>
    <r>
      <rPr>
        <b/>
        <sz val="10"/>
        <color rgb="FF808080"/>
        <rFont val="Consolas"/>
        <family val="3"/>
      </rPr>
      <t>;</t>
    </r>
  </si>
  <si>
    <t>テーブルレイアウト情報の掲載なし</t>
    <rPh sb="9" eb="11">
      <t>ジョウホウ</t>
    </rPh>
    <rPh sb="12" eb="14">
      <t>ケイサイ</t>
    </rPh>
    <phoneticPr fontId="2"/>
  </si>
  <si>
    <t>b_hjn_smt_決裁_提案モバイル</t>
    <phoneticPr fontId="2"/>
  </si>
  <si>
    <t>summit_approval_proposal_mobile</t>
    <phoneticPr fontId="2"/>
  </si>
  <si>
    <r>
      <t>DROP</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EXISTS</t>
    </r>
    <r>
      <rPr>
        <b/>
        <sz val="10"/>
        <color theme="1"/>
        <rFont val="Consolas"/>
        <family val="3"/>
      </rPr>
      <t xml:space="preserve"> summit_approval_proposal_mobile </t>
    </r>
    <r>
      <rPr>
        <b/>
        <sz val="10"/>
        <color rgb="FF0080FF"/>
        <rFont val="Consolas"/>
        <family val="3"/>
      </rPr>
      <t>CASCADE</t>
    </r>
    <r>
      <rPr>
        <b/>
        <sz val="10"/>
        <color rgb="FF808080"/>
        <rFont val="Consolas"/>
        <family val="3"/>
      </rPr>
      <t>;</t>
    </r>
    <r>
      <rPr>
        <b/>
        <sz val="10"/>
        <color theme="1"/>
        <rFont val="Consolas"/>
        <family val="3"/>
      </rPr>
      <t xml:space="preserve"> </t>
    </r>
  </si>
  <si>
    <r>
      <t>CREATE</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NOT</t>
    </r>
    <r>
      <rPr>
        <b/>
        <sz val="10"/>
        <color theme="1"/>
        <rFont val="Consolas"/>
        <family val="3"/>
      </rPr>
      <t xml:space="preserve"> </t>
    </r>
    <r>
      <rPr>
        <b/>
        <sz val="10"/>
        <color rgb="FF0080FF"/>
        <rFont val="Consolas"/>
        <family val="3"/>
      </rPr>
      <t>EXISTS</t>
    </r>
    <r>
      <rPr>
        <b/>
        <sz val="10"/>
        <color theme="1"/>
        <rFont val="Consolas"/>
        <family val="3"/>
      </rPr>
      <t xml:space="preserve"> summit_approval_proposal_mobile </t>
    </r>
    <r>
      <rPr>
        <b/>
        <sz val="10"/>
        <color rgb="FF808080"/>
        <rFont val="Consolas"/>
        <family val="3"/>
      </rPr>
      <t>(</t>
    </r>
    <r>
      <rPr>
        <b/>
        <sz val="10"/>
        <color theme="1"/>
        <rFont val="Consolas"/>
        <family val="3"/>
      </rPr>
      <t xml:space="preserve"> </t>
    </r>
  </si>
  <si>
    <r>
      <t xml:space="preserve">approval_number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</si>
  <si>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r>
      <t xml:space="preserve">status_name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</si>
  <si>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r>
      <t xml:space="preserve">node_name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</si>
  <si>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r>
      <t xml:space="preserve">date_and_time_of_proposal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</si>
  <si>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final_processing_date</t>
  </si>
  <si>
    <r>
      <t xml:space="preserve">final_processing_date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</si>
  <si>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r>
      <t xml:space="preserve">approval_date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</si>
  <si>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r>
      <t xml:space="preserve">approval_type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</si>
  <si>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r>
      <t xml:space="preserve">business_category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</si>
  <si>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approval_content</t>
  </si>
  <si>
    <r>
      <t xml:space="preserve">approval_content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</si>
  <si>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r>
      <t xml:space="preserve">approval_subject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</si>
  <si>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競合キャリア名</t>
  </si>
  <si>
    <t>competing_carrier_name</t>
  </si>
  <si>
    <r>
      <t xml:space="preserve">competing_carrier_name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</si>
  <si>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競合キャリア提供条件</t>
  </si>
  <si>
    <t>competing_carrier_provision_conditions</t>
  </si>
  <si>
    <r>
      <t xml:space="preserve">competing_carrier_provision_conditions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</si>
  <si>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提案種別</t>
  </si>
  <si>
    <t>proposal_type</t>
  </si>
  <si>
    <r>
      <t xml:space="preserve">proposal_type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</si>
  <si>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案件概要_要旨記述1</t>
  </si>
  <si>
    <t>project_summary_summary_1</t>
  </si>
  <si>
    <r>
      <t xml:space="preserve">project_summary_summary_1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</si>
  <si>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案件概要_要旨記述2</t>
  </si>
  <si>
    <t>project_summary_summary_2</t>
  </si>
  <si>
    <r>
      <t xml:space="preserve">project_summary_summary_2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</si>
  <si>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project_summary_summary_3</t>
  </si>
  <si>
    <r>
      <t xml:space="preserve">project_summary_summary_3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</si>
  <si>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project_summary_summary_4</t>
  </si>
  <si>
    <r>
      <t xml:space="preserve">project_summary_summary_4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</si>
  <si>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目的_理由_効果</t>
  </si>
  <si>
    <t>purpose_reason_effect</t>
  </si>
  <si>
    <r>
      <t xml:space="preserve">purpose_reason_effect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</si>
  <si>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要旨補足_申請者専用</t>
  </si>
  <si>
    <t>summary_supplement_reserved_for_applicant</t>
  </si>
  <si>
    <r>
      <t xml:space="preserve">summary_supplement_reserved_for_applicant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</si>
  <si>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r>
      <t xml:space="preserve">number_of_lines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</si>
  <si>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回線数_上限</t>
  </si>
  <si>
    <t>maximum_number_of_lines</t>
  </si>
  <si>
    <r>
      <t xml:space="preserve">maximum_number_of_lines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</si>
  <si>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回線数_下限</t>
  </si>
  <si>
    <r>
      <t xml:space="preserve">minimum_number_of_lines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</si>
  <si>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適用プラン</t>
  </si>
  <si>
    <t>applicable_plan</t>
  </si>
  <si>
    <r>
      <t xml:space="preserve">applicable_plan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</si>
  <si>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r>
      <t xml:space="preserve">discount_rate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</si>
  <si>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代理権内外</t>
  </si>
  <si>
    <t>internal_and_external_agency</t>
  </si>
  <si>
    <r>
      <t xml:space="preserve">internal_and_external_agency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</si>
  <si>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r>
      <t xml:space="preserve">channel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</si>
  <si>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特_相対相談Ｃ</t>
  </si>
  <si>
    <t>special_personal_consultation_c</t>
  </si>
  <si>
    <r>
      <t xml:space="preserve">special_personal_consultation_c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</si>
  <si>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特_サービス提供</t>
  </si>
  <si>
    <t>special_service_provision</t>
  </si>
  <si>
    <r>
      <t xml:space="preserve">special_service_provision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</si>
  <si>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特_新規データカード</t>
  </si>
  <si>
    <t>special_new_data_card</t>
  </si>
  <si>
    <r>
      <t xml:space="preserve">special_new_data_card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</si>
  <si>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特_m2m</t>
  </si>
  <si>
    <t>special_m2m</t>
  </si>
  <si>
    <r>
      <t xml:space="preserve">special_m2m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</si>
  <si>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特_異機種交換</t>
  </si>
  <si>
    <t>special_hardware_replacement</t>
  </si>
  <si>
    <r>
      <t xml:space="preserve">special_hardware_replacement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</si>
  <si>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特_基地局</t>
  </si>
  <si>
    <t>special_base_station</t>
  </si>
  <si>
    <r>
      <t xml:space="preserve">special_base_station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</si>
  <si>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売上</t>
  </si>
  <si>
    <t>sales</t>
  </si>
  <si>
    <r>
      <t xml:space="preserve">sales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</si>
  <si>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total_expenses</t>
  </si>
  <si>
    <r>
      <t xml:space="preserve">total_expenses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</si>
  <si>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営業変動利益</t>
  </si>
  <si>
    <t>operating_variable_profit</t>
  </si>
  <si>
    <r>
      <t xml:space="preserve">operating_variable_profit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</si>
  <si>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営業変動利益率</t>
  </si>
  <si>
    <t>operating_variable_profit_margin</t>
  </si>
  <si>
    <r>
      <t xml:space="preserve">operating_variable_profit_margin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</si>
  <si>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営業貢献利益</t>
  </si>
  <si>
    <t>operating_contribution_margin</t>
  </si>
  <si>
    <r>
      <t xml:space="preserve">operating_contribution_margin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</si>
  <si>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営業貢献利益率</t>
  </si>
  <si>
    <t>operating_contribution_margin_margin</t>
  </si>
  <si>
    <r>
      <t xml:space="preserve">operating_contribution_margin_margin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</si>
  <si>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営業利益</t>
  </si>
  <si>
    <t>sales_profit</t>
  </si>
  <si>
    <r>
      <t xml:space="preserve">sales_profit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</si>
  <si>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営業利益率</t>
  </si>
  <si>
    <t>operating_margin</t>
  </si>
  <si>
    <r>
      <t xml:space="preserve">operating_margin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</si>
  <si>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営業貢献利益_音声</t>
  </si>
  <si>
    <t>operating_contribution_margin_voice</t>
  </si>
  <si>
    <r>
      <t xml:space="preserve">operating_contribution_margin_voice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</si>
  <si>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営業貢献利益率_音声</t>
  </si>
  <si>
    <t>operating_contribution_margin_ratio_voice</t>
  </si>
  <si>
    <r>
      <t xml:space="preserve">operating_contribution_margin_ratio_voice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</si>
  <si>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決裁基準利益_id</t>
  </si>
  <si>
    <t>approval_based_profit_id</t>
  </si>
  <si>
    <r>
      <t xml:space="preserve">approval_based_profit_id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</si>
  <si>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決裁基準利益率_id</t>
  </si>
  <si>
    <t>approval_based_profit_ratio_id</t>
  </si>
  <si>
    <r>
      <t xml:space="preserve">approval_based_profit_ratio_id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</si>
  <si>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決裁基準利益_is</t>
  </si>
  <si>
    <t>approval_based_profit_is</t>
  </si>
  <si>
    <r>
      <t xml:space="preserve">approval_based_profit_is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</si>
  <si>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決裁基準利益率_is</t>
  </si>
  <si>
    <t>approval_based_profit_ratio_is</t>
  </si>
  <si>
    <r>
      <t xml:space="preserve">approval_based_profit_ratio_is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</si>
  <si>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営業貢献利益_mobile</t>
  </si>
  <si>
    <t>operating_contribution_margin_mobile</t>
  </si>
  <si>
    <r>
      <t xml:space="preserve">operating_contribution_margin_mobile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</si>
  <si>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営業貢献利益率_mobile</t>
  </si>
  <si>
    <t>operating_contribution_margin_ratio_mobile</t>
  </si>
  <si>
    <r>
      <t xml:space="preserve">operating_contribution_margin_ratio_mobile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</si>
  <si>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営業貢献利益_phs</t>
  </si>
  <si>
    <t>operating_contribution_margin_phs</t>
  </si>
  <si>
    <r>
      <t xml:space="preserve">operating_contribution_margin_phs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</si>
  <si>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営業貢献利益率_phs</t>
  </si>
  <si>
    <t>operating_contribution_margin_ratio_phs</t>
  </si>
  <si>
    <r>
      <t xml:space="preserve">operating_contribution_margin_ratio_phs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</si>
  <si>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減免有無</t>
  </si>
  <si>
    <t>deduction_exemption</t>
  </si>
  <si>
    <r>
      <t xml:space="preserve">deduction_exemption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</si>
  <si>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減免額</t>
  </si>
  <si>
    <t>deduction_amount</t>
  </si>
  <si>
    <r>
      <t xml:space="preserve">deduction_amount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</si>
  <si>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代理店協業有無</t>
  </si>
  <si>
    <t>agency_collaboration</t>
  </si>
  <si>
    <r>
      <t xml:space="preserve">agency_collaboration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</si>
  <si>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代理店名</t>
  </si>
  <si>
    <r>
      <t xml:space="preserve">agency_name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</si>
  <si>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r>
      <t xml:space="preserve">agency_code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</si>
  <si>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代理店手入力フラグ</t>
  </si>
  <si>
    <t>agency_manual_input_flag</t>
  </si>
  <si>
    <r>
      <t xml:space="preserve">agency_manual_input_flag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</si>
  <si>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手数料率</t>
  </si>
  <si>
    <t>commission_rate</t>
  </si>
  <si>
    <r>
      <t xml:space="preserve">commission_rate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</si>
  <si>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インセンティブ額</t>
  </si>
  <si>
    <t>incentive_amount</t>
  </si>
  <si>
    <r>
      <t xml:space="preserve">incentive_amount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</si>
  <si>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協業理由</t>
  </si>
  <si>
    <t>reason_for_collaboration</t>
  </si>
  <si>
    <r>
      <t xml:space="preserve">reason_for_collaboration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</si>
  <si>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試1_販売方法</t>
  </si>
  <si>
    <t>test_1_sales_method</t>
  </si>
  <si>
    <r>
      <t xml:space="preserve">test_1_sales_method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</si>
  <si>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試1_受注予定月</t>
  </si>
  <si>
    <t>test_1_expected_order_month</t>
  </si>
  <si>
    <r>
      <t xml:space="preserve">test_1_expected_order_month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</si>
  <si>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試1_機種</t>
  </si>
  <si>
    <t>test_1_model</t>
  </si>
  <si>
    <r>
      <t xml:space="preserve">test_1_model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</si>
  <si>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試1_新端末利用期間</t>
  </si>
  <si>
    <t>test_1_new_device_usage_period</t>
  </si>
  <si>
    <r>
      <t xml:space="preserve">test_1_new_device_usage_period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</si>
  <si>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試1_現端末利用期間</t>
  </si>
  <si>
    <t>test_1_current_device_usage_period</t>
  </si>
  <si>
    <r>
      <t xml:space="preserve">test_1_current_device_usage_period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</si>
  <si>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試1_相対契約書締結有</t>
  </si>
  <si>
    <t>test_1_relative_contract_execution</t>
  </si>
  <si>
    <r>
      <t xml:space="preserve">test_1_relative_contract_execution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</si>
  <si>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試1_契約年数</t>
  </si>
  <si>
    <t>test_1_contract_year</t>
  </si>
  <si>
    <r>
      <t xml:space="preserve">test_1_contract_year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</si>
  <si>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試1_回線数設定ルール</t>
  </si>
  <si>
    <t>test_1_number_of_lines_setting_rule</t>
  </si>
  <si>
    <r>
      <t xml:space="preserve">test_1_number_of_lines_setting_rule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</si>
  <si>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試1_解除料免除_5%特例</t>
  </si>
  <si>
    <t>test_1_cancellation_fee_waiver_5percent_special_examples</t>
  </si>
  <si>
    <r>
      <t xml:space="preserve">test_1_cancellation_fee_waiver_5percent_special_examples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</si>
  <si>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試1_増減額後違約金</t>
  </si>
  <si>
    <t>test_1_penalty_charges_after_increase_decrease</t>
  </si>
  <si>
    <r>
      <t xml:space="preserve">test_1_penalty_charges_after_increase_decrease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</si>
  <si>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試1_分納計画</t>
  </si>
  <si>
    <t>test_1_installment_plan</t>
  </si>
  <si>
    <r>
      <t xml:space="preserve">test_1_installment_plan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</si>
  <si>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試1_ホワイトライン24</t>
  </si>
  <si>
    <t>test_1_white_line_24</t>
  </si>
  <si>
    <r>
      <t xml:space="preserve">test_1_white_line_24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</si>
  <si>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試1_ホワイトオフィス</t>
  </si>
  <si>
    <t>test_1_white_office</t>
  </si>
  <si>
    <r>
      <t xml:space="preserve">test_1_white_office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</si>
  <si>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試1_packet_mobilesharing</t>
  </si>
  <si>
    <t>test_1_packet_mobilesharing</t>
  </si>
  <si>
    <r>
      <t xml:space="preserve">test_1_packet_mobilesharing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</si>
  <si>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試2_販売方法</t>
  </si>
  <si>
    <t>test_2_sales_method</t>
  </si>
  <si>
    <r>
      <t xml:space="preserve">test_2_sales_method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</si>
  <si>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試2_受注予定月</t>
  </si>
  <si>
    <t>test_2_scheduled_order_month</t>
  </si>
  <si>
    <r>
      <t xml:space="preserve">test_2_scheduled_order_month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</si>
  <si>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試2_機種</t>
  </si>
  <si>
    <t>test_2_model</t>
  </si>
  <si>
    <r>
      <t xml:space="preserve">test_2_model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</si>
  <si>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試2_新端末利用期間</t>
  </si>
  <si>
    <t>test_2_new_device_usage_period</t>
  </si>
  <si>
    <r>
      <t xml:space="preserve">test_2_new_device_usage_period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</si>
  <si>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試2_現端末利用期間</t>
  </si>
  <si>
    <t>test_2_current_device_usage_period</t>
  </si>
  <si>
    <r>
      <t xml:space="preserve">test_2_current_device_usage_period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</si>
  <si>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試2_相対契約書締結有</t>
  </si>
  <si>
    <t>test_2_relative_contract_execution_included</t>
  </si>
  <si>
    <r>
      <t xml:space="preserve">test_2_relative_contract_execution_included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</si>
  <si>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試2_契約年数</t>
  </si>
  <si>
    <t>test_2_contract_year</t>
  </si>
  <si>
    <r>
      <t xml:space="preserve">test_2_contract_year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</si>
  <si>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試2_回線数設定ルール</t>
  </si>
  <si>
    <t>test_2_number_of_lines_setting_rules</t>
  </si>
  <si>
    <r>
      <t xml:space="preserve">test_2_number_of_lines_setting_rules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</si>
  <si>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試2_解除料免除_5%特例</t>
  </si>
  <si>
    <t>test_2_5percent_cancellation_fee_waiver</t>
  </si>
  <si>
    <r>
      <t xml:space="preserve">test_2_5percent_cancellation_fee_waiver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</si>
  <si>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試2_増減額後違約金</t>
  </si>
  <si>
    <t>test_2_penalty_charges_after_increase_decrease</t>
  </si>
  <si>
    <r>
      <t xml:space="preserve">test_2_penalty_charges_after_increase_decrease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</si>
  <si>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試2_分納計画</t>
  </si>
  <si>
    <t>test_2_installment_plan</t>
  </si>
  <si>
    <r>
      <t xml:space="preserve">test_2_installment_plan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</si>
  <si>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試2_ホワイトライン24</t>
  </si>
  <si>
    <t>test_2_white_line_24</t>
  </si>
  <si>
    <r>
      <t xml:space="preserve">test_2_white_line_24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</si>
  <si>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試2_ホワイトオフィス</t>
  </si>
  <si>
    <t>test_2_white_office</t>
  </si>
  <si>
    <r>
      <t xml:space="preserve">test_2_white_office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</si>
  <si>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試2_packet_mobilesharing</t>
  </si>
  <si>
    <t>test_2_packet_mobilesharing</t>
  </si>
  <si>
    <r>
      <t xml:space="preserve">test_2_packet_mobilesharing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</si>
  <si>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試3_販売方法</t>
  </si>
  <si>
    <t>test_3_sales_method</t>
  </si>
  <si>
    <r>
      <t xml:space="preserve">test_3_sales_method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</si>
  <si>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試3_受注予定月</t>
  </si>
  <si>
    <t>test_3_scheduled_order_month</t>
  </si>
  <si>
    <r>
      <t xml:space="preserve">test_3_scheduled_order_month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</si>
  <si>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試3_機種</t>
  </si>
  <si>
    <t>test_3_model</t>
  </si>
  <si>
    <r>
      <t xml:space="preserve">test_3_model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</si>
  <si>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試3_新端末利用期間</t>
  </si>
  <si>
    <t>test_3_new_device_usage_period</t>
  </si>
  <si>
    <r>
      <t xml:space="preserve">test_3_new_device_usage_period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</si>
  <si>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試3_現端末利用期間</t>
  </si>
  <si>
    <t>test_3_current_device_usage_period</t>
  </si>
  <si>
    <r>
      <t xml:space="preserve">test_3_current_device_usage_period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</si>
  <si>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試3_相対契約書締結有</t>
  </si>
  <si>
    <t>test_3_relative_contract_established</t>
  </si>
  <si>
    <r>
      <t xml:space="preserve">test_3_relative_contract_established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</si>
  <si>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試3_契約年数</t>
  </si>
  <si>
    <t>test_3_contract_year</t>
  </si>
  <si>
    <r>
      <t xml:space="preserve">test_3_contract_year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</si>
  <si>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試3_回線数設定ルール</t>
  </si>
  <si>
    <t>test_3_number_of_lines_setting_rules</t>
  </si>
  <si>
    <r>
      <t xml:space="preserve">test_3_number_of_lines_setting_rules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</si>
  <si>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試3_解除料免除_5%特例</t>
  </si>
  <si>
    <t>test_3_cancellation_fee_waiver_5percent_exception</t>
  </si>
  <si>
    <r>
      <t xml:space="preserve">test_3_cancellation_fee_waiver_5percent_exception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</si>
  <si>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試3_増減額後違約金</t>
  </si>
  <si>
    <t>test_3_penalty_charge_after_increase_decrease</t>
  </si>
  <si>
    <r>
      <t xml:space="preserve">test_3_penalty_charge_after_increase_decrease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</si>
  <si>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試3_分納計画</t>
  </si>
  <si>
    <t>test_3_installment_plan</t>
  </si>
  <si>
    <r>
      <t xml:space="preserve">test_3_installment_plan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</si>
  <si>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試3_ホワイトライン24</t>
  </si>
  <si>
    <t>test_3_white_line_24</t>
  </si>
  <si>
    <r>
      <t xml:space="preserve">test_3_white_line_24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</si>
  <si>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試3_ホワイトオフィス</t>
  </si>
  <si>
    <t>test_3_white_office</t>
  </si>
  <si>
    <r>
      <t xml:space="preserve">test_3_white_office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</si>
  <si>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試3_packet_mobilesharing</t>
  </si>
  <si>
    <t>test_3_packet_mobilesharing</t>
  </si>
  <si>
    <r>
      <t xml:space="preserve">test_3_packet_mobilesharing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</si>
  <si>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試4_販売方法</t>
  </si>
  <si>
    <t>test_4_sales_method</t>
  </si>
  <si>
    <r>
      <t xml:space="preserve">test_4_sales_method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</si>
  <si>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試4_受注予定月</t>
  </si>
  <si>
    <t>test_4_expected_order_month</t>
  </si>
  <si>
    <r>
      <t xml:space="preserve">test_4_expected_order_month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</si>
  <si>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試4_機種</t>
  </si>
  <si>
    <t>test_4_model</t>
  </si>
  <si>
    <r>
      <t xml:space="preserve">test_4_model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</si>
  <si>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試4_新端末利用期間</t>
  </si>
  <si>
    <t>test_4_new_device_usage_period</t>
  </si>
  <si>
    <r>
      <t xml:space="preserve">test_4_new_device_usage_period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</si>
  <si>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試4_現端末利用期間</t>
  </si>
  <si>
    <t>test_4_current_device_usage_period</t>
  </si>
  <si>
    <r>
      <t xml:space="preserve">test_4_current_device_usage_period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</si>
  <si>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試4_相対契約書締結有</t>
  </si>
  <si>
    <t>test_4_relative_contract_established</t>
  </si>
  <si>
    <r>
      <t xml:space="preserve">test_4_relative_contract_established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</si>
  <si>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試4_契約年数</t>
  </si>
  <si>
    <t>test_4_contract_year</t>
  </si>
  <si>
    <r>
      <t xml:space="preserve">test_4_contract_year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</si>
  <si>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試4_回線数設定ルール</t>
  </si>
  <si>
    <t>test_4_number_of_lines_setting_rules</t>
  </si>
  <si>
    <r>
      <t xml:space="preserve">test_4_number_of_lines_setting_rules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</si>
  <si>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試4_解除料免除_5%特例</t>
  </si>
  <si>
    <t>test_4_cancellation_fee_waiver_5percent_exception</t>
  </si>
  <si>
    <r>
      <t xml:space="preserve">test_4_cancellation_fee_waiver_5percent_exception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</si>
  <si>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試4_増減額後違約金</t>
  </si>
  <si>
    <t>test_4_penalty_charge_after_increase_decrease</t>
  </si>
  <si>
    <r>
      <t xml:space="preserve">test_4_penalty_charge_after_increase_decrease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</si>
  <si>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試4_分納計画</t>
  </si>
  <si>
    <t>test_4_installment_plan</t>
  </si>
  <si>
    <r>
      <t xml:space="preserve">test_4_installment_plan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</si>
  <si>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試4_ホワイトライン24</t>
  </si>
  <si>
    <t>test_4_white_line_24</t>
  </si>
  <si>
    <r>
      <t xml:space="preserve">test_4_white_line_24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</si>
  <si>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試4_ホワイトオフィス</t>
  </si>
  <si>
    <t>test_4_white_office</t>
  </si>
  <si>
    <r>
      <t xml:space="preserve">test_4_white_office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</si>
  <si>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試4_packet_mobilesharing</t>
  </si>
  <si>
    <t>test_4_packet_mobilesharing_ring</t>
  </si>
  <si>
    <r>
      <t xml:space="preserve">test_4_packet_mobilesharing_ring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</si>
  <si>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試5_販売方法</t>
  </si>
  <si>
    <t>test_5_sales_method</t>
  </si>
  <si>
    <r>
      <t xml:space="preserve">test_5_sales_method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</si>
  <si>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試5_受注予定月</t>
  </si>
  <si>
    <t>test_5_expected_order_month</t>
  </si>
  <si>
    <r>
      <t xml:space="preserve">test_5_expected_order_month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</si>
  <si>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試5_機種</t>
  </si>
  <si>
    <t>test_5_model</t>
  </si>
  <si>
    <r>
      <t xml:space="preserve">test_5_model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</si>
  <si>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試5_新端末利用期間</t>
  </si>
  <si>
    <t>test_5_new_device_usage_period</t>
  </si>
  <si>
    <r>
      <t xml:space="preserve">test_5_new_device_usage_period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</si>
  <si>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試5_現端末利用期間</t>
  </si>
  <si>
    <t>test_5_current_device_usage_period</t>
  </si>
  <si>
    <r>
      <t xml:space="preserve">test_5_current_device_usage_period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</si>
  <si>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試5_相対契約書締結有</t>
  </si>
  <si>
    <t>test_5_relative_contract_execution</t>
  </si>
  <si>
    <r>
      <t xml:space="preserve">test_5_relative_contract_execution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</si>
  <si>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試5_契約年数</t>
  </si>
  <si>
    <t>test_5_contract_year</t>
  </si>
  <si>
    <r>
      <t xml:space="preserve">test_5_contract_year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</si>
  <si>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試5_回線数設定ルール</t>
  </si>
  <si>
    <t>test_5_number_of_lines_setting_rules</t>
  </si>
  <si>
    <r>
      <t xml:space="preserve">test_5_number_of_lines_setting_rules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</si>
  <si>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試5_解除料免除_5%特例</t>
  </si>
  <si>
    <t>test_5_cancellation_fee_waiver___5percent_exception</t>
  </si>
  <si>
    <r>
      <t xml:space="preserve">test_5_cancellation_fee_waiver___5percent_exception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</si>
  <si>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試5_増減額後違約金</t>
  </si>
  <si>
    <t>test_5_penalty_charges_after_increase_decrease</t>
  </si>
  <si>
    <r>
      <t xml:space="preserve">test_5_penalty_charges_after_increase_decrease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</si>
  <si>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試5_分納計画</t>
  </si>
  <si>
    <t>test_5_installment_plan</t>
  </si>
  <si>
    <r>
      <t xml:space="preserve">test_5_installment_plan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</si>
  <si>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試5_ホワイトライン24</t>
  </si>
  <si>
    <t>test_5_white_line_24</t>
  </si>
  <si>
    <r>
      <t xml:space="preserve">test_5_white_line_24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</si>
  <si>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試5_ホワイトオフィス</t>
  </si>
  <si>
    <t>test_5_white_office</t>
  </si>
  <si>
    <r>
      <t xml:space="preserve">test_5_white_office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</si>
  <si>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試5_packet_mobilesharing</t>
  </si>
  <si>
    <t>test_5_packet_mobilesharing</t>
  </si>
  <si>
    <r>
      <t xml:space="preserve">test_5_packet_mobilesharing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</si>
  <si>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試6_販売方法</t>
  </si>
  <si>
    <t>test_6_sales_method</t>
  </si>
  <si>
    <r>
      <t xml:space="preserve">test_6_sales_method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</si>
  <si>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試6_受注予定月</t>
  </si>
  <si>
    <t>test_6_expected_order_month</t>
  </si>
  <si>
    <r>
      <t xml:space="preserve">test_6_expected_order_month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</si>
  <si>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試6_機種</t>
  </si>
  <si>
    <t>test_6_model</t>
  </si>
  <si>
    <r>
      <t xml:space="preserve">test_6_model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</si>
  <si>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試6_新端末利用期間</t>
  </si>
  <si>
    <t>test_6_new_device_usage_period</t>
  </si>
  <si>
    <r>
      <t xml:space="preserve">test_6_new_device_usage_period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</si>
  <si>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試6_現端末利用期間</t>
  </si>
  <si>
    <t>test_6_current_device_usage_period</t>
  </si>
  <si>
    <r>
      <t xml:space="preserve">test_6_current_device_usage_period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</si>
  <si>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試6_相対契約書締結有</t>
  </si>
  <si>
    <t>test_6_relative_contract_execution</t>
  </si>
  <si>
    <r>
      <t xml:space="preserve">test_6_relative_contract_execution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</si>
  <si>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試6_契約年数</t>
  </si>
  <si>
    <t>test_6_contract_year</t>
  </si>
  <si>
    <r>
      <t xml:space="preserve">test_6_contract_year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</si>
  <si>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試6_回線数設定ルール</t>
  </si>
  <si>
    <t>test_6_number_of_lines_setting_rules</t>
  </si>
  <si>
    <r>
      <t xml:space="preserve">test_6_number_of_lines_setting_rules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</si>
  <si>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試6_解除料免除_5%特例</t>
  </si>
  <si>
    <t>test_6_cancellation_fee_waiver___5percent_exception</t>
  </si>
  <si>
    <r>
      <t xml:space="preserve">test_6_cancellation_fee_waiver___5percent_exception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</si>
  <si>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試6_増減額後違約金</t>
  </si>
  <si>
    <t>test_6_penalty_charges_after_increase_decrease</t>
  </si>
  <si>
    <r>
      <t xml:space="preserve">test_6_penalty_charges_after_increase_decrease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</si>
  <si>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試6_分納計画</t>
  </si>
  <si>
    <t>test_6_minute_delivery_plan</t>
  </si>
  <si>
    <r>
      <t xml:space="preserve">test_6_minute_delivery_plan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</si>
  <si>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試6_ホワイトライン24</t>
  </si>
  <si>
    <t>test_6_white_line_24</t>
  </si>
  <si>
    <r>
      <t xml:space="preserve">test_6_white_line_24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</si>
  <si>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試6_ホワイトオフィス</t>
  </si>
  <si>
    <t>test_6_white_office</t>
  </si>
  <si>
    <r>
      <t xml:space="preserve">test_6_white_office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</si>
  <si>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試6_packet_mobilesharing</t>
  </si>
  <si>
    <t>test_6_packet_mobilesharing</t>
  </si>
  <si>
    <r>
      <t xml:space="preserve">test_6_packet_mobilesharing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</si>
  <si>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試7_販売方法</t>
  </si>
  <si>
    <t>test_7_sales_method</t>
  </si>
  <si>
    <r>
      <t xml:space="preserve">test_7_sales_method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</si>
  <si>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試7_受注予定月</t>
  </si>
  <si>
    <t>test_7_expected_order_month</t>
  </si>
  <si>
    <r>
      <t xml:space="preserve">test_7_expected_order_month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</si>
  <si>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試7_機種</t>
  </si>
  <si>
    <t>test_7_model</t>
  </si>
  <si>
    <r>
      <t xml:space="preserve">test_7_model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</si>
  <si>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試7_新端末利用期間</t>
  </si>
  <si>
    <t>test_7_new_device_usage_period</t>
  </si>
  <si>
    <r>
      <t xml:space="preserve">test_7_new_device_usage_period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</si>
  <si>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試7_現端末利用期間</t>
  </si>
  <si>
    <t>test_7_current_device_usage_period</t>
  </si>
  <si>
    <r>
      <t xml:space="preserve">test_7_current_device_usage_period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</si>
  <si>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試7_相対契約書締結有</t>
  </si>
  <si>
    <t>test_7_relative_contract_established</t>
  </si>
  <si>
    <r>
      <t xml:space="preserve">test_7_relative_contract_established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</si>
  <si>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試7_契約年数</t>
  </si>
  <si>
    <t>test_7_contract_year</t>
  </si>
  <si>
    <r>
      <t xml:space="preserve">test_7_contract_year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</si>
  <si>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試7_回線数設定ルール</t>
  </si>
  <si>
    <t>test_7_number_of_lines_setting_rules</t>
  </si>
  <si>
    <r>
      <t xml:space="preserve">test_7_number_of_lines_setting_rules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</si>
  <si>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試7_解除料免除_5%特例</t>
  </si>
  <si>
    <t>test_7_cancellation_fee_waiver_5percent_exception</t>
  </si>
  <si>
    <r>
      <t xml:space="preserve">test_7_cancellation_fee_waiver_5percent_exception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</si>
  <si>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試7_増減額後違約金</t>
  </si>
  <si>
    <t>test_7_penalty_charge_after_increase_decrease</t>
  </si>
  <si>
    <r>
      <t xml:space="preserve">test_7_penalty_charge_after_increase_decrease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</si>
  <si>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試7_分納計画</t>
  </si>
  <si>
    <t>test_7_installment_plan</t>
  </si>
  <si>
    <r>
      <t xml:space="preserve">test_7_installment_plan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</si>
  <si>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試7_ホワイトライン24</t>
  </si>
  <si>
    <t>test_7_white_line_24</t>
  </si>
  <si>
    <r>
      <t xml:space="preserve">test_7_white_line_24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</si>
  <si>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試7_ホワイトオフィス</t>
  </si>
  <si>
    <t>test_7_white_office</t>
  </si>
  <si>
    <r>
      <t xml:space="preserve">test_7_white_office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</si>
  <si>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試7_packet_mobilesharing</t>
  </si>
  <si>
    <t>test_7_packet_mobilesharing</t>
  </si>
  <si>
    <r>
      <t xml:space="preserve">test_7_packet_mobilesharing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</si>
  <si>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試8_販売方法</t>
  </si>
  <si>
    <t>test_8_sales_method</t>
  </si>
  <si>
    <r>
      <t xml:space="preserve">test_8_sales_method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</si>
  <si>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試8_受注予定月</t>
  </si>
  <si>
    <t>test_8_expected_order_month</t>
  </si>
  <si>
    <r>
      <t xml:space="preserve">test_8_expected_order_month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</si>
  <si>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試8_機種</t>
  </si>
  <si>
    <t>test_8_model</t>
  </si>
  <si>
    <r>
      <t xml:space="preserve">test_8_model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</si>
  <si>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試8_新端末利用期間</t>
  </si>
  <si>
    <t>test_8_new_device_usage_period</t>
  </si>
  <si>
    <r>
      <t xml:space="preserve">test_8_new_device_usage_period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</si>
  <si>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試8_現端末利用期間</t>
  </si>
  <si>
    <t>test_8_current_device_usage_period</t>
  </si>
  <si>
    <r>
      <t xml:space="preserve">test_8_current_device_usage_period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</si>
  <si>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試8_相対契約書締結有</t>
  </si>
  <si>
    <t>test_8_relative_contract_established</t>
  </si>
  <si>
    <r>
      <t xml:space="preserve">test_8_relative_contract_established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</si>
  <si>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試8_契約年数</t>
  </si>
  <si>
    <t>test_8__contract_year</t>
  </si>
  <si>
    <r>
      <t xml:space="preserve">test_8__contract_year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</si>
  <si>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試8_回線数設定ルール</t>
  </si>
  <si>
    <t>test_8_number_of_lines_setting_rules</t>
  </si>
  <si>
    <r>
      <t xml:space="preserve">test_8_number_of_lines_setting_rules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</si>
  <si>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試8_解除料免除_5%特例</t>
  </si>
  <si>
    <t>test_8_cancellation_fee_waiver_5percent_exception</t>
  </si>
  <si>
    <r>
      <t xml:space="preserve">test_8_cancellation_fee_waiver_5percent_exception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</si>
  <si>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試8_増減額後違約金</t>
  </si>
  <si>
    <t>test_8_penalty_charges_after_increase_decrease</t>
  </si>
  <si>
    <r>
      <t xml:space="preserve">test_8_penalty_charges_after_increase_decrease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</si>
  <si>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試8_分納計画</t>
  </si>
  <si>
    <t>test_8_installment_plan</t>
  </si>
  <si>
    <r>
      <t xml:space="preserve">test_8_installment_plan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</si>
  <si>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試8_ホワイトライン24</t>
  </si>
  <si>
    <t>test_8_white_line_24</t>
  </si>
  <si>
    <r>
      <t xml:space="preserve">test_8_white_line_24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</si>
  <si>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試8_ホワイトオフィス</t>
  </si>
  <si>
    <t>test_8_white_office</t>
  </si>
  <si>
    <r>
      <t xml:space="preserve">test_8_white_office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</si>
  <si>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試8_packet_mobilesharing</t>
  </si>
  <si>
    <t>test_8_packet_mobilesharing</t>
  </si>
  <si>
    <r>
      <t xml:space="preserve">test_8_packet_mobilesharing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</si>
  <si>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試9_販売方法</t>
  </si>
  <si>
    <t>test_9_sales_method</t>
  </si>
  <si>
    <r>
      <t xml:space="preserve">test_9_sales_method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</si>
  <si>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試9_受注予定月</t>
  </si>
  <si>
    <t>test_9_expected_order_month</t>
  </si>
  <si>
    <r>
      <t xml:space="preserve">test_9_expected_order_month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</si>
  <si>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試9_機種</t>
  </si>
  <si>
    <t>test_9_model</t>
  </si>
  <si>
    <r>
      <t xml:space="preserve">test_9_model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</si>
  <si>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試9_新端末利用期間</t>
  </si>
  <si>
    <t>test_9_new_device_usage_period</t>
  </si>
  <si>
    <r>
      <t xml:space="preserve">test_9_new_device_usage_period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</si>
  <si>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試9_現端末利用期間</t>
  </si>
  <si>
    <t>test_9_current_device_usage_period</t>
  </si>
  <si>
    <r>
      <t xml:space="preserve">test_9_current_device_usage_period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</si>
  <si>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試9_相対契約書締結有</t>
  </si>
  <si>
    <t>test_9_relative_contract_execution</t>
  </si>
  <si>
    <r>
      <t xml:space="preserve">test_9_relative_contract_execution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</si>
  <si>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試9_契約年数</t>
  </si>
  <si>
    <t>test_9_contract_year</t>
  </si>
  <si>
    <r>
      <t xml:space="preserve">test_9_contract_year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</si>
  <si>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試9_回線数設定ルール</t>
  </si>
  <si>
    <t>test_9_number_of_lines_setting_rules</t>
  </si>
  <si>
    <r>
      <t xml:space="preserve">test_9_number_of_lines_setting_rules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</si>
  <si>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試9_解除料免除_5%特例</t>
  </si>
  <si>
    <t>test_9_cancellation_fee_waiver_5percent_exception</t>
  </si>
  <si>
    <r>
      <t xml:space="preserve">test_9_cancellation_fee_waiver_5percent_exception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</si>
  <si>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試9_増減額後違約金</t>
  </si>
  <si>
    <t>test_9_penalty_charges_after_increase_decrease</t>
  </si>
  <si>
    <r>
      <t xml:space="preserve">test_9_penalty_charges_after_increase_decrease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</si>
  <si>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試9_分納計画</t>
  </si>
  <si>
    <t>test_9_installment_plan</t>
  </si>
  <si>
    <r>
      <t xml:space="preserve">test_9_installment_plan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</si>
  <si>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試9_ホワイトライン24</t>
  </si>
  <si>
    <t>test_9_white_line_24</t>
  </si>
  <si>
    <r>
      <t xml:space="preserve">test_9_white_line_24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</si>
  <si>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試9_ホワイトオフィス</t>
  </si>
  <si>
    <t>test_9_white_office</t>
  </si>
  <si>
    <r>
      <t xml:space="preserve">test_9_white_office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</si>
  <si>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試9_packet_mobilesharing</t>
  </si>
  <si>
    <t>test_9_packet_mobilesharing</t>
  </si>
  <si>
    <r>
      <t xml:space="preserve">test_9_packet_mobilesharing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</si>
  <si>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試10_販売方法</t>
  </si>
  <si>
    <t>test_10_sales_method</t>
  </si>
  <si>
    <r>
      <t xml:space="preserve">test_10_sales_method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</si>
  <si>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試10_受注予定月</t>
  </si>
  <si>
    <t>test_10__expected_order_month</t>
  </si>
  <si>
    <r>
      <t xml:space="preserve">test_10__expected_order_month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</si>
  <si>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試10_機種</t>
  </si>
  <si>
    <t>test_10_model</t>
  </si>
  <si>
    <r>
      <t xml:space="preserve">test_10_model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</si>
  <si>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試10_新端末利用期間</t>
  </si>
  <si>
    <t>test_10_new_device_usage_period</t>
  </si>
  <si>
    <r>
      <t xml:space="preserve">test_10_new_device_usage_period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</si>
  <si>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試10_現端末利用期間</t>
  </si>
  <si>
    <t>test_10_current_device_usage_period</t>
  </si>
  <si>
    <r>
      <t xml:space="preserve">test_10_current_device_usage_period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</si>
  <si>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試10_相対契約書締結有</t>
  </si>
  <si>
    <t>test_10_relative_contract_execution</t>
  </si>
  <si>
    <r>
      <t xml:space="preserve">test_10_relative_contract_execution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</si>
  <si>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試10_契約年数</t>
  </si>
  <si>
    <t>test_10_contract_year</t>
  </si>
  <si>
    <r>
      <t xml:space="preserve">test_10_contract_year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</si>
  <si>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試10_回線数設定ルール</t>
  </si>
  <si>
    <t>test_10_number_of_lines_setting_rules</t>
  </si>
  <si>
    <r>
      <t xml:space="preserve">test_10_number_of_lines_setting_rules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</si>
  <si>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試10_解除料免除_5%特例</t>
  </si>
  <si>
    <t>test_10_cancellation_fee_waiver_5_exception</t>
  </si>
  <si>
    <r>
      <t xml:space="preserve">test_10_cancellation_fee_waiver_5_exception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</si>
  <si>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試10_増減額後違約金</t>
  </si>
  <si>
    <t>test_10_penalty_charge_after_increase_decrease</t>
  </si>
  <si>
    <r>
      <t xml:space="preserve">test_10_penalty_charge_after_increase_decrease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</si>
  <si>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試10_分納計画</t>
  </si>
  <si>
    <t>test_10_installment_plan</t>
  </si>
  <si>
    <r>
      <t xml:space="preserve">test_10_installment_plan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</si>
  <si>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試10_ホワイトライン24</t>
  </si>
  <si>
    <t>test_10_white_line_24</t>
  </si>
  <si>
    <r>
      <t xml:space="preserve">test_10_white_line_24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</si>
  <si>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試10_ホワイトオフィス</t>
  </si>
  <si>
    <t>test_10_white_office</t>
  </si>
  <si>
    <r>
      <t xml:space="preserve">test_10_white_office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</si>
  <si>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試10_packet_mobilesharing</t>
  </si>
  <si>
    <t>test_10_packet_mobilesharing</t>
  </si>
  <si>
    <r>
      <t xml:space="preserve">test_10_packet_mobilesharing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</si>
  <si>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r>
      <t xml:space="preserve">form_id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</si>
  <si>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r>
      <t xml:space="preserve">root_id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</si>
  <si>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r>
      <t xml:space="preserve">status_id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</si>
  <si>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目的_理由_効果1</t>
  </si>
  <si>
    <t>purpose_reason_effect_1</t>
  </si>
  <si>
    <r>
      <t xml:space="preserve">purpose_reason_effect_1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</si>
  <si>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目的_理由_効果2</t>
  </si>
  <si>
    <t>purpose_reason_effect_2</t>
  </si>
  <si>
    <r>
      <t xml:space="preserve">purpose_reason_effect_2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</si>
  <si>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目的_理由_効果3</t>
  </si>
  <si>
    <t>purpose_reason_effect_3</t>
  </si>
  <si>
    <r>
      <t xml:space="preserve">purpose_reason_effect_3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</si>
  <si>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目的_理由_効果4</t>
  </si>
  <si>
    <t>purpose_reason_effect_4</t>
  </si>
  <si>
    <r>
      <t xml:space="preserve">purpose_reason_effect_4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</si>
  <si>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目的_理由_効果5</t>
  </si>
  <si>
    <t>purpose_reason_effect_5</t>
  </si>
  <si>
    <r>
      <t xml:space="preserve">purpose_reason_effect_5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</si>
  <si>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目的_理由_効果6</t>
  </si>
  <si>
    <t>purpose_reason_effect_6</t>
  </si>
  <si>
    <r>
      <t xml:space="preserve">purpose_reason_effect_6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</si>
  <si>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目的_理由_効果7</t>
  </si>
  <si>
    <t>purpose_reason_effect_7</t>
  </si>
  <si>
    <r>
      <t xml:space="preserve">purpose_reason_effect_7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</si>
  <si>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目的_理由_効果8</t>
  </si>
  <si>
    <t>purpose_reason_effect_8</t>
  </si>
  <si>
    <r>
      <t xml:space="preserve">purpose_reason_effect_8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</si>
  <si>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t>目的_理由_効果9</t>
  </si>
  <si>
    <t>purpose_reason_effect_9</t>
  </si>
  <si>
    <r>
      <t xml:space="preserve">purpose_reason_effect_9 </t>
    </r>
    <r>
      <rPr>
        <b/>
        <sz val="10"/>
        <color rgb="FF0080FF"/>
        <rFont val="Consolas"/>
        <family val="3"/>
      </rPr>
      <t>VARCHAR</t>
    </r>
    <r>
      <rPr>
        <b/>
        <sz val="10"/>
        <color rgb="FF808080"/>
        <rFont val="Consolas"/>
        <family val="3"/>
      </rPr>
      <t>(</t>
    </r>
    <r>
      <rPr>
        <b/>
        <sz val="10"/>
        <color rgb="FFFF2800"/>
        <rFont val="Consolas"/>
        <family val="3"/>
      </rPr>
      <t>255</t>
    </r>
    <r>
      <rPr>
        <b/>
        <sz val="10"/>
        <color rgb="FF808080"/>
        <rFont val="Consolas"/>
        <family val="3"/>
      </rPr>
      <t>),</t>
    </r>
  </si>
  <si>
    <r>
      <t>CONSTRAINT</t>
    </r>
    <r>
      <rPr>
        <b/>
        <sz val="10"/>
        <color theme="1"/>
        <rFont val="Consolas"/>
        <family val="3"/>
      </rPr>
      <t xml:space="preserve"> pk_summit_approval_proposal_mobile </t>
    </r>
    <r>
      <rPr>
        <b/>
        <sz val="10"/>
        <color rgb="FF0080FF"/>
        <rFont val="Consolas"/>
        <family val="3"/>
      </rPr>
      <t>PRIMARY</t>
    </r>
    <r>
      <rPr>
        <b/>
        <sz val="10"/>
        <color theme="1"/>
        <rFont val="Consolas"/>
        <family val="3"/>
      </rPr>
      <t xml:space="preserve"> </t>
    </r>
    <r>
      <rPr>
        <b/>
        <sz val="10"/>
        <color rgb="FF0080FF"/>
        <rFont val="Consolas"/>
        <family val="3"/>
      </rPr>
      <t>KEY</t>
    </r>
    <r>
      <rPr>
        <b/>
        <sz val="10"/>
        <color theme="1"/>
        <rFont val="Consolas"/>
        <family val="3"/>
      </rPr>
      <t xml:space="preserve"> </t>
    </r>
    <r>
      <rPr>
        <b/>
        <sz val="10"/>
        <color rgb="FF808080"/>
        <rFont val="Consolas"/>
        <family val="3"/>
      </rPr>
      <t>(</t>
    </r>
    <r>
      <rPr>
        <b/>
        <sz val="10"/>
        <color theme="1"/>
        <rFont val="Consolas"/>
        <family val="3"/>
      </rPr>
      <t>id</t>
    </r>
    <r>
      <rPr>
        <b/>
        <sz val="10"/>
        <color rgb="FF808080"/>
        <rFont val="Consolas"/>
        <family val="3"/>
      </rPr>
      <t>));</t>
    </r>
    <r>
      <rPr>
        <b/>
        <sz val="10"/>
        <color theme="1"/>
        <rFont val="Consolas"/>
        <family val="3"/>
      </rPr>
      <t xml:space="preserve"> </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</si>
  <si>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TABLE</t>
    </r>
    <r>
      <rPr>
        <sz val="10"/>
        <color theme="1"/>
        <rFont val="Consolas"/>
        <family val="3"/>
      </rPr>
      <t xml:space="preserve"> summit_approval_proposal_mobile </t>
    </r>
    <r>
      <rPr>
        <sz val="10"/>
        <color rgb="FF0080FF"/>
        <rFont val="Consolas"/>
        <family val="3"/>
      </rPr>
      <t>IS</t>
    </r>
    <r>
      <rPr>
        <sz val="10"/>
        <color theme="1"/>
        <rFont val="Consolas"/>
        <family val="3"/>
      </rPr>
      <t xml:space="preserve"> </t>
    </r>
    <r>
      <rPr>
        <sz val="10"/>
        <color rgb="FFFF2800"/>
        <rFont val="Consolas"/>
        <family val="3"/>
      </rPr>
      <t>'b_hjn_smt_決裁_提案モバイル'</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</si>
  <si>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id </t>
    </r>
    <r>
      <rPr>
        <sz val="10"/>
        <color rgb="FF0080FF"/>
        <rFont val="Consolas"/>
        <family val="3"/>
      </rPr>
      <t>IS</t>
    </r>
    <r>
      <rPr>
        <sz val="10"/>
        <color theme="1"/>
        <rFont val="Consolas"/>
        <family val="3"/>
      </rPr>
      <t xml:space="preserve"> </t>
    </r>
    <r>
      <rPr>
        <sz val="10"/>
        <color rgb="FFFF2800"/>
        <rFont val="Consolas"/>
        <family val="3"/>
      </rPr>
      <t>'id'</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</si>
  <si>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approval_number </t>
    </r>
    <r>
      <rPr>
        <sz val="10"/>
        <color rgb="FF0080FF"/>
        <rFont val="Consolas"/>
        <family val="3"/>
      </rPr>
      <t>IS</t>
    </r>
    <r>
      <rPr>
        <sz val="10"/>
        <color theme="1"/>
        <rFont val="Consolas"/>
        <family val="3"/>
      </rPr>
      <t xml:space="preserve"> </t>
    </r>
    <r>
      <rPr>
        <sz val="10"/>
        <color rgb="FFFF2800"/>
        <rFont val="Consolas"/>
        <family val="3"/>
      </rPr>
      <t>'決裁番号'</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</si>
  <si>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status_name </t>
    </r>
    <r>
      <rPr>
        <sz val="10"/>
        <color rgb="FF0080FF"/>
        <rFont val="Consolas"/>
        <family val="3"/>
      </rPr>
      <t>IS</t>
    </r>
    <r>
      <rPr>
        <sz val="10"/>
        <color theme="1"/>
        <rFont val="Consolas"/>
        <family val="3"/>
      </rPr>
      <t xml:space="preserve"> </t>
    </r>
    <r>
      <rPr>
        <sz val="10"/>
        <color rgb="FFFF2800"/>
        <rFont val="Consolas"/>
        <family val="3"/>
      </rPr>
      <t>'ステータス名'</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</si>
  <si>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node_name </t>
    </r>
    <r>
      <rPr>
        <sz val="10"/>
        <color rgb="FF0080FF"/>
        <rFont val="Consolas"/>
        <family val="3"/>
      </rPr>
      <t>IS</t>
    </r>
    <r>
      <rPr>
        <sz val="10"/>
        <color theme="1"/>
        <rFont val="Consolas"/>
        <family val="3"/>
      </rPr>
      <t xml:space="preserve"> </t>
    </r>
    <r>
      <rPr>
        <sz val="10"/>
        <color rgb="FFFF2800"/>
        <rFont val="Consolas"/>
        <family val="3"/>
      </rPr>
      <t>'ノード名'</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</si>
  <si>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date_and_time_of_proposal </t>
    </r>
    <r>
      <rPr>
        <sz val="10"/>
        <color rgb="FF0080FF"/>
        <rFont val="Consolas"/>
        <family val="3"/>
      </rPr>
      <t>IS</t>
    </r>
    <r>
      <rPr>
        <sz val="10"/>
        <color theme="1"/>
        <rFont val="Consolas"/>
        <family val="3"/>
      </rPr>
      <t xml:space="preserve"> </t>
    </r>
    <r>
      <rPr>
        <sz val="10"/>
        <color rgb="FFFF2800"/>
        <rFont val="Consolas"/>
        <family val="3"/>
      </rPr>
      <t>'起案日時'</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</si>
  <si>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final_processing_date </t>
    </r>
    <r>
      <rPr>
        <sz val="10"/>
        <color rgb="FF0080FF"/>
        <rFont val="Consolas"/>
        <family val="3"/>
      </rPr>
      <t>IS</t>
    </r>
    <r>
      <rPr>
        <sz val="10"/>
        <color theme="1"/>
        <rFont val="Consolas"/>
        <family val="3"/>
      </rPr>
      <t xml:space="preserve"> </t>
    </r>
    <r>
      <rPr>
        <sz val="10"/>
        <color rgb="FFFF2800"/>
        <rFont val="Consolas"/>
        <family val="3"/>
      </rPr>
      <t>'最終処理日時'</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</si>
  <si>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approval_date </t>
    </r>
    <r>
      <rPr>
        <sz val="10"/>
        <color rgb="FF0080FF"/>
        <rFont val="Consolas"/>
        <family val="3"/>
      </rPr>
      <t>IS</t>
    </r>
    <r>
      <rPr>
        <sz val="10"/>
        <color theme="1"/>
        <rFont val="Consolas"/>
        <family val="3"/>
      </rPr>
      <t xml:space="preserve"> </t>
    </r>
    <r>
      <rPr>
        <sz val="10"/>
        <color rgb="FFFF2800"/>
        <rFont val="Consolas"/>
        <family val="3"/>
      </rPr>
      <t>'決裁日'</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</si>
  <si>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approval_type </t>
    </r>
    <r>
      <rPr>
        <sz val="10"/>
        <color rgb="FF0080FF"/>
        <rFont val="Consolas"/>
        <family val="3"/>
      </rPr>
      <t>IS</t>
    </r>
    <r>
      <rPr>
        <sz val="10"/>
        <color theme="1"/>
        <rFont val="Consolas"/>
        <family val="3"/>
      </rPr>
      <t xml:space="preserve"> </t>
    </r>
    <r>
      <rPr>
        <sz val="10"/>
        <color rgb="FFFF2800"/>
        <rFont val="Consolas"/>
        <family val="3"/>
      </rPr>
      <t>'決裁種別'</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</si>
  <si>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business_category </t>
    </r>
    <r>
      <rPr>
        <sz val="10"/>
        <color rgb="FF0080FF"/>
        <rFont val="Consolas"/>
        <family val="3"/>
      </rPr>
      <t>IS</t>
    </r>
    <r>
      <rPr>
        <sz val="10"/>
        <color theme="1"/>
        <rFont val="Consolas"/>
        <family val="3"/>
      </rPr>
      <t xml:space="preserve"> </t>
    </r>
    <r>
      <rPr>
        <sz val="10"/>
        <color rgb="FFFF2800"/>
        <rFont val="Consolas"/>
        <family val="3"/>
      </rPr>
      <t>'事業区分'</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</si>
  <si>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approval_content </t>
    </r>
    <r>
      <rPr>
        <sz val="10"/>
        <color rgb="FF0080FF"/>
        <rFont val="Consolas"/>
        <family val="3"/>
      </rPr>
      <t>IS</t>
    </r>
    <r>
      <rPr>
        <sz val="10"/>
        <color theme="1"/>
        <rFont val="Consolas"/>
        <family val="3"/>
      </rPr>
      <t xml:space="preserve"> </t>
    </r>
    <r>
      <rPr>
        <sz val="10"/>
        <color rgb="FFFF2800"/>
        <rFont val="Consolas"/>
        <family val="3"/>
      </rPr>
      <t>'決裁内容'</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</si>
  <si>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approval_subject </t>
    </r>
    <r>
      <rPr>
        <sz val="10"/>
        <color rgb="FF0080FF"/>
        <rFont val="Consolas"/>
        <family val="3"/>
      </rPr>
      <t>IS</t>
    </r>
    <r>
      <rPr>
        <sz val="10"/>
        <color theme="1"/>
        <rFont val="Consolas"/>
        <family val="3"/>
      </rPr>
      <t xml:space="preserve"> </t>
    </r>
    <r>
      <rPr>
        <sz val="10"/>
        <color rgb="FFFF2800"/>
        <rFont val="Consolas"/>
        <family val="3"/>
      </rPr>
      <t>'決裁件名'</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</si>
  <si>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competing_carrier_name </t>
    </r>
    <r>
      <rPr>
        <sz val="10"/>
        <color rgb="FF0080FF"/>
        <rFont val="Consolas"/>
        <family val="3"/>
      </rPr>
      <t>IS</t>
    </r>
    <r>
      <rPr>
        <sz val="10"/>
        <color theme="1"/>
        <rFont val="Consolas"/>
        <family val="3"/>
      </rPr>
      <t xml:space="preserve"> </t>
    </r>
    <r>
      <rPr>
        <sz val="10"/>
        <color rgb="FFFF2800"/>
        <rFont val="Consolas"/>
        <family val="3"/>
      </rPr>
      <t>'競合キャリア名'</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</si>
  <si>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competing_carrier_provision_conditions </t>
    </r>
    <r>
      <rPr>
        <sz val="10"/>
        <color rgb="FF0080FF"/>
        <rFont val="Consolas"/>
        <family val="3"/>
      </rPr>
      <t>IS</t>
    </r>
    <r>
      <rPr>
        <sz val="10"/>
        <color theme="1"/>
        <rFont val="Consolas"/>
        <family val="3"/>
      </rPr>
      <t xml:space="preserve"> </t>
    </r>
    <r>
      <rPr>
        <sz val="10"/>
        <color rgb="FFFF2800"/>
        <rFont val="Consolas"/>
        <family val="3"/>
      </rPr>
      <t>'競合キャリア提供条件'</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</si>
  <si>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proposal_type </t>
    </r>
    <r>
      <rPr>
        <sz val="10"/>
        <color rgb="FF0080FF"/>
        <rFont val="Consolas"/>
        <family val="3"/>
      </rPr>
      <t>IS</t>
    </r>
    <r>
      <rPr>
        <sz val="10"/>
        <color theme="1"/>
        <rFont val="Consolas"/>
        <family val="3"/>
      </rPr>
      <t xml:space="preserve"> </t>
    </r>
    <r>
      <rPr>
        <sz val="10"/>
        <color rgb="FFFF2800"/>
        <rFont val="Consolas"/>
        <family val="3"/>
      </rPr>
      <t>'提案種別'</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</si>
  <si>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project_summary_summary_1 </t>
    </r>
    <r>
      <rPr>
        <sz val="10"/>
        <color rgb="FF0080FF"/>
        <rFont val="Consolas"/>
        <family val="3"/>
      </rPr>
      <t>IS</t>
    </r>
    <r>
      <rPr>
        <sz val="10"/>
        <color theme="1"/>
        <rFont val="Consolas"/>
        <family val="3"/>
      </rPr>
      <t xml:space="preserve"> </t>
    </r>
    <r>
      <rPr>
        <sz val="10"/>
        <color rgb="FFFF2800"/>
        <rFont val="Consolas"/>
        <family val="3"/>
      </rPr>
      <t>'案件概要_要旨記述1'</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</si>
  <si>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project_summary_summary_2 </t>
    </r>
    <r>
      <rPr>
        <sz val="10"/>
        <color rgb="FF0080FF"/>
        <rFont val="Consolas"/>
        <family val="3"/>
      </rPr>
      <t>IS</t>
    </r>
    <r>
      <rPr>
        <sz val="10"/>
        <color theme="1"/>
        <rFont val="Consolas"/>
        <family val="3"/>
      </rPr>
      <t xml:space="preserve"> </t>
    </r>
    <r>
      <rPr>
        <sz val="10"/>
        <color rgb="FFFF2800"/>
        <rFont val="Consolas"/>
        <family val="3"/>
      </rPr>
      <t>'案件概要_要旨記述2'</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</si>
  <si>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project_summary_summary_3 </t>
    </r>
    <r>
      <rPr>
        <sz val="10"/>
        <color rgb="FF0080FF"/>
        <rFont val="Consolas"/>
        <family val="3"/>
      </rPr>
      <t>IS</t>
    </r>
    <r>
      <rPr>
        <sz val="10"/>
        <color theme="1"/>
        <rFont val="Consolas"/>
        <family val="3"/>
      </rPr>
      <t xml:space="preserve"> </t>
    </r>
    <r>
      <rPr>
        <sz val="10"/>
        <color rgb="FFFF2800"/>
        <rFont val="Consolas"/>
        <family val="3"/>
      </rPr>
      <t>'案件概要_要旨記述3'</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</si>
  <si>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project_summary_summary_4 </t>
    </r>
    <r>
      <rPr>
        <sz val="10"/>
        <color rgb="FF0080FF"/>
        <rFont val="Consolas"/>
        <family val="3"/>
      </rPr>
      <t>IS</t>
    </r>
    <r>
      <rPr>
        <sz val="10"/>
        <color theme="1"/>
        <rFont val="Consolas"/>
        <family val="3"/>
      </rPr>
      <t xml:space="preserve"> </t>
    </r>
    <r>
      <rPr>
        <sz val="10"/>
        <color rgb="FFFF2800"/>
        <rFont val="Consolas"/>
        <family val="3"/>
      </rPr>
      <t>'案件概要_要旨記述4'</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</si>
  <si>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purpose_reason_effect </t>
    </r>
    <r>
      <rPr>
        <sz val="10"/>
        <color rgb="FF0080FF"/>
        <rFont val="Consolas"/>
        <family val="3"/>
      </rPr>
      <t>IS</t>
    </r>
    <r>
      <rPr>
        <sz val="10"/>
        <color theme="1"/>
        <rFont val="Consolas"/>
        <family val="3"/>
      </rPr>
      <t xml:space="preserve"> </t>
    </r>
    <r>
      <rPr>
        <sz val="10"/>
        <color rgb="FFFF2800"/>
        <rFont val="Consolas"/>
        <family val="3"/>
      </rPr>
      <t>'目的_理由_効果'</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</si>
  <si>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summary_supplement_reserved_for_applicant </t>
    </r>
    <r>
      <rPr>
        <sz val="10"/>
        <color rgb="FF0080FF"/>
        <rFont val="Consolas"/>
        <family val="3"/>
      </rPr>
      <t>IS</t>
    </r>
    <r>
      <rPr>
        <sz val="10"/>
        <color theme="1"/>
        <rFont val="Consolas"/>
        <family val="3"/>
      </rPr>
      <t xml:space="preserve"> </t>
    </r>
    <r>
      <rPr>
        <sz val="10"/>
        <color rgb="FFFF2800"/>
        <rFont val="Consolas"/>
        <family val="3"/>
      </rPr>
      <t>'要旨補足_申請者専用'</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</si>
  <si>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number_of_lines </t>
    </r>
    <r>
      <rPr>
        <sz val="10"/>
        <color rgb="FF0080FF"/>
        <rFont val="Consolas"/>
        <family val="3"/>
      </rPr>
      <t>IS</t>
    </r>
    <r>
      <rPr>
        <sz val="10"/>
        <color theme="1"/>
        <rFont val="Consolas"/>
        <family val="3"/>
      </rPr>
      <t xml:space="preserve"> </t>
    </r>
    <r>
      <rPr>
        <sz val="10"/>
        <color rgb="FFFF2800"/>
        <rFont val="Consolas"/>
        <family val="3"/>
      </rPr>
      <t>'回線数'</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</si>
  <si>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maximum_number_of_lines </t>
    </r>
    <r>
      <rPr>
        <sz val="10"/>
        <color rgb="FF0080FF"/>
        <rFont val="Consolas"/>
        <family val="3"/>
      </rPr>
      <t>IS</t>
    </r>
    <r>
      <rPr>
        <sz val="10"/>
        <color theme="1"/>
        <rFont val="Consolas"/>
        <family val="3"/>
      </rPr>
      <t xml:space="preserve"> </t>
    </r>
    <r>
      <rPr>
        <sz val="10"/>
        <color rgb="FFFF2800"/>
        <rFont val="Consolas"/>
        <family val="3"/>
      </rPr>
      <t>'回線数_上限'</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</si>
  <si>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minimum_number_of_lines </t>
    </r>
    <r>
      <rPr>
        <sz val="10"/>
        <color rgb="FF0080FF"/>
        <rFont val="Consolas"/>
        <family val="3"/>
      </rPr>
      <t>IS</t>
    </r>
    <r>
      <rPr>
        <sz val="10"/>
        <color theme="1"/>
        <rFont val="Consolas"/>
        <family val="3"/>
      </rPr>
      <t xml:space="preserve"> </t>
    </r>
    <r>
      <rPr>
        <sz val="10"/>
        <color rgb="FFFF2800"/>
        <rFont val="Consolas"/>
        <family val="3"/>
      </rPr>
      <t>'回線数_下限'</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</si>
  <si>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applicable_plan </t>
    </r>
    <r>
      <rPr>
        <sz val="10"/>
        <color rgb="FF0080FF"/>
        <rFont val="Consolas"/>
        <family val="3"/>
      </rPr>
      <t>IS</t>
    </r>
    <r>
      <rPr>
        <sz val="10"/>
        <color theme="1"/>
        <rFont val="Consolas"/>
        <family val="3"/>
      </rPr>
      <t xml:space="preserve"> </t>
    </r>
    <r>
      <rPr>
        <sz val="10"/>
        <color rgb="FFFF2800"/>
        <rFont val="Consolas"/>
        <family val="3"/>
      </rPr>
      <t>'適用プラン'</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</si>
  <si>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discount_rate </t>
    </r>
    <r>
      <rPr>
        <sz val="10"/>
        <color rgb="FF0080FF"/>
        <rFont val="Consolas"/>
        <family val="3"/>
      </rPr>
      <t>IS</t>
    </r>
    <r>
      <rPr>
        <sz val="10"/>
        <color theme="1"/>
        <rFont val="Consolas"/>
        <family val="3"/>
      </rPr>
      <t xml:space="preserve"> </t>
    </r>
    <r>
      <rPr>
        <sz val="10"/>
        <color rgb="FFFF2800"/>
        <rFont val="Consolas"/>
        <family val="3"/>
      </rPr>
      <t>'割引率'</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</si>
  <si>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internal_and_external_agency </t>
    </r>
    <r>
      <rPr>
        <sz val="10"/>
        <color rgb="FF0080FF"/>
        <rFont val="Consolas"/>
        <family val="3"/>
      </rPr>
      <t>IS</t>
    </r>
    <r>
      <rPr>
        <sz val="10"/>
        <color theme="1"/>
        <rFont val="Consolas"/>
        <family val="3"/>
      </rPr>
      <t xml:space="preserve"> </t>
    </r>
    <r>
      <rPr>
        <sz val="10"/>
        <color rgb="FFFF2800"/>
        <rFont val="Consolas"/>
        <family val="3"/>
      </rPr>
      <t>'代理権内外'</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</si>
  <si>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channel </t>
    </r>
    <r>
      <rPr>
        <sz val="10"/>
        <color rgb="FF0080FF"/>
        <rFont val="Consolas"/>
        <family val="3"/>
      </rPr>
      <t>IS</t>
    </r>
    <r>
      <rPr>
        <sz val="10"/>
        <color theme="1"/>
        <rFont val="Consolas"/>
        <family val="3"/>
      </rPr>
      <t xml:space="preserve"> </t>
    </r>
    <r>
      <rPr>
        <sz val="10"/>
        <color rgb="FFFF2800"/>
        <rFont val="Consolas"/>
        <family val="3"/>
      </rPr>
      <t>'チャネル'</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</si>
  <si>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special_personal_consultation_c </t>
    </r>
    <r>
      <rPr>
        <sz val="10"/>
        <color rgb="FF0080FF"/>
        <rFont val="Consolas"/>
        <family val="3"/>
      </rPr>
      <t>IS</t>
    </r>
    <r>
      <rPr>
        <sz val="10"/>
        <color theme="1"/>
        <rFont val="Consolas"/>
        <family val="3"/>
      </rPr>
      <t xml:space="preserve"> </t>
    </r>
    <r>
      <rPr>
        <sz val="10"/>
        <color rgb="FFFF2800"/>
        <rFont val="Consolas"/>
        <family val="3"/>
      </rPr>
      <t>'特_相対相談Ｃ'</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</si>
  <si>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special_service_provision </t>
    </r>
    <r>
      <rPr>
        <sz val="10"/>
        <color rgb="FF0080FF"/>
        <rFont val="Consolas"/>
        <family val="3"/>
      </rPr>
      <t>IS</t>
    </r>
    <r>
      <rPr>
        <sz val="10"/>
        <color theme="1"/>
        <rFont val="Consolas"/>
        <family val="3"/>
      </rPr>
      <t xml:space="preserve"> </t>
    </r>
    <r>
      <rPr>
        <sz val="10"/>
        <color rgb="FFFF2800"/>
        <rFont val="Consolas"/>
        <family val="3"/>
      </rPr>
      <t>'特_サービス提供'</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</si>
  <si>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special_new_data_card </t>
    </r>
    <r>
      <rPr>
        <sz val="10"/>
        <color rgb="FF0080FF"/>
        <rFont val="Consolas"/>
        <family val="3"/>
      </rPr>
      <t>IS</t>
    </r>
    <r>
      <rPr>
        <sz val="10"/>
        <color theme="1"/>
        <rFont val="Consolas"/>
        <family val="3"/>
      </rPr>
      <t xml:space="preserve"> </t>
    </r>
    <r>
      <rPr>
        <sz val="10"/>
        <color rgb="FFFF2800"/>
        <rFont val="Consolas"/>
        <family val="3"/>
      </rPr>
      <t>'特_新規データカード'</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</si>
  <si>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special_m2m </t>
    </r>
    <r>
      <rPr>
        <sz val="10"/>
        <color rgb="FF0080FF"/>
        <rFont val="Consolas"/>
        <family val="3"/>
      </rPr>
      <t>IS</t>
    </r>
    <r>
      <rPr>
        <sz val="10"/>
        <color theme="1"/>
        <rFont val="Consolas"/>
        <family val="3"/>
      </rPr>
      <t xml:space="preserve"> </t>
    </r>
    <r>
      <rPr>
        <sz val="10"/>
        <color rgb="FFFF2800"/>
        <rFont val="Consolas"/>
        <family val="3"/>
      </rPr>
      <t>'特_m2m'</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</si>
  <si>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special_hardware_replacement </t>
    </r>
    <r>
      <rPr>
        <sz val="10"/>
        <color rgb="FF0080FF"/>
        <rFont val="Consolas"/>
        <family val="3"/>
      </rPr>
      <t>IS</t>
    </r>
    <r>
      <rPr>
        <sz val="10"/>
        <color theme="1"/>
        <rFont val="Consolas"/>
        <family val="3"/>
      </rPr>
      <t xml:space="preserve"> </t>
    </r>
    <r>
      <rPr>
        <sz val="10"/>
        <color rgb="FFFF2800"/>
        <rFont val="Consolas"/>
        <family val="3"/>
      </rPr>
      <t>'特_異機種交換'</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</si>
  <si>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special_base_station </t>
    </r>
    <r>
      <rPr>
        <sz val="10"/>
        <color rgb="FF0080FF"/>
        <rFont val="Consolas"/>
        <family val="3"/>
      </rPr>
      <t>IS</t>
    </r>
    <r>
      <rPr>
        <sz val="10"/>
        <color theme="1"/>
        <rFont val="Consolas"/>
        <family val="3"/>
      </rPr>
      <t xml:space="preserve"> </t>
    </r>
    <r>
      <rPr>
        <sz val="10"/>
        <color rgb="FFFF2800"/>
        <rFont val="Consolas"/>
        <family val="3"/>
      </rPr>
      <t>'特_基地局'</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</si>
  <si>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sales </t>
    </r>
    <r>
      <rPr>
        <sz val="10"/>
        <color rgb="FF0080FF"/>
        <rFont val="Consolas"/>
        <family val="3"/>
      </rPr>
      <t>IS</t>
    </r>
    <r>
      <rPr>
        <sz val="10"/>
        <color theme="1"/>
        <rFont val="Consolas"/>
        <family val="3"/>
      </rPr>
      <t xml:space="preserve"> </t>
    </r>
    <r>
      <rPr>
        <sz val="10"/>
        <color rgb="FFFF2800"/>
        <rFont val="Consolas"/>
        <family val="3"/>
      </rPr>
      <t>'売上'</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</si>
  <si>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total_expenses </t>
    </r>
    <r>
      <rPr>
        <sz val="10"/>
        <color rgb="FF0080FF"/>
        <rFont val="Consolas"/>
        <family val="3"/>
      </rPr>
      <t>IS</t>
    </r>
    <r>
      <rPr>
        <sz val="10"/>
        <color theme="1"/>
        <rFont val="Consolas"/>
        <family val="3"/>
      </rPr>
      <t xml:space="preserve"> </t>
    </r>
    <r>
      <rPr>
        <sz val="10"/>
        <color rgb="FFFF2800"/>
        <rFont val="Consolas"/>
        <family val="3"/>
      </rPr>
      <t>'費用負担総額'</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</si>
  <si>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operating_variable_profit </t>
    </r>
    <r>
      <rPr>
        <sz val="10"/>
        <color rgb="FF0080FF"/>
        <rFont val="Consolas"/>
        <family val="3"/>
      </rPr>
      <t>IS</t>
    </r>
    <r>
      <rPr>
        <sz val="10"/>
        <color theme="1"/>
        <rFont val="Consolas"/>
        <family val="3"/>
      </rPr>
      <t xml:space="preserve"> </t>
    </r>
    <r>
      <rPr>
        <sz val="10"/>
        <color rgb="FFFF2800"/>
        <rFont val="Consolas"/>
        <family val="3"/>
      </rPr>
      <t>'営業変動利益'</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</si>
  <si>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operating_variable_profit_margin </t>
    </r>
    <r>
      <rPr>
        <sz val="10"/>
        <color rgb="FF0080FF"/>
        <rFont val="Consolas"/>
        <family val="3"/>
      </rPr>
      <t>IS</t>
    </r>
    <r>
      <rPr>
        <sz val="10"/>
        <color theme="1"/>
        <rFont val="Consolas"/>
        <family val="3"/>
      </rPr>
      <t xml:space="preserve"> </t>
    </r>
    <r>
      <rPr>
        <sz val="10"/>
        <color rgb="FFFF2800"/>
        <rFont val="Consolas"/>
        <family val="3"/>
      </rPr>
      <t>'営業変動利益率'</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</si>
  <si>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operating_contribution_margin </t>
    </r>
    <r>
      <rPr>
        <sz val="10"/>
        <color rgb="FF0080FF"/>
        <rFont val="Consolas"/>
        <family val="3"/>
      </rPr>
      <t>IS</t>
    </r>
    <r>
      <rPr>
        <sz val="10"/>
        <color theme="1"/>
        <rFont val="Consolas"/>
        <family val="3"/>
      </rPr>
      <t xml:space="preserve"> </t>
    </r>
    <r>
      <rPr>
        <sz val="10"/>
        <color rgb="FFFF2800"/>
        <rFont val="Consolas"/>
        <family val="3"/>
      </rPr>
      <t>'営業貢献利益'</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</si>
  <si>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operating_contribution_margin_margin </t>
    </r>
    <r>
      <rPr>
        <sz val="10"/>
        <color rgb="FF0080FF"/>
        <rFont val="Consolas"/>
        <family val="3"/>
      </rPr>
      <t>IS</t>
    </r>
    <r>
      <rPr>
        <sz val="10"/>
        <color theme="1"/>
        <rFont val="Consolas"/>
        <family val="3"/>
      </rPr>
      <t xml:space="preserve"> </t>
    </r>
    <r>
      <rPr>
        <sz val="10"/>
        <color rgb="FFFF2800"/>
        <rFont val="Consolas"/>
        <family val="3"/>
      </rPr>
      <t>'営業貢献利益率'</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</si>
  <si>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sales_profit </t>
    </r>
    <r>
      <rPr>
        <sz val="10"/>
        <color rgb="FF0080FF"/>
        <rFont val="Consolas"/>
        <family val="3"/>
      </rPr>
      <t>IS</t>
    </r>
    <r>
      <rPr>
        <sz val="10"/>
        <color theme="1"/>
        <rFont val="Consolas"/>
        <family val="3"/>
      </rPr>
      <t xml:space="preserve"> </t>
    </r>
    <r>
      <rPr>
        <sz val="10"/>
        <color rgb="FFFF2800"/>
        <rFont val="Consolas"/>
        <family val="3"/>
      </rPr>
      <t>'営業利益'</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</si>
  <si>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operating_margin </t>
    </r>
    <r>
      <rPr>
        <sz val="10"/>
        <color rgb="FF0080FF"/>
        <rFont val="Consolas"/>
        <family val="3"/>
      </rPr>
      <t>IS</t>
    </r>
    <r>
      <rPr>
        <sz val="10"/>
        <color theme="1"/>
        <rFont val="Consolas"/>
        <family val="3"/>
      </rPr>
      <t xml:space="preserve"> </t>
    </r>
    <r>
      <rPr>
        <sz val="10"/>
        <color rgb="FFFF2800"/>
        <rFont val="Consolas"/>
        <family val="3"/>
      </rPr>
      <t>'営業利益率'</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</si>
  <si>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operating_contribution_margin_voice </t>
    </r>
    <r>
      <rPr>
        <sz val="10"/>
        <color rgb="FF0080FF"/>
        <rFont val="Consolas"/>
        <family val="3"/>
      </rPr>
      <t>IS</t>
    </r>
    <r>
      <rPr>
        <sz val="10"/>
        <color theme="1"/>
        <rFont val="Consolas"/>
        <family val="3"/>
      </rPr>
      <t xml:space="preserve"> </t>
    </r>
    <r>
      <rPr>
        <sz val="10"/>
        <color rgb="FFFF2800"/>
        <rFont val="Consolas"/>
        <family val="3"/>
      </rPr>
      <t>'営業貢献利益_音声'</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</si>
  <si>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operating_contribution_margin_ratio_voice </t>
    </r>
    <r>
      <rPr>
        <sz val="10"/>
        <color rgb="FF0080FF"/>
        <rFont val="Consolas"/>
        <family val="3"/>
      </rPr>
      <t>IS</t>
    </r>
    <r>
      <rPr>
        <sz val="10"/>
        <color theme="1"/>
        <rFont val="Consolas"/>
        <family val="3"/>
      </rPr>
      <t xml:space="preserve"> </t>
    </r>
    <r>
      <rPr>
        <sz val="10"/>
        <color rgb="FFFF2800"/>
        <rFont val="Consolas"/>
        <family val="3"/>
      </rPr>
      <t>'営業貢献利益率_音声'</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</si>
  <si>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approval_based_profit_id </t>
    </r>
    <r>
      <rPr>
        <sz val="10"/>
        <color rgb="FF0080FF"/>
        <rFont val="Consolas"/>
        <family val="3"/>
      </rPr>
      <t>IS</t>
    </r>
    <r>
      <rPr>
        <sz val="10"/>
        <color theme="1"/>
        <rFont val="Consolas"/>
        <family val="3"/>
      </rPr>
      <t xml:space="preserve"> </t>
    </r>
    <r>
      <rPr>
        <sz val="10"/>
        <color rgb="FFFF2800"/>
        <rFont val="Consolas"/>
        <family val="3"/>
      </rPr>
      <t>'決裁基準利益_id'</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</si>
  <si>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approval_based_profit_ratio_id </t>
    </r>
    <r>
      <rPr>
        <sz val="10"/>
        <color rgb="FF0080FF"/>
        <rFont val="Consolas"/>
        <family val="3"/>
      </rPr>
      <t>IS</t>
    </r>
    <r>
      <rPr>
        <sz val="10"/>
        <color theme="1"/>
        <rFont val="Consolas"/>
        <family val="3"/>
      </rPr>
      <t xml:space="preserve"> </t>
    </r>
    <r>
      <rPr>
        <sz val="10"/>
        <color rgb="FFFF2800"/>
        <rFont val="Consolas"/>
        <family val="3"/>
      </rPr>
      <t>'決裁基準利益率_id'</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</si>
  <si>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approval_based_profit_is </t>
    </r>
    <r>
      <rPr>
        <sz val="10"/>
        <color rgb="FF0080FF"/>
        <rFont val="Consolas"/>
        <family val="3"/>
      </rPr>
      <t>IS</t>
    </r>
    <r>
      <rPr>
        <sz val="10"/>
        <color theme="1"/>
        <rFont val="Consolas"/>
        <family val="3"/>
      </rPr>
      <t xml:space="preserve"> </t>
    </r>
    <r>
      <rPr>
        <sz val="10"/>
        <color rgb="FFFF2800"/>
        <rFont val="Consolas"/>
        <family val="3"/>
      </rPr>
      <t>'決裁基準利益_is'</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</si>
  <si>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approval_based_profit_ratio_is </t>
    </r>
    <r>
      <rPr>
        <sz val="10"/>
        <color rgb="FF0080FF"/>
        <rFont val="Consolas"/>
        <family val="3"/>
      </rPr>
      <t>IS</t>
    </r>
    <r>
      <rPr>
        <sz val="10"/>
        <color theme="1"/>
        <rFont val="Consolas"/>
        <family val="3"/>
      </rPr>
      <t xml:space="preserve"> </t>
    </r>
    <r>
      <rPr>
        <sz val="10"/>
        <color rgb="FFFF2800"/>
        <rFont val="Consolas"/>
        <family val="3"/>
      </rPr>
      <t>'決裁基準利益率_is'</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</si>
  <si>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operating_contribution_margin_mobile </t>
    </r>
    <r>
      <rPr>
        <sz val="10"/>
        <color rgb="FF0080FF"/>
        <rFont val="Consolas"/>
        <family val="3"/>
      </rPr>
      <t>IS</t>
    </r>
    <r>
      <rPr>
        <sz val="10"/>
        <color theme="1"/>
        <rFont val="Consolas"/>
        <family val="3"/>
      </rPr>
      <t xml:space="preserve"> </t>
    </r>
    <r>
      <rPr>
        <sz val="10"/>
        <color rgb="FFFF2800"/>
        <rFont val="Consolas"/>
        <family val="3"/>
      </rPr>
      <t>'営業貢献利益_mobile'</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</si>
  <si>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operating_contribution_margin_ratio_mobile </t>
    </r>
    <r>
      <rPr>
        <sz val="10"/>
        <color rgb="FF0080FF"/>
        <rFont val="Consolas"/>
        <family val="3"/>
      </rPr>
      <t>IS</t>
    </r>
    <r>
      <rPr>
        <sz val="10"/>
        <color theme="1"/>
        <rFont val="Consolas"/>
        <family val="3"/>
      </rPr>
      <t xml:space="preserve"> </t>
    </r>
    <r>
      <rPr>
        <sz val="10"/>
        <color rgb="FFFF2800"/>
        <rFont val="Consolas"/>
        <family val="3"/>
      </rPr>
      <t>'営業貢献利益率_mobile'</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</si>
  <si>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operating_contribution_margin_phs </t>
    </r>
    <r>
      <rPr>
        <sz val="10"/>
        <color rgb="FF0080FF"/>
        <rFont val="Consolas"/>
        <family val="3"/>
      </rPr>
      <t>IS</t>
    </r>
    <r>
      <rPr>
        <sz val="10"/>
        <color theme="1"/>
        <rFont val="Consolas"/>
        <family val="3"/>
      </rPr>
      <t xml:space="preserve"> </t>
    </r>
    <r>
      <rPr>
        <sz val="10"/>
        <color rgb="FFFF2800"/>
        <rFont val="Consolas"/>
        <family val="3"/>
      </rPr>
      <t>'営業貢献利益_phs'</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</si>
  <si>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operating_contribution_margin_ratio_phs </t>
    </r>
    <r>
      <rPr>
        <sz val="10"/>
        <color rgb="FF0080FF"/>
        <rFont val="Consolas"/>
        <family val="3"/>
      </rPr>
      <t>IS</t>
    </r>
    <r>
      <rPr>
        <sz val="10"/>
        <color theme="1"/>
        <rFont val="Consolas"/>
        <family val="3"/>
      </rPr>
      <t xml:space="preserve"> </t>
    </r>
    <r>
      <rPr>
        <sz val="10"/>
        <color rgb="FFFF2800"/>
        <rFont val="Consolas"/>
        <family val="3"/>
      </rPr>
      <t>'営業貢献利益率_phs'</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</si>
  <si>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deduction_exemption </t>
    </r>
    <r>
      <rPr>
        <sz val="10"/>
        <color rgb="FF0080FF"/>
        <rFont val="Consolas"/>
        <family val="3"/>
      </rPr>
      <t>IS</t>
    </r>
    <r>
      <rPr>
        <sz val="10"/>
        <color theme="1"/>
        <rFont val="Consolas"/>
        <family val="3"/>
      </rPr>
      <t xml:space="preserve"> </t>
    </r>
    <r>
      <rPr>
        <sz val="10"/>
        <color rgb="FFFF2800"/>
        <rFont val="Consolas"/>
        <family val="3"/>
      </rPr>
      <t>'減免有無'</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</si>
  <si>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deduction_amount </t>
    </r>
    <r>
      <rPr>
        <sz val="10"/>
        <color rgb="FF0080FF"/>
        <rFont val="Consolas"/>
        <family val="3"/>
      </rPr>
      <t>IS</t>
    </r>
    <r>
      <rPr>
        <sz val="10"/>
        <color theme="1"/>
        <rFont val="Consolas"/>
        <family val="3"/>
      </rPr>
      <t xml:space="preserve"> </t>
    </r>
    <r>
      <rPr>
        <sz val="10"/>
        <color rgb="FFFF2800"/>
        <rFont val="Consolas"/>
        <family val="3"/>
      </rPr>
      <t>'減免額'</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</si>
  <si>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agency_collaboration </t>
    </r>
    <r>
      <rPr>
        <sz val="10"/>
        <color rgb="FF0080FF"/>
        <rFont val="Consolas"/>
        <family val="3"/>
      </rPr>
      <t>IS</t>
    </r>
    <r>
      <rPr>
        <sz val="10"/>
        <color theme="1"/>
        <rFont val="Consolas"/>
        <family val="3"/>
      </rPr>
      <t xml:space="preserve"> </t>
    </r>
    <r>
      <rPr>
        <sz val="10"/>
        <color rgb="FFFF2800"/>
        <rFont val="Consolas"/>
        <family val="3"/>
      </rPr>
      <t>'代理店協業有無'</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</si>
  <si>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agency_name </t>
    </r>
    <r>
      <rPr>
        <sz val="10"/>
        <color rgb="FF0080FF"/>
        <rFont val="Consolas"/>
        <family val="3"/>
      </rPr>
      <t>IS</t>
    </r>
    <r>
      <rPr>
        <sz val="10"/>
        <color theme="1"/>
        <rFont val="Consolas"/>
        <family val="3"/>
      </rPr>
      <t xml:space="preserve"> </t>
    </r>
    <r>
      <rPr>
        <sz val="10"/>
        <color rgb="FFFF2800"/>
        <rFont val="Consolas"/>
        <family val="3"/>
      </rPr>
      <t>'代理店名'</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</si>
  <si>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agency_code </t>
    </r>
    <r>
      <rPr>
        <sz val="10"/>
        <color rgb="FF0080FF"/>
        <rFont val="Consolas"/>
        <family val="3"/>
      </rPr>
      <t>IS</t>
    </r>
    <r>
      <rPr>
        <sz val="10"/>
        <color theme="1"/>
        <rFont val="Consolas"/>
        <family val="3"/>
      </rPr>
      <t xml:space="preserve"> </t>
    </r>
    <r>
      <rPr>
        <sz val="10"/>
        <color rgb="FFFF2800"/>
        <rFont val="Consolas"/>
        <family val="3"/>
      </rPr>
      <t>'代理店コード'</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</si>
  <si>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agency_manual_input_flag </t>
    </r>
    <r>
      <rPr>
        <sz val="10"/>
        <color rgb="FF0080FF"/>
        <rFont val="Consolas"/>
        <family val="3"/>
      </rPr>
      <t>IS</t>
    </r>
    <r>
      <rPr>
        <sz val="10"/>
        <color theme="1"/>
        <rFont val="Consolas"/>
        <family val="3"/>
      </rPr>
      <t xml:space="preserve"> </t>
    </r>
    <r>
      <rPr>
        <sz val="10"/>
        <color rgb="FFFF2800"/>
        <rFont val="Consolas"/>
        <family val="3"/>
      </rPr>
      <t>'代理店手入力フラグ'</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</si>
  <si>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commission_rate </t>
    </r>
    <r>
      <rPr>
        <sz val="10"/>
        <color rgb="FF0080FF"/>
        <rFont val="Consolas"/>
        <family val="3"/>
      </rPr>
      <t>IS</t>
    </r>
    <r>
      <rPr>
        <sz val="10"/>
        <color theme="1"/>
        <rFont val="Consolas"/>
        <family val="3"/>
      </rPr>
      <t xml:space="preserve"> </t>
    </r>
    <r>
      <rPr>
        <sz val="10"/>
        <color rgb="FFFF2800"/>
        <rFont val="Consolas"/>
        <family val="3"/>
      </rPr>
      <t>'手数料率'</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</si>
  <si>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incentive_amount </t>
    </r>
    <r>
      <rPr>
        <sz val="10"/>
        <color rgb="FF0080FF"/>
        <rFont val="Consolas"/>
        <family val="3"/>
      </rPr>
      <t>IS</t>
    </r>
    <r>
      <rPr>
        <sz val="10"/>
        <color theme="1"/>
        <rFont val="Consolas"/>
        <family val="3"/>
      </rPr>
      <t xml:space="preserve"> </t>
    </r>
    <r>
      <rPr>
        <sz val="10"/>
        <color rgb="FFFF2800"/>
        <rFont val="Consolas"/>
        <family val="3"/>
      </rPr>
      <t>'インセンティブ額'</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</si>
  <si>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reason_for_collaboration </t>
    </r>
    <r>
      <rPr>
        <sz val="10"/>
        <color rgb="FF0080FF"/>
        <rFont val="Consolas"/>
        <family val="3"/>
      </rPr>
      <t>IS</t>
    </r>
    <r>
      <rPr>
        <sz val="10"/>
        <color theme="1"/>
        <rFont val="Consolas"/>
        <family val="3"/>
      </rPr>
      <t xml:space="preserve"> </t>
    </r>
    <r>
      <rPr>
        <sz val="10"/>
        <color rgb="FFFF2800"/>
        <rFont val="Consolas"/>
        <family val="3"/>
      </rPr>
      <t>'協業理由'</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</si>
  <si>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test_1_sales_method </t>
    </r>
    <r>
      <rPr>
        <sz val="10"/>
        <color rgb="FF0080FF"/>
        <rFont val="Consolas"/>
        <family val="3"/>
      </rPr>
      <t>IS</t>
    </r>
    <r>
      <rPr>
        <sz val="10"/>
        <color theme="1"/>
        <rFont val="Consolas"/>
        <family val="3"/>
      </rPr>
      <t xml:space="preserve"> </t>
    </r>
    <r>
      <rPr>
        <sz val="10"/>
        <color rgb="FFFF2800"/>
        <rFont val="Consolas"/>
        <family val="3"/>
      </rPr>
      <t>'試1_販売方法'</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</si>
  <si>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test_1_expected_order_month </t>
    </r>
    <r>
      <rPr>
        <sz val="10"/>
        <color rgb="FF0080FF"/>
        <rFont val="Consolas"/>
        <family val="3"/>
      </rPr>
      <t>IS</t>
    </r>
    <r>
      <rPr>
        <sz val="10"/>
        <color theme="1"/>
        <rFont val="Consolas"/>
        <family val="3"/>
      </rPr>
      <t xml:space="preserve"> </t>
    </r>
    <r>
      <rPr>
        <sz val="10"/>
        <color rgb="FFFF2800"/>
        <rFont val="Consolas"/>
        <family val="3"/>
      </rPr>
      <t>'試1_受注予定月'</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</si>
  <si>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test_1_model </t>
    </r>
    <r>
      <rPr>
        <sz val="10"/>
        <color rgb="FF0080FF"/>
        <rFont val="Consolas"/>
        <family val="3"/>
      </rPr>
      <t>IS</t>
    </r>
    <r>
      <rPr>
        <sz val="10"/>
        <color theme="1"/>
        <rFont val="Consolas"/>
        <family val="3"/>
      </rPr>
      <t xml:space="preserve"> </t>
    </r>
    <r>
      <rPr>
        <sz val="10"/>
        <color rgb="FFFF2800"/>
        <rFont val="Consolas"/>
        <family val="3"/>
      </rPr>
      <t>'試1_機種'</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</si>
  <si>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test_1_new_device_usage_period </t>
    </r>
    <r>
      <rPr>
        <sz val="10"/>
        <color rgb="FF0080FF"/>
        <rFont val="Consolas"/>
        <family val="3"/>
      </rPr>
      <t>IS</t>
    </r>
    <r>
      <rPr>
        <sz val="10"/>
        <color theme="1"/>
        <rFont val="Consolas"/>
        <family val="3"/>
      </rPr>
      <t xml:space="preserve"> </t>
    </r>
    <r>
      <rPr>
        <sz val="10"/>
        <color rgb="FFFF2800"/>
        <rFont val="Consolas"/>
        <family val="3"/>
      </rPr>
      <t>'試1_新端末利用期間'</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</si>
  <si>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test_1_current_device_usage_period </t>
    </r>
    <r>
      <rPr>
        <sz val="10"/>
        <color rgb="FF0080FF"/>
        <rFont val="Consolas"/>
        <family val="3"/>
      </rPr>
      <t>IS</t>
    </r>
    <r>
      <rPr>
        <sz val="10"/>
        <color theme="1"/>
        <rFont val="Consolas"/>
        <family val="3"/>
      </rPr>
      <t xml:space="preserve"> </t>
    </r>
    <r>
      <rPr>
        <sz val="10"/>
        <color rgb="FFFF2800"/>
        <rFont val="Consolas"/>
        <family val="3"/>
      </rPr>
      <t>'試1_現端末利用期間'</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</si>
  <si>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test_1_relative_contract_execution </t>
    </r>
    <r>
      <rPr>
        <sz val="10"/>
        <color rgb="FF0080FF"/>
        <rFont val="Consolas"/>
        <family val="3"/>
      </rPr>
      <t>IS</t>
    </r>
    <r>
      <rPr>
        <sz val="10"/>
        <color theme="1"/>
        <rFont val="Consolas"/>
        <family val="3"/>
      </rPr>
      <t xml:space="preserve"> </t>
    </r>
    <r>
      <rPr>
        <sz val="10"/>
        <color rgb="FFFF2800"/>
        <rFont val="Consolas"/>
        <family val="3"/>
      </rPr>
      <t>'試1_相対契約書締結有'</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</si>
  <si>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test_1_contract_year </t>
    </r>
    <r>
      <rPr>
        <sz val="10"/>
        <color rgb="FF0080FF"/>
        <rFont val="Consolas"/>
        <family val="3"/>
      </rPr>
      <t>IS</t>
    </r>
    <r>
      <rPr>
        <sz val="10"/>
        <color theme="1"/>
        <rFont val="Consolas"/>
        <family val="3"/>
      </rPr>
      <t xml:space="preserve"> </t>
    </r>
    <r>
      <rPr>
        <sz val="10"/>
        <color rgb="FFFF2800"/>
        <rFont val="Consolas"/>
        <family val="3"/>
      </rPr>
      <t>'試1_契約年数'</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</si>
  <si>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test_1_number_of_lines_setting_rule </t>
    </r>
    <r>
      <rPr>
        <sz val="10"/>
        <color rgb="FF0080FF"/>
        <rFont val="Consolas"/>
        <family val="3"/>
      </rPr>
      <t>IS</t>
    </r>
    <r>
      <rPr>
        <sz val="10"/>
        <color theme="1"/>
        <rFont val="Consolas"/>
        <family val="3"/>
      </rPr>
      <t xml:space="preserve"> </t>
    </r>
    <r>
      <rPr>
        <sz val="10"/>
        <color rgb="FFFF2800"/>
        <rFont val="Consolas"/>
        <family val="3"/>
      </rPr>
      <t>'試1_回線数設定ルール'</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</si>
  <si>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test_1_cancellation_fee_waiver_5percent_special_examples </t>
    </r>
    <r>
      <rPr>
        <sz val="10"/>
        <color rgb="FF0080FF"/>
        <rFont val="Consolas"/>
        <family val="3"/>
      </rPr>
      <t>IS</t>
    </r>
    <r>
      <rPr>
        <sz val="10"/>
        <color theme="1"/>
        <rFont val="Consolas"/>
        <family val="3"/>
      </rPr>
      <t xml:space="preserve"> </t>
    </r>
    <r>
      <rPr>
        <sz val="10"/>
        <color rgb="FFFF2800"/>
        <rFont val="Consolas"/>
        <family val="3"/>
      </rPr>
      <t>'試1_解除料免除_5%特例'</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</si>
  <si>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test_1_penalty_charges_after_increase_decrease </t>
    </r>
    <r>
      <rPr>
        <sz val="10"/>
        <color rgb="FF0080FF"/>
        <rFont val="Consolas"/>
        <family val="3"/>
      </rPr>
      <t>IS</t>
    </r>
    <r>
      <rPr>
        <sz val="10"/>
        <color theme="1"/>
        <rFont val="Consolas"/>
        <family val="3"/>
      </rPr>
      <t xml:space="preserve"> </t>
    </r>
    <r>
      <rPr>
        <sz val="10"/>
        <color rgb="FFFF2800"/>
        <rFont val="Consolas"/>
        <family val="3"/>
      </rPr>
      <t>'試1_増減額後違約金'</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</si>
  <si>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test_1_installment_plan </t>
    </r>
    <r>
      <rPr>
        <sz val="10"/>
        <color rgb="FF0080FF"/>
        <rFont val="Consolas"/>
        <family val="3"/>
      </rPr>
      <t>IS</t>
    </r>
    <r>
      <rPr>
        <sz val="10"/>
        <color theme="1"/>
        <rFont val="Consolas"/>
        <family val="3"/>
      </rPr>
      <t xml:space="preserve"> </t>
    </r>
    <r>
      <rPr>
        <sz val="10"/>
        <color rgb="FFFF2800"/>
        <rFont val="Consolas"/>
        <family val="3"/>
      </rPr>
      <t>'試1_分納計画'</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</si>
  <si>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test_1_white_line_24 </t>
    </r>
    <r>
      <rPr>
        <sz val="10"/>
        <color rgb="FF0080FF"/>
        <rFont val="Consolas"/>
        <family val="3"/>
      </rPr>
      <t>IS</t>
    </r>
    <r>
      <rPr>
        <sz val="10"/>
        <color theme="1"/>
        <rFont val="Consolas"/>
        <family val="3"/>
      </rPr>
      <t xml:space="preserve"> </t>
    </r>
    <r>
      <rPr>
        <sz val="10"/>
        <color rgb="FFFF2800"/>
        <rFont val="Consolas"/>
        <family val="3"/>
      </rPr>
      <t>'試1_ホワイトライン24'</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</si>
  <si>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test_1_white_office </t>
    </r>
    <r>
      <rPr>
        <sz val="10"/>
        <color rgb="FF0080FF"/>
        <rFont val="Consolas"/>
        <family val="3"/>
      </rPr>
      <t>IS</t>
    </r>
    <r>
      <rPr>
        <sz val="10"/>
        <color theme="1"/>
        <rFont val="Consolas"/>
        <family val="3"/>
      </rPr>
      <t xml:space="preserve"> </t>
    </r>
    <r>
      <rPr>
        <sz val="10"/>
        <color rgb="FFFF2800"/>
        <rFont val="Consolas"/>
        <family val="3"/>
      </rPr>
      <t>'試1_ホワイトオフィス'</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</si>
  <si>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test_1_packet_mobilesharing </t>
    </r>
    <r>
      <rPr>
        <sz val="10"/>
        <color rgb="FF0080FF"/>
        <rFont val="Consolas"/>
        <family val="3"/>
      </rPr>
      <t>IS</t>
    </r>
    <r>
      <rPr>
        <sz val="10"/>
        <color theme="1"/>
        <rFont val="Consolas"/>
        <family val="3"/>
      </rPr>
      <t xml:space="preserve"> </t>
    </r>
    <r>
      <rPr>
        <sz val="10"/>
        <color rgb="FFFF2800"/>
        <rFont val="Consolas"/>
        <family val="3"/>
      </rPr>
      <t>'試1_packet_mobilesharing'</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</si>
  <si>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test_2_sales_method </t>
    </r>
    <r>
      <rPr>
        <sz val="10"/>
        <color rgb="FF0080FF"/>
        <rFont val="Consolas"/>
        <family val="3"/>
      </rPr>
      <t>IS</t>
    </r>
    <r>
      <rPr>
        <sz val="10"/>
        <color theme="1"/>
        <rFont val="Consolas"/>
        <family val="3"/>
      </rPr>
      <t xml:space="preserve"> </t>
    </r>
    <r>
      <rPr>
        <sz val="10"/>
        <color rgb="FFFF2800"/>
        <rFont val="Consolas"/>
        <family val="3"/>
      </rPr>
      <t>'試2_販売方法'</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</si>
  <si>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test_2_scheduled_order_month </t>
    </r>
    <r>
      <rPr>
        <sz val="10"/>
        <color rgb="FF0080FF"/>
        <rFont val="Consolas"/>
        <family val="3"/>
      </rPr>
      <t>IS</t>
    </r>
    <r>
      <rPr>
        <sz val="10"/>
        <color theme="1"/>
        <rFont val="Consolas"/>
        <family val="3"/>
      </rPr>
      <t xml:space="preserve"> </t>
    </r>
    <r>
      <rPr>
        <sz val="10"/>
        <color rgb="FFFF2800"/>
        <rFont val="Consolas"/>
        <family val="3"/>
      </rPr>
      <t>'試2_受注予定月'</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</si>
  <si>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test_2_model </t>
    </r>
    <r>
      <rPr>
        <sz val="10"/>
        <color rgb="FF0080FF"/>
        <rFont val="Consolas"/>
        <family val="3"/>
      </rPr>
      <t>IS</t>
    </r>
    <r>
      <rPr>
        <sz val="10"/>
        <color theme="1"/>
        <rFont val="Consolas"/>
        <family val="3"/>
      </rPr>
      <t xml:space="preserve"> </t>
    </r>
    <r>
      <rPr>
        <sz val="10"/>
        <color rgb="FFFF2800"/>
        <rFont val="Consolas"/>
        <family val="3"/>
      </rPr>
      <t>'試2_機種'</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</si>
  <si>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test_2_new_device_usage_period </t>
    </r>
    <r>
      <rPr>
        <sz val="10"/>
        <color rgb="FF0080FF"/>
        <rFont val="Consolas"/>
        <family val="3"/>
      </rPr>
      <t>IS</t>
    </r>
    <r>
      <rPr>
        <sz val="10"/>
        <color theme="1"/>
        <rFont val="Consolas"/>
        <family val="3"/>
      </rPr>
      <t xml:space="preserve"> </t>
    </r>
    <r>
      <rPr>
        <sz val="10"/>
        <color rgb="FFFF2800"/>
        <rFont val="Consolas"/>
        <family val="3"/>
      </rPr>
      <t>'試2_新端末利用期間'</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</si>
  <si>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test_2_current_device_usage_period </t>
    </r>
    <r>
      <rPr>
        <sz val="10"/>
        <color rgb="FF0080FF"/>
        <rFont val="Consolas"/>
        <family val="3"/>
      </rPr>
      <t>IS</t>
    </r>
    <r>
      <rPr>
        <sz val="10"/>
        <color theme="1"/>
        <rFont val="Consolas"/>
        <family val="3"/>
      </rPr>
      <t xml:space="preserve"> </t>
    </r>
    <r>
      <rPr>
        <sz val="10"/>
        <color rgb="FFFF2800"/>
        <rFont val="Consolas"/>
        <family val="3"/>
      </rPr>
      <t>'試2_現端末利用期間'</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</si>
  <si>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test_2_relative_contract_execution_included </t>
    </r>
    <r>
      <rPr>
        <sz val="10"/>
        <color rgb="FF0080FF"/>
        <rFont val="Consolas"/>
        <family val="3"/>
      </rPr>
      <t>IS</t>
    </r>
    <r>
      <rPr>
        <sz val="10"/>
        <color theme="1"/>
        <rFont val="Consolas"/>
        <family val="3"/>
      </rPr>
      <t xml:space="preserve"> </t>
    </r>
    <r>
      <rPr>
        <sz val="10"/>
        <color rgb="FFFF2800"/>
        <rFont val="Consolas"/>
        <family val="3"/>
      </rPr>
      <t>'試2_相対契約書締結有'</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</si>
  <si>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test_2_contract_year </t>
    </r>
    <r>
      <rPr>
        <sz val="10"/>
        <color rgb="FF0080FF"/>
        <rFont val="Consolas"/>
        <family val="3"/>
      </rPr>
      <t>IS</t>
    </r>
    <r>
      <rPr>
        <sz val="10"/>
        <color theme="1"/>
        <rFont val="Consolas"/>
        <family val="3"/>
      </rPr>
      <t xml:space="preserve"> </t>
    </r>
    <r>
      <rPr>
        <sz val="10"/>
        <color rgb="FFFF2800"/>
        <rFont val="Consolas"/>
        <family val="3"/>
      </rPr>
      <t>'試2_契約年数'</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</si>
  <si>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test_2_number_of_lines_setting_rules </t>
    </r>
    <r>
      <rPr>
        <sz val="10"/>
        <color rgb="FF0080FF"/>
        <rFont val="Consolas"/>
        <family val="3"/>
      </rPr>
      <t>IS</t>
    </r>
    <r>
      <rPr>
        <sz val="10"/>
        <color theme="1"/>
        <rFont val="Consolas"/>
        <family val="3"/>
      </rPr>
      <t xml:space="preserve"> </t>
    </r>
    <r>
      <rPr>
        <sz val="10"/>
        <color rgb="FFFF2800"/>
        <rFont val="Consolas"/>
        <family val="3"/>
      </rPr>
      <t>'試2_回線数設定ルール'</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</si>
  <si>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test_2_5percent_cancellation_fee_waiver </t>
    </r>
    <r>
      <rPr>
        <sz val="10"/>
        <color rgb="FF0080FF"/>
        <rFont val="Consolas"/>
        <family val="3"/>
      </rPr>
      <t>IS</t>
    </r>
    <r>
      <rPr>
        <sz val="10"/>
        <color theme="1"/>
        <rFont val="Consolas"/>
        <family val="3"/>
      </rPr>
      <t xml:space="preserve"> </t>
    </r>
    <r>
      <rPr>
        <sz val="10"/>
        <color rgb="FFFF2800"/>
        <rFont val="Consolas"/>
        <family val="3"/>
      </rPr>
      <t>'試2_解除料免除_5%特例'</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</si>
  <si>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test_2_penalty_charges_after_increase_decrease </t>
    </r>
    <r>
      <rPr>
        <sz val="10"/>
        <color rgb="FF0080FF"/>
        <rFont val="Consolas"/>
        <family val="3"/>
      </rPr>
      <t>IS</t>
    </r>
    <r>
      <rPr>
        <sz val="10"/>
        <color theme="1"/>
        <rFont val="Consolas"/>
        <family val="3"/>
      </rPr>
      <t xml:space="preserve"> </t>
    </r>
    <r>
      <rPr>
        <sz val="10"/>
        <color rgb="FFFF2800"/>
        <rFont val="Consolas"/>
        <family val="3"/>
      </rPr>
      <t>'試2_増減額後違約金'</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</si>
  <si>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test_2_installment_plan </t>
    </r>
    <r>
      <rPr>
        <sz val="10"/>
        <color rgb="FF0080FF"/>
        <rFont val="Consolas"/>
        <family val="3"/>
      </rPr>
      <t>IS</t>
    </r>
    <r>
      <rPr>
        <sz val="10"/>
        <color theme="1"/>
        <rFont val="Consolas"/>
        <family val="3"/>
      </rPr>
      <t xml:space="preserve"> </t>
    </r>
    <r>
      <rPr>
        <sz val="10"/>
        <color rgb="FFFF2800"/>
        <rFont val="Consolas"/>
        <family val="3"/>
      </rPr>
      <t>'試2_分納計画'</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</si>
  <si>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test_2_white_line_24 </t>
    </r>
    <r>
      <rPr>
        <sz val="10"/>
        <color rgb="FF0080FF"/>
        <rFont val="Consolas"/>
        <family val="3"/>
      </rPr>
      <t>IS</t>
    </r>
    <r>
      <rPr>
        <sz val="10"/>
        <color theme="1"/>
        <rFont val="Consolas"/>
        <family val="3"/>
      </rPr>
      <t xml:space="preserve"> </t>
    </r>
    <r>
      <rPr>
        <sz val="10"/>
        <color rgb="FFFF2800"/>
        <rFont val="Consolas"/>
        <family val="3"/>
      </rPr>
      <t>'試2_ホワイトライン24'</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</si>
  <si>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test_2_white_office </t>
    </r>
    <r>
      <rPr>
        <sz val="10"/>
        <color rgb="FF0080FF"/>
        <rFont val="Consolas"/>
        <family val="3"/>
      </rPr>
      <t>IS</t>
    </r>
    <r>
      <rPr>
        <sz val="10"/>
        <color theme="1"/>
        <rFont val="Consolas"/>
        <family val="3"/>
      </rPr>
      <t xml:space="preserve"> </t>
    </r>
    <r>
      <rPr>
        <sz val="10"/>
        <color rgb="FFFF2800"/>
        <rFont val="Consolas"/>
        <family val="3"/>
      </rPr>
      <t>'試2_ホワイトオフィス'</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</si>
  <si>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test_2_packet_mobilesharing </t>
    </r>
    <r>
      <rPr>
        <sz val="10"/>
        <color rgb="FF0080FF"/>
        <rFont val="Consolas"/>
        <family val="3"/>
      </rPr>
      <t>IS</t>
    </r>
    <r>
      <rPr>
        <sz val="10"/>
        <color theme="1"/>
        <rFont val="Consolas"/>
        <family val="3"/>
      </rPr>
      <t xml:space="preserve"> </t>
    </r>
    <r>
      <rPr>
        <sz val="10"/>
        <color rgb="FFFF2800"/>
        <rFont val="Consolas"/>
        <family val="3"/>
      </rPr>
      <t>'試2_packet_mobilesharing'</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</si>
  <si>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test_3_sales_method </t>
    </r>
    <r>
      <rPr>
        <sz val="10"/>
        <color rgb="FF0080FF"/>
        <rFont val="Consolas"/>
        <family val="3"/>
      </rPr>
      <t>IS</t>
    </r>
    <r>
      <rPr>
        <sz val="10"/>
        <color theme="1"/>
        <rFont val="Consolas"/>
        <family val="3"/>
      </rPr>
      <t xml:space="preserve"> </t>
    </r>
    <r>
      <rPr>
        <sz val="10"/>
        <color rgb="FFFF2800"/>
        <rFont val="Consolas"/>
        <family val="3"/>
      </rPr>
      <t>'試3_販売方法'</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</si>
  <si>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test_3_scheduled_order_month </t>
    </r>
    <r>
      <rPr>
        <sz val="10"/>
        <color rgb="FF0080FF"/>
        <rFont val="Consolas"/>
        <family val="3"/>
      </rPr>
      <t>IS</t>
    </r>
    <r>
      <rPr>
        <sz val="10"/>
        <color theme="1"/>
        <rFont val="Consolas"/>
        <family val="3"/>
      </rPr>
      <t xml:space="preserve"> </t>
    </r>
    <r>
      <rPr>
        <sz val="10"/>
        <color rgb="FFFF2800"/>
        <rFont val="Consolas"/>
        <family val="3"/>
      </rPr>
      <t>'試3_受注予定月'</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</si>
  <si>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test_3_model </t>
    </r>
    <r>
      <rPr>
        <sz val="10"/>
        <color rgb="FF0080FF"/>
        <rFont val="Consolas"/>
        <family val="3"/>
      </rPr>
      <t>IS</t>
    </r>
    <r>
      <rPr>
        <sz val="10"/>
        <color theme="1"/>
        <rFont val="Consolas"/>
        <family val="3"/>
      </rPr>
      <t xml:space="preserve"> </t>
    </r>
    <r>
      <rPr>
        <sz val="10"/>
        <color rgb="FFFF2800"/>
        <rFont val="Consolas"/>
        <family val="3"/>
      </rPr>
      <t>'試3_機種'</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</si>
  <si>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test_3_new_device_usage_period </t>
    </r>
    <r>
      <rPr>
        <sz val="10"/>
        <color rgb="FF0080FF"/>
        <rFont val="Consolas"/>
        <family val="3"/>
      </rPr>
      <t>IS</t>
    </r>
    <r>
      <rPr>
        <sz val="10"/>
        <color theme="1"/>
        <rFont val="Consolas"/>
        <family val="3"/>
      </rPr>
      <t xml:space="preserve"> </t>
    </r>
    <r>
      <rPr>
        <sz val="10"/>
        <color rgb="FFFF2800"/>
        <rFont val="Consolas"/>
        <family val="3"/>
      </rPr>
      <t>'試3_新端末利用期間'</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</si>
  <si>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test_3_current_device_usage_period </t>
    </r>
    <r>
      <rPr>
        <sz val="10"/>
        <color rgb="FF0080FF"/>
        <rFont val="Consolas"/>
        <family val="3"/>
      </rPr>
      <t>IS</t>
    </r>
    <r>
      <rPr>
        <sz val="10"/>
        <color theme="1"/>
        <rFont val="Consolas"/>
        <family val="3"/>
      </rPr>
      <t xml:space="preserve"> </t>
    </r>
    <r>
      <rPr>
        <sz val="10"/>
        <color rgb="FFFF2800"/>
        <rFont val="Consolas"/>
        <family val="3"/>
      </rPr>
      <t>'試3_現端末利用期間'</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</si>
  <si>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test_3_relative_contract_established </t>
    </r>
    <r>
      <rPr>
        <sz val="10"/>
        <color rgb="FF0080FF"/>
        <rFont val="Consolas"/>
        <family val="3"/>
      </rPr>
      <t>IS</t>
    </r>
    <r>
      <rPr>
        <sz val="10"/>
        <color theme="1"/>
        <rFont val="Consolas"/>
        <family val="3"/>
      </rPr>
      <t xml:space="preserve"> </t>
    </r>
    <r>
      <rPr>
        <sz val="10"/>
        <color rgb="FFFF2800"/>
        <rFont val="Consolas"/>
        <family val="3"/>
      </rPr>
      <t>'試3_相対契約書締結有'</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</si>
  <si>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test_3_contract_year </t>
    </r>
    <r>
      <rPr>
        <sz val="10"/>
        <color rgb="FF0080FF"/>
        <rFont val="Consolas"/>
        <family val="3"/>
      </rPr>
      <t>IS</t>
    </r>
    <r>
      <rPr>
        <sz val="10"/>
        <color theme="1"/>
        <rFont val="Consolas"/>
        <family val="3"/>
      </rPr>
      <t xml:space="preserve"> </t>
    </r>
    <r>
      <rPr>
        <sz val="10"/>
        <color rgb="FFFF2800"/>
        <rFont val="Consolas"/>
        <family val="3"/>
      </rPr>
      <t>'試3_契約年数'</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</si>
  <si>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test_3_number_of_lines_setting_rules </t>
    </r>
    <r>
      <rPr>
        <sz val="10"/>
        <color rgb="FF0080FF"/>
        <rFont val="Consolas"/>
        <family val="3"/>
      </rPr>
      <t>IS</t>
    </r>
    <r>
      <rPr>
        <sz val="10"/>
        <color theme="1"/>
        <rFont val="Consolas"/>
        <family val="3"/>
      </rPr>
      <t xml:space="preserve"> </t>
    </r>
    <r>
      <rPr>
        <sz val="10"/>
        <color rgb="FFFF2800"/>
        <rFont val="Consolas"/>
        <family val="3"/>
      </rPr>
      <t>'試3_回線数設定ルール'</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</si>
  <si>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test_3_cancellation_fee_waiver_5percent_exception </t>
    </r>
    <r>
      <rPr>
        <sz val="10"/>
        <color rgb="FF0080FF"/>
        <rFont val="Consolas"/>
        <family val="3"/>
      </rPr>
      <t>IS</t>
    </r>
    <r>
      <rPr>
        <sz val="10"/>
        <color theme="1"/>
        <rFont val="Consolas"/>
        <family val="3"/>
      </rPr>
      <t xml:space="preserve"> </t>
    </r>
    <r>
      <rPr>
        <sz val="10"/>
        <color rgb="FFFF2800"/>
        <rFont val="Consolas"/>
        <family val="3"/>
      </rPr>
      <t>'試3_解除料免除_5%特例'</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</si>
  <si>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test_3_penalty_charge_after_increase_decrease </t>
    </r>
    <r>
      <rPr>
        <sz val="10"/>
        <color rgb="FF0080FF"/>
        <rFont val="Consolas"/>
        <family val="3"/>
      </rPr>
      <t>IS</t>
    </r>
    <r>
      <rPr>
        <sz val="10"/>
        <color theme="1"/>
        <rFont val="Consolas"/>
        <family val="3"/>
      </rPr>
      <t xml:space="preserve"> </t>
    </r>
    <r>
      <rPr>
        <sz val="10"/>
        <color rgb="FFFF2800"/>
        <rFont val="Consolas"/>
        <family val="3"/>
      </rPr>
      <t>'試3_増減額後違約金'</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</si>
  <si>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test_3_installment_plan </t>
    </r>
    <r>
      <rPr>
        <sz val="10"/>
        <color rgb="FF0080FF"/>
        <rFont val="Consolas"/>
        <family val="3"/>
      </rPr>
      <t>IS</t>
    </r>
    <r>
      <rPr>
        <sz val="10"/>
        <color theme="1"/>
        <rFont val="Consolas"/>
        <family val="3"/>
      </rPr>
      <t xml:space="preserve"> </t>
    </r>
    <r>
      <rPr>
        <sz val="10"/>
        <color rgb="FFFF2800"/>
        <rFont val="Consolas"/>
        <family val="3"/>
      </rPr>
      <t>'試3_分納計画'</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</si>
  <si>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test_3_white_line_24 </t>
    </r>
    <r>
      <rPr>
        <sz val="10"/>
        <color rgb="FF0080FF"/>
        <rFont val="Consolas"/>
        <family val="3"/>
      </rPr>
      <t>IS</t>
    </r>
    <r>
      <rPr>
        <sz val="10"/>
        <color theme="1"/>
        <rFont val="Consolas"/>
        <family val="3"/>
      </rPr>
      <t xml:space="preserve"> </t>
    </r>
    <r>
      <rPr>
        <sz val="10"/>
        <color rgb="FFFF2800"/>
        <rFont val="Consolas"/>
        <family val="3"/>
      </rPr>
      <t>'試3_ホワイトライン24'</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</si>
  <si>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test_3_white_office </t>
    </r>
    <r>
      <rPr>
        <sz val="10"/>
        <color rgb="FF0080FF"/>
        <rFont val="Consolas"/>
        <family val="3"/>
      </rPr>
      <t>IS</t>
    </r>
    <r>
      <rPr>
        <sz val="10"/>
        <color theme="1"/>
        <rFont val="Consolas"/>
        <family val="3"/>
      </rPr>
      <t xml:space="preserve"> </t>
    </r>
    <r>
      <rPr>
        <sz val="10"/>
        <color rgb="FFFF2800"/>
        <rFont val="Consolas"/>
        <family val="3"/>
      </rPr>
      <t>'試3_ホワイトオフィス'</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</si>
  <si>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test_3_packet_mobilesharing </t>
    </r>
    <r>
      <rPr>
        <sz val="10"/>
        <color rgb="FF0080FF"/>
        <rFont val="Consolas"/>
        <family val="3"/>
      </rPr>
      <t>IS</t>
    </r>
    <r>
      <rPr>
        <sz val="10"/>
        <color theme="1"/>
        <rFont val="Consolas"/>
        <family val="3"/>
      </rPr>
      <t xml:space="preserve"> </t>
    </r>
    <r>
      <rPr>
        <sz val="10"/>
        <color rgb="FFFF2800"/>
        <rFont val="Consolas"/>
        <family val="3"/>
      </rPr>
      <t>'試3_packet_mobilesharing'</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</si>
  <si>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test_4_sales_method </t>
    </r>
    <r>
      <rPr>
        <sz val="10"/>
        <color rgb="FF0080FF"/>
        <rFont val="Consolas"/>
        <family val="3"/>
      </rPr>
      <t>IS</t>
    </r>
    <r>
      <rPr>
        <sz val="10"/>
        <color theme="1"/>
        <rFont val="Consolas"/>
        <family val="3"/>
      </rPr>
      <t xml:space="preserve"> </t>
    </r>
    <r>
      <rPr>
        <sz val="10"/>
        <color rgb="FFFF2800"/>
        <rFont val="Consolas"/>
        <family val="3"/>
      </rPr>
      <t>'試4_販売方法'</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</si>
  <si>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test_4_expected_order_month </t>
    </r>
    <r>
      <rPr>
        <sz val="10"/>
        <color rgb="FF0080FF"/>
        <rFont val="Consolas"/>
        <family val="3"/>
      </rPr>
      <t>IS</t>
    </r>
    <r>
      <rPr>
        <sz val="10"/>
        <color theme="1"/>
        <rFont val="Consolas"/>
        <family val="3"/>
      </rPr>
      <t xml:space="preserve"> </t>
    </r>
    <r>
      <rPr>
        <sz val="10"/>
        <color rgb="FFFF2800"/>
        <rFont val="Consolas"/>
        <family val="3"/>
      </rPr>
      <t>'試4_受注予定月'</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</si>
  <si>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test_4_model </t>
    </r>
    <r>
      <rPr>
        <sz val="10"/>
        <color rgb="FF0080FF"/>
        <rFont val="Consolas"/>
        <family val="3"/>
      </rPr>
      <t>IS</t>
    </r>
    <r>
      <rPr>
        <sz val="10"/>
        <color theme="1"/>
        <rFont val="Consolas"/>
        <family val="3"/>
      </rPr>
      <t xml:space="preserve"> </t>
    </r>
    <r>
      <rPr>
        <sz val="10"/>
        <color rgb="FFFF2800"/>
        <rFont val="Consolas"/>
        <family val="3"/>
      </rPr>
      <t>'試4_機種'</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</si>
  <si>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test_4_new_device_usage_period </t>
    </r>
    <r>
      <rPr>
        <sz val="10"/>
        <color rgb="FF0080FF"/>
        <rFont val="Consolas"/>
        <family val="3"/>
      </rPr>
      <t>IS</t>
    </r>
    <r>
      <rPr>
        <sz val="10"/>
        <color theme="1"/>
        <rFont val="Consolas"/>
        <family val="3"/>
      </rPr>
      <t xml:space="preserve"> </t>
    </r>
    <r>
      <rPr>
        <sz val="10"/>
        <color rgb="FFFF2800"/>
        <rFont val="Consolas"/>
        <family val="3"/>
      </rPr>
      <t>'試4_新端末利用期間'</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</si>
  <si>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test_4_current_device_usage_period </t>
    </r>
    <r>
      <rPr>
        <sz val="10"/>
        <color rgb="FF0080FF"/>
        <rFont val="Consolas"/>
        <family val="3"/>
      </rPr>
      <t>IS</t>
    </r>
    <r>
      <rPr>
        <sz val="10"/>
        <color theme="1"/>
        <rFont val="Consolas"/>
        <family val="3"/>
      </rPr>
      <t xml:space="preserve"> </t>
    </r>
    <r>
      <rPr>
        <sz val="10"/>
        <color rgb="FFFF2800"/>
        <rFont val="Consolas"/>
        <family val="3"/>
      </rPr>
      <t>'試4_現端末利用期間'</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</si>
  <si>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test_4_relative_contract_established </t>
    </r>
    <r>
      <rPr>
        <sz val="10"/>
        <color rgb="FF0080FF"/>
        <rFont val="Consolas"/>
        <family val="3"/>
      </rPr>
      <t>IS</t>
    </r>
    <r>
      <rPr>
        <sz val="10"/>
        <color theme="1"/>
        <rFont val="Consolas"/>
        <family val="3"/>
      </rPr>
      <t xml:space="preserve"> </t>
    </r>
    <r>
      <rPr>
        <sz val="10"/>
        <color rgb="FFFF2800"/>
        <rFont val="Consolas"/>
        <family val="3"/>
      </rPr>
      <t>'試4_相対契約書締結有'</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</si>
  <si>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test_4_contract_year </t>
    </r>
    <r>
      <rPr>
        <sz val="10"/>
        <color rgb="FF0080FF"/>
        <rFont val="Consolas"/>
        <family val="3"/>
      </rPr>
      <t>IS</t>
    </r>
    <r>
      <rPr>
        <sz val="10"/>
        <color theme="1"/>
        <rFont val="Consolas"/>
        <family val="3"/>
      </rPr>
      <t xml:space="preserve"> </t>
    </r>
    <r>
      <rPr>
        <sz val="10"/>
        <color rgb="FFFF2800"/>
        <rFont val="Consolas"/>
        <family val="3"/>
      </rPr>
      <t>'試4_契約年数'</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</si>
  <si>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test_4_number_of_lines_setting_rules </t>
    </r>
    <r>
      <rPr>
        <sz val="10"/>
        <color rgb="FF0080FF"/>
        <rFont val="Consolas"/>
        <family val="3"/>
      </rPr>
      <t>IS</t>
    </r>
    <r>
      <rPr>
        <sz val="10"/>
        <color theme="1"/>
        <rFont val="Consolas"/>
        <family val="3"/>
      </rPr>
      <t xml:space="preserve"> </t>
    </r>
    <r>
      <rPr>
        <sz val="10"/>
        <color rgb="FFFF2800"/>
        <rFont val="Consolas"/>
        <family val="3"/>
      </rPr>
      <t>'試4_回線数設定ルール'</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</si>
  <si>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test_4_cancellation_fee_waiver_5percent_exception </t>
    </r>
    <r>
      <rPr>
        <sz val="10"/>
        <color rgb="FF0080FF"/>
        <rFont val="Consolas"/>
        <family val="3"/>
      </rPr>
      <t>IS</t>
    </r>
    <r>
      <rPr>
        <sz val="10"/>
        <color theme="1"/>
        <rFont val="Consolas"/>
        <family val="3"/>
      </rPr>
      <t xml:space="preserve"> </t>
    </r>
    <r>
      <rPr>
        <sz val="10"/>
        <color rgb="FFFF2800"/>
        <rFont val="Consolas"/>
        <family val="3"/>
      </rPr>
      <t>'試4_解除料免除_5%特例'</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</si>
  <si>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test_4_penalty_charge_after_increase_decrease </t>
    </r>
    <r>
      <rPr>
        <sz val="10"/>
        <color rgb="FF0080FF"/>
        <rFont val="Consolas"/>
        <family val="3"/>
      </rPr>
      <t>IS</t>
    </r>
    <r>
      <rPr>
        <sz val="10"/>
        <color theme="1"/>
        <rFont val="Consolas"/>
        <family val="3"/>
      </rPr>
      <t xml:space="preserve"> </t>
    </r>
    <r>
      <rPr>
        <sz val="10"/>
        <color rgb="FFFF2800"/>
        <rFont val="Consolas"/>
        <family val="3"/>
      </rPr>
      <t>'試4_増減額後違約金'</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</si>
  <si>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test_4_installment_plan </t>
    </r>
    <r>
      <rPr>
        <sz val="10"/>
        <color rgb="FF0080FF"/>
        <rFont val="Consolas"/>
        <family val="3"/>
      </rPr>
      <t>IS</t>
    </r>
    <r>
      <rPr>
        <sz val="10"/>
        <color theme="1"/>
        <rFont val="Consolas"/>
        <family val="3"/>
      </rPr>
      <t xml:space="preserve"> </t>
    </r>
    <r>
      <rPr>
        <sz val="10"/>
        <color rgb="FFFF2800"/>
        <rFont val="Consolas"/>
        <family val="3"/>
      </rPr>
      <t>'試4_分納計画'</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</si>
  <si>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test_4_white_line_24 </t>
    </r>
    <r>
      <rPr>
        <sz val="10"/>
        <color rgb="FF0080FF"/>
        <rFont val="Consolas"/>
        <family val="3"/>
      </rPr>
      <t>IS</t>
    </r>
    <r>
      <rPr>
        <sz val="10"/>
        <color theme="1"/>
        <rFont val="Consolas"/>
        <family val="3"/>
      </rPr>
      <t xml:space="preserve"> </t>
    </r>
    <r>
      <rPr>
        <sz val="10"/>
        <color rgb="FFFF2800"/>
        <rFont val="Consolas"/>
        <family val="3"/>
      </rPr>
      <t>'試4_ホワイトライン24'</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</si>
  <si>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test_4_white_office </t>
    </r>
    <r>
      <rPr>
        <sz val="10"/>
        <color rgb="FF0080FF"/>
        <rFont val="Consolas"/>
        <family val="3"/>
      </rPr>
      <t>IS</t>
    </r>
    <r>
      <rPr>
        <sz val="10"/>
        <color theme="1"/>
        <rFont val="Consolas"/>
        <family val="3"/>
      </rPr>
      <t xml:space="preserve"> </t>
    </r>
    <r>
      <rPr>
        <sz val="10"/>
        <color rgb="FFFF2800"/>
        <rFont val="Consolas"/>
        <family val="3"/>
      </rPr>
      <t>'試4_ホワイトオフィス'</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</si>
  <si>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test_4_packet_mobilesharing_ring </t>
    </r>
    <r>
      <rPr>
        <sz val="10"/>
        <color rgb="FF0080FF"/>
        <rFont val="Consolas"/>
        <family val="3"/>
      </rPr>
      <t>IS</t>
    </r>
    <r>
      <rPr>
        <sz val="10"/>
        <color theme="1"/>
        <rFont val="Consolas"/>
        <family val="3"/>
      </rPr>
      <t xml:space="preserve"> </t>
    </r>
    <r>
      <rPr>
        <sz val="10"/>
        <color rgb="FFFF2800"/>
        <rFont val="Consolas"/>
        <family val="3"/>
      </rPr>
      <t>'試4_packet_mobilesharing'</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</si>
  <si>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test_5_sales_method </t>
    </r>
    <r>
      <rPr>
        <sz val="10"/>
        <color rgb="FF0080FF"/>
        <rFont val="Consolas"/>
        <family val="3"/>
      </rPr>
      <t>IS</t>
    </r>
    <r>
      <rPr>
        <sz val="10"/>
        <color theme="1"/>
        <rFont val="Consolas"/>
        <family val="3"/>
      </rPr>
      <t xml:space="preserve"> </t>
    </r>
    <r>
      <rPr>
        <sz val="10"/>
        <color rgb="FFFF2800"/>
        <rFont val="Consolas"/>
        <family val="3"/>
      </rPr>
      <t>'試5_販売方法'</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</si>
  <si>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test_5_expected_order_month </t>
    </r>
    <r>
      <rPr>
        <sz val="10"/>
        <color rgb="FF0080FF"/>
        <rFont val="Consolas"/>
        <family val="3"/>
      </rPr>
      <t>IS</t>
    </r>
    <r>
      <rPr>
        <sz val="10"/>
        <color theme="1"/>
        <rFont val="Consolas"/>
        <family val="3"/>
      </rPr>
      <t xml:space="preserve"> </t>
    </r>
    <r>
      <rPr>
        <sz val="10"/>
        <color rgb="FFFF2800"/>
        <rFont val="Consolas"/>
        <family val="3"/>
      </rPr>
      <t>'試5_受注予定月'</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</si>
  <si>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test_5_model </t>
    </r>
    <r>
      <rPr>
        <sz val="10"/>
        <color rgb="FF0080FF"/>
        <rFont val="Consolas"/>
        <family val="3"/>
      </rPr>
      <t>IS</t>
    </r>
    <r>
      <rPr>
        <sz val="10"/>
        <color theme="1"/>
        <rFont val="Consolas"/>
        <family val="3"/>
      </rPr>
      <t xml:space="preserve"> </t>
    </r>
    <r>
      <rPr>
        <sz val="10"/>
        <color rgb="FFFF2800"/>
        <rFont val="Consolas"/>
        <family val="3"/>
      </rPr>
      <t>'試5_機種'</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</si>
  <si>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test_5_new_device_usage_period </t>
    </r>
    <r>
      <rPr>
        <sz val="10"/>
        <color rgb="FF0080FF"/>
        <rFont val="Consolas"/>
        <family val="3"/>
      </rPr>
      <t>IS</t>
    </r>
    <r>
      <rPr>
        <sz val="10"/>
        <color theme="1"/>
        <rFont val="Consolas"/>
        <family val="3"/>
      </rPr>
      <t xml:space="preserve"> </t>
    </r>
    <r>
      <rPr>
        <sz val="10"/>
        <color rgb="FFFF2800"/>
        <rFont val="Consolas"/>
        <family val="3"/>
      </rPr>
      <t>'試5_新端末利用期間'</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</si>
  <si>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test_5_current_device_usage_period </t>
    </r>
    <r>
      <rPr>
        <sz val="10"/>
        <color rgb="FF0080FF"/>
        <rFont val="Consolas"/>
        <family val="3"/>
      </rPr>
      <t>IS</t>
    </r>
    <r>
      <rPr>
        <sz val="10"/>
        <color theme="1"/>
        <rFont val="Consolas"/>
        <family val="3"/>
      </rPr>
      <t xml:space="preserve"> </t>
    </r>
    <r>
      <rPr>
        <sz val="10"/>
        <color rgb="FFFF2800"/>
        <rFont val="Consolas"/>
        <family val="3"/>
      </rPr>
      <t>'試5_現端末利用期間'</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</si>
  <si>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test_5_relative_contract_execution </t>
    </r>
    <r>
      <rPr>
        <sz val="10"/>
        <color rgb="FF0080FF"/>
        <rFont val="Consolas"/>
        <family val="3"/>
      </rPr>
      <t>IS</t>
    </r>
    <r>
      <rPr>
        <sz val="10"/>
        <color theme="1"/>
        <rFont val="Consolas"/>
        <family val="3"/>
      </rPr>
      <t xml:space="preserve"> </t>
    </r>
    <r>
      <rPr>
        <sz val="10"/>
        <color rgb="FFFF2800"/>
        <rFont val="Consolas"/>
        <family val="3"/>
      </rPr>
      <t>'試5_相対契約書締結有'</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</si>
  <si>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test_5_contract_year </t>
    </r>
    <r>
      <rPr>
        <sz val="10"/>
        <color rgb="FF0080FF"/>
        <rFont val="Consolas"/>
        <family val="3"/>
      </rPr>
      <t>IS</t>
    </r>
    <r>
      <rPr>
        <sz val="10"/>
        <color theme="1"/>
        <rFont val="Consolas"/>
        <family val="3"/>
      </rPr>
      <t xml:space="preserve"> </t>
    </r>
    <r>
      <rPr>
        <sz val="10"/>
        <color rgb="FFFF2800"/>
        <rFont val="Consolas"/>
        <family val="3"/>
      </rPr>
      <t>'試5_契約年数'</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</si>
  <si>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test_5_number_of_lines_setting_rules </t>
    </r>
    <r>
      <rPr>
        <sz val="10"/>
        <color rgb="FF0080FF"/>
        <rFont val="Consolas"/>
        <family val="3"/>
      </rPr>
      <t>IS</t>
    </r>
    <r>
      <rPr>
        <sz val="10"/>
        <color theme="1"/>
        <rFont val="Consolas"/>
        <family val="3"/>
      </rPr>
      <t xml:space="preserve"> </t>
    </r>
    <r>
      <rPr>
        <sz val="10"/>
        <color rgb="FFFF2800"/>
        <rFont val="Consolas"/>
        <family val="3"/>
      </rPr>
      <t>'試5_回線数設定ルール'</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</si>
  <si>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test_5_cancellation_fee_waiver___5percent_exception </t>
    </r>
    <r>
      <rPr>
        <sz val="10"/>
        <color rgb="FF0080FF"/>
        <rFont val="Consolas"/>
        <family val="3"/>
      </rPr>
      <t>IS</t>
    </r>
    <r>
      <rPr>
        <sz val="10"/>
        <color theme="1"/>
        <rFont val="Consolas"/>
        <family val="3"/>
      </rPr>
      <t xml:space="preserve"> </t>
    </r>
    <r>
      <rPr>
        <sz val="10"/>
        <color rgb="FFFF2800"/>
        <rFont val="Consolas"/>
        <family val="3"/>
      </rPr>
      <t>'試5_解除料免除_5%特例'</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</si>
  <si>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test_5_penalty_charges_after_increase_decrease </t>
    </r>
    <r>
      <rPr>
        <sz val="10"/>
        <color rgb="FF0080FF"/>
        <rFont val="Consolas"/>
        <family val="3"/>
      </rPr>
      <t>IS</t>
    </r>
    <r>
      <rPr>
        <sz val="10"/>
        <color theme="1"/>
        <rFont val="Consolas"/>
        <family val="3"/>
      </rPr>
      <t xml:space="preserve"> </t>
    </r>
    <r>
      <rPr>
        <sz val="10"/>
        <color rgb="FFFF2800"/>
        <rFont val="Consolas"/>
        <family val="3"/>
      </rPr>
      <t>'試5_増減額後違約金'</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</si>
  <si>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test_5_installment_plan </t>
    </r>
    <r>
      <rPr>
        <sz val="10"/>
        <color rgb="FF0080FF"/>
        <rFont val="Consolas"/>
        <family val="3"/>
      </rPr>
      <t>IS</t>
    </r>
    <r>
      <rPr>
        <sz val="10"/>
        <color theme="1"/>
        <rFont val="Consolas"/>
        <family val="3"/>
      </rPr>
      <t xml:space="preserve"> </t>
    </r>
    <r>
      <rPr>
        <sz val="10"/>
        <color rgb="FFFF2800"/>
        <rFont val="Consolas"/>
        <family val="3"/>
      </rPr>
      <t>'試5_分納計画'</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</si>
  <si>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test_5_white_line_24 </t>
    </r>
    <r>
      <rPr>
        <sz val="10"/>
        <color rgb="FF0080FF"/>
        <rFont val="Consolas"/>
        <family val="3"/>
      </rPr>
      <t>IS</t>
    </r>
    <r>
      <rPr>
        <sz val="10"/>
        <color theme="1"/>
        <rFont val="Consolas"/>
        <family val="3"/>
      </rPr>
      <t xml:space="preserve"> </t>
    </r>
    <r>
      <rPr>
        <sz val="10"/>
        <color rgb="FFFF2800"/>
        <rFont val="Consolas"/>
        <family val="3"/>
      </rPr>
      <t>'試5_ホワイトライン24'</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</si>
  <si>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test_5_white_office </t>
    </r>
    <r>
      <rPr>
        <sz val="10"/>
        <color rgb="FF0080FF"/>
        <rFont val="Consolas"/>
        <family val="3"/>
      </rPr>
      <t>IS</t>
    </r>
    <r>
      <rPr>
        <sz val="10"/>
        <color theme="1"/>
        <rFont val="Consolas"/>
        <family val="3"/>
      </rPr>
      <t xml:space="preserve"> </t>
    </r>
    <r>
      <rPr>
        <sz val="10"/>
        <color rgb="FFFF2800"/>
        <rFont val="Consolas"/>
        <family val="3"/>
      </rPr>
      <t>'試5_ホワイトオフィス'</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</si>
  <si>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test_5_packet_mobilesharing </t>
    </r>
    <r>
      <rPr>
        <sz val="10"/>
        <color rgb="FF0080FF"/>
        <rFont val="Consolas"/>
        <family val="3"/>
      </rPr>
      <t>IS</t>
    </r>
    <r>
      <rPr>
        <sz val="10"/>
        <color theme="1"/>
        <rFont val="Consolas"/>
        <family val="3"/>
      </rPr>
      <t xml:space="preserve"> </t>
    </r>
    <r>
      <rPr>
        <sz val="10"/>
        <color rgb="FFFF2800"/>
        <rFont val="Consolas"/>
        <family val="3"/>
      </rPr>
      <t>'試5_packet_mobilesharing'</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</si>
  <si>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test_6_sales_method </t>
    </r>
    <r>
      <rPr>
        <sz val="10"/>
        <color rgb="FF0080FF"/>
        <rFont val="Consolas"/>
        <family val="3"/>
      </rPr>
      <t>IS</t>
    </r>
    <r>
      <rPr>
        <sz val="10"/>
        <color theme="1"/>
        <rFont val="Consolas"/>
        <family val="3"/>
      </rPr>
      <t xml:space="preserve"> </t>
    </r>
    <r>
      <rPr>
        <sz val="10"/>
        <color rgb="FFFF2800"/>
        <rFont val="Consolas"/>
        <family val="3"/>
      </rPr>
      <t>'試6_販売方法'</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</si>
  <si>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test_6_expected_order_month </t>
    </r>
    <r>
      <rPr>
        <sz val="10"/>
        <color rgb="FF0080FF"/>
        <rFont val="Consolas"/>
        <family val="3"/>
      </rPr>
      <t>IS</t>
    </r>
    <r>
      <rPr>
        <sz val="10"/>
        <color theme="1"/>
        <rFont val="Consolas"/>
        <family val="3"/>
      </rPr>
      <t xml:space="preserve"> </t>
    </r>
    <r>
      <rPr>
        <sz val="10"/>
        <color rgb="FFFF2800"/>
        <rFont val="Consolas"/>
        <family val="3"/>
      </rPr>
      <t>'試6_受注予定月'</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</si>
  <si>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test_6_model </t>
    </r>
    <r>
      <rPr>
        <sz val="10"/>
        <color rgb="FF0080FF"/>
        <rFont val="Consolas"/>
        <family val="3"/>
      </rPr>
      <t>IS</t>
    </r>
    <r>
      <rPr>
        <sz val="10"/>
        <color theme="1"/>
        <rFont val="Consolas"/>
        <family val="3"/>
      </rPr>
      <t xml:space="preserve"> </t>
    </r>
    <r>
      <rPr>
        <sz val="10"/>
        <color rgb="FFFF2800"/>
        <rFont val="Consolas"/>
        <family val="3"/>
      </rPr>
      <t>'試6_機種'</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</si>
  <si>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test_6_new_device_usage_period </t>
    </r>
    <r>
      <rPr>
        <sz val="10"/>
        <color rgb="FF0080FF"/>
        <rFont val="Consolas"/>
        <family val="3"/>
      </rPr>
      <t>IS</t>
    </r>
    <r>
      <rPr>
        <sz val="10"/>
        <color theme="1"/>
        <rFont val="Consolas"/>
        <family val="3"/>
      </rPr>
      <t xml:space="preserve"> </t>
    </r>
    <r>
      <rPr>
        <sz val="10"/>
        <color rgb="FFFF2800"/>
        <rFont val="Consolas"/>
        <family val="3"/>
      </rPr>
      <t>'試6_新端末利用期間'</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</si>
  <si>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test_6_current_device_usage_period </t>
    </r>
    <r>
      <rPr>
        <sz val="10"/>
        <color rgb="FF0080FF"/>
        <rFont val="Consolas"/>
        <family val="3"/>
      </rPr>
      <t>IS</t>
    </r>
    <r>
      <rPr>
        <sz val="10"/>
        <color theme="1"/>
        <rFont val="Consolas"/>
        <family val="3"/>
      </rPr>
      <t xml:space="preserve"> </t>
    </r>
    <r>
      <rPr>
        <sz val="10"/>
        <color rgb="FFFF2800"/>
        <rFont val="Consolas"/>
        <family val="3"/>
      </rPr>
      <t>'試6_現端末利用期間'</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</si>
  <si>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test_6_relative_contract_execution </t>
    </r>
    <r>
      <rPr>
        <sz val="10"/>
        <color rgb="FF0080FF"/>
        <rFont val="Consolas"/>
        <family val="3"/>
      </rPr>
      <t>IS</t>
    </r>
    <r>
      <rPr>
        <sz val="10"/>
        <color theme="1"/>
        <rFont val="Consolas"/>
        <family val="3"/>
      </rPr>
      <t xml:space="preserve"> </t>
    </r>
    <r>
      <rPr>
        <sz val="10"/>
        <color rgb="FFFF2800"/>
        <rFont val="Consolas"/>
        <family val="3"/>
      </rPr>
      <t>'試6_相対契約書締結有'</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</si>
  <si>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test_6_contract_year </t>
    </r>
    <r>
      <rPr>
        <sz val="10"/>
        <color rgb="FF0080FF"/>
        <rFont val="Consolas"/>
        <family val="3"/>
      </rPr>
      <t>IS</t>
    </r>
    <r>
      <rPr>
        <sz val="10"/>
        <color theme="1"/>
        <rFont val="Consolas"/>
        <family val="3"/>
      </rPr>
      <t xml:space="preserve"> </t>
    </r>
    <r>
      <rPr>
        <sz val="10"/>
        <color rgb="FFFF2800"/>
        <rFont val="Consolas"/>
        <family val="3"/>
      </rPr>
      <t>'試6_契約年数'</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</si>
  <si>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test_6_number_of_lines_setting_rules </t>
    </r>
    <r>
      <rPr>
        <sz val="10"/>
        <color rgb="FF0080FF"/>
        <rFont val="Consolas"/>
        <family val="3"/>
      </rPr>
      <t>IS</t>
    </r>
    <r>
      <rPr>
        <sz val="10"/>
        <color theme="1"/>
        <rFont val="Consolas"/>
        <family val="3"/>
      </rPr>
      <t xml:space="preserve"> </t>
    </r>
    <r>
      <rPr>
        <sz val="10"/>
        <color rgb="FFFF2800"/>
        <rFont val="Consolas"/>
        <family val="3"/>
      </rPr>
      <t>'試6_回線数設定ルール'</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</si>
  <si>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test_6_cancellation_fee_waiver___5percent_exception </t>
    </r>
    <r>
      <rPr>
        <sz val="10"/>
        <color rgb="FF0080FF"/>
        <rFont val="Consolas"/>
        <family val="3"/>
      </rPr>
      <t>IS</t>
    </r>
    <r>
      <rPr>
        <sz val="10"/>
        <color theme="1"/>
        <rFont val="Consolas"/>
        <family val="3"/>
      </rPr>
      <t xml:space="preserve"> </t>
    </r>
    <r>
      <rPr>
        <sz val="10"/>
        <color rgb="FFFF2800"/>
        <rFont val="Consolas"/>
        <family val="3"/>
      </rPr>
      <t>'試6_解除料免除_5%特例'</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</si>
  <si>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test_6_penalty_charges_after_increase_decrease </t>
    </r>
    <r>
      <rPr>
        <sz val="10"/>
        <color rgb="FF0080FF"/>
        <rFont val="Consolas"/>
        <family val="3"/>
      </rPr>
      <t>IS</t>
    </r>
    <r>
      <rPr>
        <sz val="10"/>
        <color theme="1"/>
        <rFont val="Consolas"/>
        <family val="3"/>
      </rPr>
      <t xml:space="preserve"> </t>
    </r>
    <r>
      <rPr>
        <sz val="10"/>
        <color rgb="FFFF2800"/>
        <rFont val="Consolas"/>
        <family val="3"/>
      </rPr>
      <t>'試6_増減額後違約金'</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</si>
  <si>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test_6_minute_delivery_plan </t>
    </r>
    <r>
      <rPr>
        <sz val="10"/>
        <color rgb="FF0080FF"/>
        <rFont val="Consolas"/>
        <family val="3"/>
      </rPr>
      <t>IS</t>
    </r>
    <r>
      <rPr>
        <sz val="10"/>
        <color theme="1"/>
        <rFont val="Consolas"/>
        <family val="3"/>
      </rPr>
      <t xml:space="preserve"> </t>
    </r>
    <r>
      <rPr>
        <sz val="10"/>
        <color rgb="FFFF2800"/>
        <rFont val="Consolas"/>
        <family val="3"/>
      </rPr>
      <t>'試6_分納計画'</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</si>
  <si>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test_6_white_line_24 </t>
    </r>
    <r>
      <rPr>
        <sz val="10"/>
        <color rgb="FF0080FF"/>
        <rFont val="Consolas"/>
        <family val="3"/>
      </rPr>
      <t>IS</t>
    </r>
    <r>
      <rPr>
        <sz val="10"/>
        <color theme="1"/>
        <rFont val="Consolas"/>
        <family val="3"/>
      </rPr>
      <t xml:space="preserve"> </t>
    </r>
    <r>
      <rPr>
        <sz val="10"/>
        <color rgb="FFFF2800"/>
        <rFont val="Consolas"/>
        <family val="3"/>
      </rPr>
      <t>'試6_ホワイトライン24'</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</si>
  <si>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test_6_white_office </t>
    </r>
    <r>
      <rPr>
        <sz val="10"/>
        <color rgb="FF0080FF"/>
        <rFont val="Consolas"/>
        <family val="3"/>
      </rPr>
      <t>IS</t>
    </r>
    <r>
      <rPr>
        <sz val="10"/>
        <color theme="1"/>
        <rFont val="Consolas"/>
        <family val="3"/>
      </rPr>
      <t xml:space="preserve"> </t>
    </r>
    <r>
      <rPr>
        <sz val="10"/>
        <color rgb="FFFF2800"/>
        <rFont val="Consolas"/>
        <family val="3"/>
      </rPr>
      <t>'試6_ホワイトオフィス'</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</si>
  <si>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test_6_packet_mobilesharing </t>
    </r>
    <r>
      <rPr>
        <sz val="10"/>
        <color rgb="FF0080FF"/>
        <rFont val="Consolas"/>
        <family val="3"/>
      </rPr>
      <t>IS</t>
    </r>
    <r>
      <rPr>
        <sz val="10"/>
        <color theme="1"/>
        <rFont val="Consolas"/>
        <family val="3"/>
      </rPr>
      <t xml:space="preserve"> </t>
    </r>
    <r>
      <rPr>
        <sz val="10"/>
        <color rgb="FFFF2800"/>
        <rFont val="Consolas"/>
        <family val="3"/>
      </rPr>
      <t>'試6_packet_mobilesharing'</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</si>
  <si>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test_7_sales_method </t>
    </r>
    <r>
      <rPr>
        <sz val="10"/>
        <color rgb="FF0080FF"/>
        <rFont val="Consolas"/>
        <family val="3"/>
      </rPr>
      <t>IS</t>
    </r>
    <r>
      <rPr>
        <sz val="10"/>
        <color theme="1"/>
        <rFont val="Consolas"/>
        <family val="3"/>
      </rPr>
      <t xml:space="preserve"> </t>
    </r>
    <r>
      <rPr>
        <sz val="10"/>
        <color rgb="FFFF2800"/>
        <rFont val="Consolas"/>
        <family val="3"/>
      </rPr>
      <t>'試7_販売方法'</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</si>
  <si>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test_7_expected_order_month </t>
    </r>
    <r>
      <rPr>
        <sz val="10"/>
        <color rgb="FF0080FF"/>
        <rFont val="Consolas"/>
        <family val="3"/>
      </rPr>
      <t>IS</t>
    </r>
    <r>
      <rPr>
        <sz val="10"/>
        <color theme="1"/>
        <rFont val="Consolas"/>
        <family val="3"/>
      </rPr>
      <t xml:space="preserve"> </t>
    </r>
    <r>
      <rPr>
        <sz val="10"/>
        <color rgb="FFFF2800"/>
        <rFont val="Consolas"/>
        <family val="3"/>
      </rPr>
      <t>'試7_受注予定月'</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</si>
  <si>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test_7_model </t>
    </r>
    <r>
      <rPr>
        <sz val="10"/>
        <color rgb="FF0080FF"/>
        <rFont val="Consolas"/>
        <family val="3"/>
      </rPr>
      <t>IS</t>
    </r>
    <r>
      <rPr>
        <sz val="10"/>
        <color theme="1"/>
        <rFont val="Consolas"/>
        <family val="3"/>
      </rPr>
      <t xml:space="preserve"> </t>
    </r>
    <r>
      <rPr>
        <sz val="10"/>
        <color rgb="FFFF2800"/>
        <rFont val="Consolas"/>
        <family val="3"/>
      </rPr>
      <t>'試7_機種'</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</si>
  <si>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test_7_new_device_usage_period </t>
    </r>
    <r>
      <rPr>
        <sz val="10"/>
        <color rgb="FF0080FF"/>
        <rFont val="Consolas"/>
        <family val="3"/>
      </rPr>
      <t>IS</t>
    </r>
    <r>
      <rPr>
        <sz val="10"/>
        <color theme="1"/>
        <rFont val="Consolas"/>
        <family val="3"/>
      </rPr>
      <t xml:space="preserve"> </t>
    </r>
    <r>
      <rPr>
        <sz val="10"/>
        <color rgb="FFFF2800"/>
        <rFont val="Consolas"/>
        <family val="3"/>
      </rPr>
      <t>'試7_新端末利用期間'</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</si>
  <si>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test_7_current_device_usage_period </t>
    </r>
    <r>
      <rPr>
        <sz val="10"/>
        <color rgb="FF0080FF"/>
        <rFont val="Consolas"/>
        <family val="3"/>
      </rPr>
      <t>IS</t>
    </r>
    <r>
      <rPr>
        <sz val="10"/>
        <color theme="1"/>
        <rFont val="Consolas"/>
        <family val="3"/>
      </rPr>
      <t xml:space="preserve"> </t>
    </r>
    <r>
      <rPr>
        <sz val="10"/>
        <color rgb="FFFF2800"/>
        <rFont val="Consolas"/>
        <family val="3"/>
      </rPr>
      <t>'試7_現端末利用期間'</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</si>
  <si>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test_7_relative_contract_established </t>
    </r>
    <r>
      <rPr>
        <sz val="10"/>
        <color rgb="FF0080FF"/>
        <rFont val="Consolas"/>
        <family val="3"/>
      </rPr>
      <t>IS</t>
    </r>
    <r>
      <rPr>
        <sz val="10"/>
        <color theme="1"/>
        <rFont val="Consolas"/>
        <family val="3"/>
      </rPr>
      <t xml:space="preserve"> </t>
    </r>
    <r>
      <rPr>
        <sz val="10"/>
        <color rgb="FFFF2800"/>
        <rFont val="Consolas"/>
        <family val="3"/>
      </rPr>
      <t>'試7_相対契約書締結有'</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</si>
  <si>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test_7_contract_year </t>
    </r>
    <r>
      <rPr>
        <sz val="10"/>
        <color rgb="FF0080FF"/>
        <rFont val="Consolas"/>
        <family val="3"/>
      </rPr>
      <t>IS</t>
    </r>
    <r>
      <rPr>
        <sz val="10"/>
        <color theme="1"/>
        <rFont val="Consolas"/>
        <family val="3"/>
      </rPr>
      <t xml:space="preserve"> </t>
    </r>
    <r>
      <rPr>
        <sz val="10"/>
        <color rgb="FFFF2800"/>
        <rFont val="Consolas"/>
        <family val="3"/>
      </rPr>
      <t>'試7_契約年数'</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</si>
  <si>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test_7_number_of_lines_setting_rules </t>
    </r>
    <r>
      <rPr>
        <sz val="10"/>
        <color rgb="FF0080FF"/>
        <rFont val="Consolas"/>
        <family val="3"/>
      </rPr>
      <t>IS</t>
    </r>
    <r>
      <rPr>
        <sz val="10"/>
        <color theme="1"/>
        <rFont val="Consolas"/>
        <family val="3"/>
      </rPr>
      <t xml:space="preserve"> </t>
    </r>
    <r>
      <rPr>
        <sz val="10"/>
        <color rgb="FFFF2800"/>
        <rFont val="Consolas"/>
        <family val="3"/>
      </rPr>
      <t>'試7_回線数設定ルール'</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</si>
  <si>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test_7_cancellation_fee_waiver_5percent_exception </t>
    </r>
    <r>
      <rPr>
        <sz val="10"/>
        <color rgb="FF0080FF"/>
        <rFont val="Consolas"/>
        <family val="3"/>
      </rPr>
      <t>IS</t>
    </r>
    <r>
      <rPr>
        <sz val="10"/>
        <color theme="1"/>
        <rFont val="Consolas"/>
        <family val="3"/>
      </rPr>
      <t xml:space="preserve"> </t>
    </r>
    <r>
      <rPr>
        <sz val="10"/>
        <color rgb="FFFF2800"/>
        <rFont val="Consolas"/>
        <family val="3"/>
      </rPr>
      <t>'試7_解除料免除_5%特例'</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</si>
  <si>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test_7_penalty_charge_after_increase_decrease </t>
    </r>
    <r>
      <rPr>
        <sz val="10"/>
        <color rgb="FF0080FF"/>
        <rFont val="Consolas"/>
        <family val="3"/>
      </rPr>
      <t>IS</t>
    </r>
    <r>
      <rPr>
        <sz val="10"/>
        <color theme="1"/>
        <rFont val="Consolas"/>
        <family val="3"/>
      </rPr>
      <t xml:space="preserve"> </t>
    </r>
    <r>
      <rPr>
        <sz val="10"/>
        <color rgb="FFFF2800"/>
        <rFont val="Consolas"/>
        <family val="3"/>
      </rPr>
      <t>'試7_増減額後違約金'</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</si>
  <si>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test_7_installment_plan </t>
    </r>
    <r>
      <rPr>
        <sz val="10"/>
        <color rgb="FF0080FF"/>
        <rFont val="Consolas"/>
        <family val="3"/>
      </rPr>
      <t>IS</t>
    </r>
    <r>
      <rPr>
        <sz val="10"/>
        <color theme="1"/>
        <rFont val="Consolas"/>
        <family val="3"/>
      </rPr>
      <t xml:space="preserve"> </t>
    </r>
    <r>
      <rPr>
        <sz val="10"/>
        <color rgb="FFFF2800"/>
        <rFont val="Consolas"/>
        <family val="3"/>
      </rPr>
      <t>'試7_分納計画'</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</si>
  <si>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test_7_white_line_24 </t>
    </r>
    <r>
      <rPr>
        <sz val="10"/>
        <color rgb="FF0080FF"/>
        <rFont val="Consolas"/>
        <family val="3"/>
      </rPr>
      <t>IS</t>
    </r>
    <r>
      <rPr>
        <sz val="10"/>
        <color theme="1"/>
        <rFont val="Consolas"/>
        <family val="3"/>
      </rPr>
      <t xml:space="preserve"> </t>
    </r>
    <r>
      <rPr>
        <sz val="10"/>
        <color rgb="FFFF2800"/>
        <rFont val="Consolas"/>
        <family val="3"/>
      </rPr>
      <t>'試7_ホワイトライン24'</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</si>
  <si>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test_7_white_office </t>
    </r>
    <r>
      <rPr>
        <sz val="10"/>
        <color rgb="FF0080FF"/>
        <rFont val="Consolas"/>
        <family val="3"/>
      </rPr>
      <t>IS</t>
    </r>
    <r>
      <rPr>
        <sz val="10"/>
        <color theme="1"/>
        <rFont val="Consolas"/>
        <family val="3"/>
      </rPr>
      <t xml:space="preserve"> </t>
    </r>
    <r>
      <rPr>
        <sz val="10"/>
        <color rgb="FFFF2800"/>
        <rFont val="Consolas"/>
        <family val="3"/>
      </rPr>
      <t>'試7_ホワイトオフィス'</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</si>
  <si>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test_7_packet_mobilesharing </t>
    </r>
    <r>
      <rPr>
        <sz val="10"/>
        <color rgb="FF0080FF"/>
        <rFont val="Consolas"/>
        <family val="3"/>
      </rPr>
      <t>IS</t>
    </r>
    <r>
      <rPr>
        <sz val="10"/>
        <color theme="1"/>
        <rFont val="Consolas"/>
        <family val="3"/>
      </rPr>
      <t xml:space="preserve"> </t>
    </r>
    <r>
      <rPr>
        <sz val="10"/>
        <color rgb="FFFF2800"/>
        <rFont val="Consolas"/>
        <family val="3"/>
      </rPr>
      <t>'試7_packet_mobilesharing'</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</si>
  <si>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test_8_sales_method </t>
    </r>
    <r>
      <rPr>
        <sz val="10"/>
        <color rgb="FF0080FF"/>
        <rFont val="Consolas"/>
        <family val="3"/>
      </rPr>
      <t>IS</t>
    </r>
    <r>
      <rPr>
        <sz val="10"/>
        <color theme="1"/>
        <rFont val="Consolas"/>
        <family val="3"/>
      </rPr>
      <t xml:space="preserve"> </t>
    </r>
    <r>
      <rPr>
        <sz val="10"/>
        <color rgb="FFFF2800"/>
        <rFont val="Consolas"/>
        <family val="3"/>
      </rPr>
      <t>'試8_販売方法'</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</si>
  <si>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test_8_expected_order_month </t>
    </r>
    <r>
      <rPr>
        <sz val="10"/>
        <color rgb="FF0080FF"/>
        <rFont val="Consolas"/>
        <family val="3"/>
      </rPr>
      <t>IS</t>
    </r>
    <r>
      <rPr>
        <sz val="10"/>
        <color theme="1"/>
        <rFont val="Consolas"/>
        <family val="3"/>
      </rPr>
      <t xml:space="preserve"> </t>
    </r>
    <r>
      <rPr>
        <sz val="10"/>
        <color rgb="FFFF2800"/>
        <rFont val="Consolas"/>
        <family val="3"/>
      </rPr>
      <t>'試8_受注予定月'</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</si>
  <si>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test_8_model </t>
    </r>
    <r>
      <rPr>
        <sz val="10"/>
        <color rgb="FF0080FF"/>
        <rFont val="Consolas"/>
        <family val="3"/>
      </rPr>
      <t>IS</t>
    </r>
    <r>
      <rPr>
        <sz val="10"/>
        <color theme="1"/>
        <rFont val="Consolas"/>
        <family val="3"/>
      </rPr>
      <t xml:space="preserve"> </t>
    </r>
    <r>
      <rPr>
        <sz val="10"/>
        <color rgb="FFFF2800"/>
        <rFont val="Consolas"/>
        <family val="3"/>
      </rPr>
      <t>'試8_機種'</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</si>
  <si>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test_8_new_device_usage_period </t>
    </r>
    <r>
      <rPr>
        <sz val="10"/>
        <color rgb="FF0080FF"/>
        <rFont val="Consolas"/>
        <family val="3"/>
      </rPr>
      <t>IS</t>
    </r>
    <r>
      <rPr>
        <sz val="10"/>
        <color theme="1"/>
        <rFont val="Consolas"/>
        <family val="3"/>
      </rPr>
      <t xml:space="preserve"> </t>
    </r>
    <r>
      <rPr>
        <sz val="10"/>
        <color rgb="FFFF2800"/>
        <rFont val="Consolas"/>
        <family val="3"/>
      </rPr>
      <t>'試8_新端末利用期間'</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</si>
  <si>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test_8_current_device_usage_period </t>
    </r>
    <r>
      <rPr>
        <sz val="10"/>
        <color rgb="FF0080FF"/>
        <rFont val="Consolas"/>
        <family val="3"/>
      </rPr>
      <t>IS</t>
    </r>
    <r>
      <rPr>
        <sz val="10"/>
        <color theme="1"/>
        <rFont val="Consolas"/>
        <family val="3"/>
      </rPr>
      <t xml:space="preserve"> </t>
    </r>
    <r>
      <rPr>
        <sz val="10"/>
        <color rgb="FFFF2800"/>
        <rFont val="Consolas"/>
        <family val="3"/>
      </rPr>
      <t>'試8_現端末利用期間'</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</si>
  <si>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test_8_relative_contract_established </t>
    </r>
    <r>
      <rPr>
        <sz val="10"/>
        <color rgb="FF0080FF"/>
        <rFont val="Consolas"/>
        <family val="3"/>
      </rPr>
      <t>IS</t>
    </r>
    <r>
      <rPr>
        <sz val="10"/>
        <color theme="1"/>
        <rFont val="Consolas"/>
        <family val="3"/>
      </rPr>
      <t xml:space="preserve"> </t>
    </r>
    <r>
      <rPr>
        <sz val="10"/>
        <color rgb="FFFF2800"/>
        <rFont val="Consolas"/>
        <family val="3"/>
      </rPr>
      <t>'試8_相対契約書締結有'</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</si>
  <si>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test_8__contract_year </t>
    </r>
    <r>
      <rPr>
        <sz val="10"/>
        <color rgb="FF0080FF"/>
        <rFont val="Consolas"/>
        <family val="3"/>
      </rPr>
      <t>IS</t>
    </r>
    <r>
      <rPr>
        <sz val="10"/>
        <color theme="1"/>
        <rFont val="Consolas"/>
        <family val="3"/>
      </rPr>
      <t xml:space="preserve"> </t>
    </r>
    <r>
      <rPr>
        <sz val="10"/>
        <color rgb="FFFF2800"/>
        <rFont val="Consolas"/>
        <family val="3"/>
      </rPr>
      <t>'試8_契約年数'</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</si>
  <si>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test_8_number_of_lines_setting_rules </t>
    </r>
    <r>
      <rPr>
        <sz val="10"/>
        <color rgb="FF0080FF"/>
        <rFont val="Consolas"/>
        <family val="3"/>
      </rPr>
      <t>IS</t>
    </r>
    <r>
      <rPr>
        <sz val="10"/>
        <color theme="1"/>
        <rFont val="Consolas"/>
        <family val="3"/>
      </rPr>
      <t xml:space="preserve"> </t>
    </r>
    <r>
      <rPr>
        <sz val="10"/>
        <color rgb="FFFF2800"/>
        <rFont val="Consolas"/>
        <family val="3"/>
      </rPr>
      <t>'試8_回線数設定ルール'</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</si>
  <si>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test_8_cancellation_fee_waiver_5percent_exception </t>
    </r>
    <r>
      <rPr>
        <sz val="10"/>
        <color rgb="FF0080FF"/>
        <rFont val="Consolas"/>
        <family val="3"/>
      </rPr>
      <t>IS</t>
    </r>
    <r>
      <rPr>
        <sz val="10"/>
        <color theme="1"/>
        <rFont val="Consolas"/>
        <family val="3"/>
      </rPr>
      <t xml:space="preserve"> </t>
    </r>
    <r>
      <rPr>
        <sz val="10"/>
        <color rgb="FFFF2800"/>
        <rFont val="Consolas"/>
        <family val="3"/>
      </rPr>
      <t>'試8_解除料免除_5%特例'</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</si>
  <si>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test_8_penalty_charges_after_increase_decrease </t>
    </r>
    <r>
      <rPr>
        <sz val="10"/>
        <color rgb="FF0080FF"/>
        <rFont val="Consolas"/>
        <family val="3"/>
      </rPr>
      <t>IS</t>
    </r>
    <r>
      <rPr>
        <sz val="10"/>
        <color theme="1"/>
        <rFont val="Consolas"/>
        <family val="3"/>
      </rPr>
      <t xml:space="preserve"> </t>
    </r>
    <r>
      <rPr>
        <sz val="10"/>
        <color rgb="FFFF2800"/>
        <rFont val="Consolas"/>
        <family val="3"/>
      </rPr>
      <t>'試8_増減額後違約金'</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</si>
  <si>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test_8_installment_plan </t>
    </r>
    <r>
      <rPr>
        <sz val="10"/>
        <color rgb="FF0080FF"/>
        <rFont val="Consolas"/>
        <family val="3"/>
      </rPr>
      <t>IS</t>
    </r>
    <r>
      <rPr>
        <sz val="10"/>
        <color theme="1"/>
        <rFont val="Consolas"/>
        <family val="3"/>
      </rPr>
      <t xml:space="preserve"> </t>
    </r>
    <r>
      <rPr>
        <sz val="10"/>
        <color rgb="FFFF2800"/>
        <rFont val="Consolas"/>
        <family val="3"/>
      </rPr>
      <t>'試8_分納計画'</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</si>
  <si>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test_8_white_line_24 </t>
    </r>
    <r>
      <rPr>
        <sz val="10"/>
        <color rgb="FF0080FF"/>
        <rFont val="Consolas"/>
        <family val="3"/>
      </rPr>
      <t>IS</t>
    </r>
    <r>
      <rPr>
        <sz val="10"/>
        <color theme="1"/>
        <rFont val="Consolas"/>
        <family val="3"/>
      </rPr>
      <t xml:space="preserve"> </t>
    </r>
    <r>
      <rPr>
        <sz val="10"/>
        <color rgb="FFFF2800"/>
        <rFont val="Consolas"/>
        <family val="3"/>
      </rPr>
      <t>'試8_ホワイトライン24'</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</si>
  <si>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test_8_white_office </t>
    </r>
    <r>
      <rPr>
        <sz val="10"/>
        <color rgb="FF0080FF"/>
        <rFont val="Consolas"/>
        <family val="3"/>
      </rPr>
      <t>IS</t>
    </r>
    <r>
      <rPr>
        <sz val="10"/>
        <color theme="1"/>
        <rFont val="Consolas"/>
        <family val="3"/>
      </rPr>
      <t xml:space="preserve"> </t>
    </r>
    <r>
      <rPr>
        <sz val="10"/>
        <color rgb="FFFF2800"/>
        <rFont val="Consolas"/>
        <family val="3"/>
      </rPr>
      <t>'試8_ホワイトオフィス'</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</si>
  <si>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test_8_packet_mobilesharing </t>
    </r>
    <r>
      <rPr>
        <sz val="10"/>
        <color rgb="FF0080FF"/>
        <rFont val="Consolas"/>
        <family val="3"/>
      </rPr>
      <t>IS</t>
    </r>
    <r>
      <rPr>
        <sz val="10"/>
        <color theme="1"/>
        <rFont val="Consolas"/>
        <family val="3"/>
      </rPr>
      <t xml:space="preserve"> </t>
    </r>
    <r>
      <rPr>
        <sz val="10"/>
        <color rgb="FFFF2800"/>
        <rFont val="Consolas"/>
        <family val="3"/>
      </rPr>
      <t>'試8_packet_mobilesharing'</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</si>
  <si>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test_9_sales_method </t>
    </r>
    <r>
      <rPr>
        <sz val="10"/>
        <color rgb="FF0080FF"/>
        <rFont val="Consolas"/>
        <family val="3"/>
      </rPr>
      <t>IS</t>
    </r>
    <r>
      <rPr>
        <sz val="10"/>
        <color theme="1"/>
        <rFont val="Consolas"/>
        <family val="3"/>
      </rPr>
      <t xml:space="preserve"> </t>
    </r>
    <r>
      <rPr>
        <sz val="10"/>
        <color rgb="FFFF2800"/>
        <rFont val="Consolas"/>
        <family val="3"/>
      </rPr>
      <t>'試9_販売方法'</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</si>
  <si>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test_9_expected_order_month </t>
    </r>
    <r>
      <rPr>
        <sz val="10"/>
        <color rgb="FF0080FF"/>
        <rFont val="Consolas"/>
        <family val="3"/>
      </rPr>
      <t>IS</t>
    </r>
    <r>
      <rPr>
        <sz val="10"/>
        <color theme="1"/>
        <rFont val="Consolas"/>
        <family val="3"/>
      </rPr>
      <t xml:space="preserve"> </t>
    </r>
    <r>
      <rPr>
        <sz val="10"/>
        <color rgb="FFFF2800"/>
        <rFont val="Consolas"/>
        <family val="3"/>
      </rPr>
      <t>'試9_受注予定月'</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</si>
  <si>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test_9_model </t>
    </r>
    <r>
      <rPr>
        <sz val="10"/>
        <color rgb="FF0080FF"/>
        <rFont val="Consolas"/>
        <family val="3"/>
      </rPr>
      <t>IS</t>
    </r>
    <r>
      <rPr>
        <sz val="10"/>
        <color theme="1"/>
        <rFont val="Consolas"/>
        <family val="3"/>
      </rPr>
      <t xml:space="preserve"> </t>
    </r>
    <r>
      <rPr>
        <sz val="10"/>
        <color rgb="FFFF2800"/>
        <rFont val="Consolas"/>
        <family val="3"/>
      </rPr>
      <t>'試9_機種'</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</si>
  <si>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test_9_new_device_usage_period </t>
    </r>
    <r>
      <rPr>
        <sz val="10"/>
        <color rgb="FF0080FF"/>
        <rFont val="Consolas"/>
        <family val="3"/>
      </rPr>
      <t>IS</t>
    </r>
    <r>
      <rPr>
        <sz val="10"/>
        <color theme="1"/>
        <rFont val="Consolas"/>
        <family val="3"/>
      </rPr>
      <t xml:space="preserve"> </t>
    </r>
    <r>
      <rPr>
        <sz val="10"/>
        <color rgb="FFFF2800"/>
        <rFont val="Consolas"/>
        <family val="3"/>
      </rPr>
      <t>'試9_新端末利用期間'</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</si>
  <si>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test_9_current_device_usage_period </t>
    </r>
    <r>
      <rPr>
        <sz val="10"/>
        <color rgb="FF0080FF"/>
        <rFont val="Consolas"/>
        <family val="3"/>
      </rPr>
      <t>IS</t>
    </r>
    <r>
      <rPr>
        <sz val="10"/>
        <color theme="1"/>
        <rFont val="Consolas"/>
        <family val="3"/>
      </rPr>
      <t xml:space="preserve"> </t>
    </r>
    <r>
      <rPr>
        <sz val="10"/>
        <color rgb="FFFF2800"/>
        <rFont val="Consolas"/>
        <family val="3"/>
      </rPr>
      <t>'試9_現端末利用期間'</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</si>
  <si>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test_9_relative_contract_execution </t>
    </r>
    <r>
      <rPr>
        <sz val="10"/>
        <color rgb="FF0080FF"/>
        <rFont val="Consolas"/>
        <family val="3"/>
      </rPr>
      <t>IS</t>
    </r>
    <r>
      <rPr>
        <sz val="10"/>
        <color theme="1"/>
        <rFont val="Consolas"/>
        <family val="3"/>
      </rPr>
      <t xml:space="preserve"> </t>
    </r>
    <r>
      <rPr>
        <sz val="10"/>
        <color rgb="FFFF2800"/>
        <rFont val="Consolas"/>
        <family val="3"/>
      </rPr>
      <t>'試9_相対契約書締結有'</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</si>
  <si>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test_9_contract_year </t>
    </r>
    <r>
      <rPr>
        <sz val="10"/>
        <color rgb="FF0080FF"/>
        <rFont val="Consolas"/>
        <family val="3"/>
      </rPr>
      <t>IS</t>
    </r>
    <r>
      <rPr>
        <sz val="10"/>
        <color theme="1"/>
        <rFont val="Consolas"/>
        <family val="3"/>
      </rPr>
      <t xml:space="preserve"> </t>
    </r>
    <r>
      <rPr>
        <sz val="10"/>
        <color rgb="FFFF2800"/>
        <rFont val="Consolas"/>
        <family val="3"/>
      </rPr>
      <t>'試9_契約年数'</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</si>
  <si>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test_9_number_of_lines_setting_rules </t>
    </r>
    <r>
      <rPr>
        <sz val="10"/>
        <color rgb="FF0080FF"/>
        <rFont val="Consolas"/>
        <family val="3"/>
      </rPr>
      <t>IS</t>
    </r>
    <r>
      <rPr>
        <sz val="10"/>
        <color theme="1"/>
        <rFont val="Consolas"/>
        <family val="3"/>
      </rPr>
      <t xml:space="preserve"> </t>
    </r>
    <r>
      <rPr>
        <sz val="10"/>
        <color rgb="FFFF2800"/>
        <rFont val="Consolas"/>
        <family val="3"/>
      </rPr>
      <t>'試9_回線数設定ルール'</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</si>
  <si>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test_9_cancellation_fee_waiver_5percent_exception </t>
    </r>
    <r>
      <rPr>
        <sz val="10"/>
        <color rgb="FF0080FF"/>
        <rFont val="Consolas"/>
        <family val="3"/>
      </rPr>
      <t>IS</t>
    </r>
    <r>
      <rPr>
        <sz val="10"/>
        <color theme="1"/>
        <rFont val="Consolas"/>
        <family val="3"/>
      </rPr>
      <t xml:space="preserve"> </t>
    </r>
    <r>
      <rPr>
        <sz val="10"/>
        <color rgb="FFFF2800"/>
        <rFont val="Consolas"/>
        <family val="3"/>
      </rPr>
      <t>'試9_解除料免除_5%特例'</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</si>
  <si>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test_9_penalty_charges_after_increase_decrease </t>
    </r>
    <r>
      <rPr>
        <sz val="10"/>
        <color rgb="FF0080FF"/>
        <rFont val="Consolas"/>
        <family val="3"/>
      </rPr>
      <t>IS</t>
    </r>
    <r>
      <rPr>
        <sz val="10"/>
        <color theme="1"/>
        <rFont val="Consolas"/>
        <family val="3"/>
      </rPr>
      <t xml:space="preserve"> </t>
    </r>
    <r>
      <rPr>
        <sz val="10"/>
        <color rgb="FFFF2800"/>
        <rFont val="Consolas"/>
        <family val="3"/>
      </rPr>
      <t>'試9_増減額後違約金'</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</si>
  <si>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test_9_installment_plan </t>
    </r>
    <r>
      <rPr>
        <sz val="10"/>
        <color rgb="FF0080FF"/>
        <rFont val="Consolas"/>
        <family val="3"/>
      </rPr>
      <t>IS</t>
    </r>
    <r>
      <rPr>
        <sz val="10"/>
        <color theme="1"/>
        <rFont val="Consolas"/>
        <family val="3"/>
      </rPr>
      <t xml:space="preserve"> </t>
    </r>
    <r>
      <rPr>
        <sz val="10"/>
        <color rgb="FFFF2800"/>
        <rFont val="Consolas"/>
        <family val="3"/>
      </rPr>
      <t>'試9_分納計画'</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</si>
  <si>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test_9_white_line_24 </t>
    </r>
    <r>
      <rPr>
        <sz val="10"/>
        <color rgb="FF0080FF"/>
        <rFont val="Consolas"/>
        <family val="3"/>
      </rPr>
      <t>IS</t>
    </r>
    <r>
      <rPr>
        <sz val="10"/>
        <color theme="1"/>
        <rFont val="Consolas"/>
        <family val="3"/>
      </rPr>
      <t xml:space="preserve"> </t>
    </r>
    <r>
      <rPr>
        <sz val="10"/>
        <color rgb="FFFF2800"/>
        <rFont val="Consolas"/>
        <family val="3"/>
      </rPr>
      <t>'試9_ホワイトライン24'</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</si>
  <si>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test_9_white_office </t>
    </r>
    <r>
      <rPr>
        <sz val="10"/>
        <color rgb="FF0080FF"/>
        <rFont val="Consolas"/>
        <family val="3"/>
      </rPr>
      <t>IS</t>
    </r>
    <r>
      <rPr>
        <sz val="10"/>
        <color theme="1"/>
        <rFont val="Consolas"/>
        <family val="3"/>
      </rPr>
      <t xml:space="preserve"> </t>
    </r>
    <r>
      <rPr>
        <sz val="10"/>
        <color rgb="FFFF2800"/>
        <rFont val="Consolas"/>
        <family val="3"/>
      </rPr>
      <t>'試9_ホワイトオフィス'</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</si>
  <si>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test_9_packet_mobilesharing </t>
    </r>
    <r>
      <rPr>
        <sz val="10"/>
        <color rgb="FF0080FF"/>
        <rFont val="Consolas"/>
        <family val="3"/>
      </rPr>
      <t>IS</t>
    </r>
    <r>
      <rPr>
        <sz val="10"/>
        <color theme="1"/>
        <rFont val="Consolas"/>
        <family val="3"/>
      </rPr>
      <t xml:space="preserve"> </t>
    </r>
    <r>
      <rPr>
        <sz val="10"/>
        <color rgb="FFFF2800"/>
        <rFont val="Consolas"/>
        <family val="3"/>
      </rPr>
      <t>'試9_packet_mobilesharing'</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</si>
  <si>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test_10_sales_method </t>
    </r>
    <r>
      <rPr>
        <sz val="10"/>
        <color rgb="FF0080FF"/>
        <rFont val="Consolas"/>
        <family val="3"/>
      </rPr>
      <t>IS</t>
    </r>
    <r>
      <rPr>
        <sz val="10"/>
        <color theme="1"/>
        <rFont val="Consolas"/>
        <family val="3"/>
      </rPr>
      <t xml:space="preserve"> </t>
    </r>
    <r>
      <rPr>
        <sz val="10"/>
        <color rgb="FFFF2800"/>
        <rFont val="Consolas"/>
        <family val="3"/>
      </rPr>
      <t>'試10_販売方法'</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</si>
  <si>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test_10__expected_order_month </t>
    </r>
    <r>
      <rPr>
        <sz val="10"/>
        <color rgb="FF0080FF"/>
        <rFont val="Consolas"/>
        <family val="3"/>
      </rPr>
      <t>IS</t>
    </r>
    <r>
      <rPr>
        <sz val="10"/>
        <color theme="1"/>
        <rFont val="Consolas"/>
        <family val="3"/>
      </rPr>
      <t xml:space="preserve"> </t>
    </r>
    <r>
      <rPr>
        <sz val="10"/>
        <color rgb="FFFF2800"/>
        <rFont val="Consolas"/>
        <family val="3"/>
      </rPr>
      <t>'試10_受注予定月'</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</si>
  <si>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test_10_model </t>
    </r>
    <r>
      <rPr>
        <sz val="10"/>
        <color rgb="FF0080FF"/>
        <rFont val="Consolas"/>
        <family val="3"/>
      </rPr>
      <t>IS</t>
    </r>
    <r>
      <rPr>
        <sz val="10"/>
        <color theme="1"/>
        <rFont val="Consolas"/>
        <family val="3"/>
      </rPr>
      <t xml:space="preserve"> </t>
    </r>
    <r>
      <rPr>
        <sz val="10"/>
        <color rgb="FFFF2800"/>
        <rFont val="Consolas"/>
        <family val="3"/>
      </rPr>
      <t>'試10_機種'</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</si>
  <si>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test_10_new_device_usage_period </t>
    </r>
    <r>
      <rPr>
        <sz val="10"/>
        <color rgb="FF0080FF"/>
        <rFont val="Consolas"/>
        <family val="3"/>
      </rPr>
      <t>IS</t>
    </r>
    <r>
      <rPr>
        <sz val="10"/>
        <color theme="1"/>
        <rFont val="Consolas"/>
        <family val="3"/>
      </rPr>
      <t xml:space="preserve"> </t>
    </r>
    <r>
      <rPr>
        <sz val="10"/>
        <color rgb="FFFF2800"/>
        <rFont val="Consolas"/>
        <family val="3"/>
      </rPr>
      <t>'試10_新端末利用期間'</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</si>
  <si>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test_10_current_device_usage_period </t>
    </r>
    <r>
      <rPr>
        <sz val="10"/>
        <color rgb="FF0080FF"/>
        <rFont val="Consolas"/>
        <family val="3"/>
      </rPr>
      <t>IS</t>
    </r>
    <r>
      <rPr>
        <sz val="10"/>
        <color theme="1"/>
        <rFont val="Consolas"/>
        <family val="3"/>
      </rPr>
      <t xml:space="preserve"> </t>
    </r>
    <r>
      <rPr>
        <sz val="10"/>
        <color rgb="FFFF2800"/>
        <rFont val="Consolas"/>
        <family val="3"/>
      </rPr>
      <t>'試10_現端末利用期間'</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</si>
  <si>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test_10_relative_contract_execution </t>
    </r>
    <r>
      <rPr>
        <sz val="10"/>
        <color rgb="FF0080FF"/>
        <rFont val="Consolas"/>
        <family val="3"/>
      </rPr>
      <t>IS</t>
    </r>
    <r>
      <rPr>
        <sz val="10"/>
        <color theme="1"/>
        <rFont val="Consolas"/>
        <family val="3"/>
      </rPr>
      <t xml:space="preserve"> </t>
    </r>
    <r>
      <rPr>
        <sz val="10"/>
        <color rgb="FFFF2800"/>
        <rFont val="Consolas"/>
        <family val="3"/>
      </rPr>
      <t>'試10_相対契約書締結有'</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</si>
  <si>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test_10_contract_year </t>
    </r>
    <r>
      <rPr>
        <sz val="10"/>
        <color rgb="FF0080FF"/>
        <rFont val="Consolas"/>
        <family val="3"/>
      </rPr>
      <t>IS</t>
    </r>
    <r>
      <rPr>
        <sz val="10"/>
        <color theme="1"/>
        <rFont val="Consolas"/>
        <family val="3"/>
      </rPr>
      <t xml:space="preserve"> </t>
    </r>
    <r>
      <rPr>
        <sz val="10"/>
        <color rgb="FFFF2800"/>
        <rFont val="Consolas"/>
        <family val="3"/>
      </rPr>
      <t>'試10_契約年数'</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</si>
  <si>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test_10_number_of_lines_setting_rules </t>
    </r>
    <r>
      <rPr>
        <sz val="10"/>
        <color rgb="FF0080FF"/>
        <rFont val="Consolas"/>
        <family val="3"/>
      </rPr>
      <t>IS</t>
    </r>
    <r>
      <rPr>
        <sz val="10"/>
        <color theme="1"/>
        <rFont val="Consolas"/>
        <family val="3"/>
      </rPr>
      <t xml:space="preserve"> </t>
    </r>
    <r>
      <rPr>
        <sz val="10"/>
        <color rgb="FFFF2800"/>
        <rFont val="Consolas"/>
        <family val="3"/>
      </rPr>
      <t>'試10_回線数設定ルール'</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</si>
  <si>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test_10_cancellation_fee_waiver_5_exception </t>
    </r>
    <r>
      <rPr>
        <sz val="10"/>
        <color rgb="FF0080FF"/>
        <rFont val="Consolas"/>
        <family val="3"/>
      </rPr>
      <t>IS</t>
    </r>
    <r>
      <rPr>
        <sz val="10"/>
        <color theme="1"/>
        <rFont val="Consolas"/>
        <family val="3"/>
      </rPr>
      <t xml:space="preserve"> </t>
    </r>
    <r>
      <rPr>
        <sz val="10"/>
        <color rgb="FFFF2800"/>
        <rFont val="Consolas"/>
        <family val="3"/>
      </rPr>
      <t>'試10_解除料免除_5%特例'</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</si>
  <si>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test_10_penalty_charge_after_increase_decrease </t>
    </r>
    <r>
      <rPr>
        <sz val="10"/>
        <color rgb="FF0080FF"/>
        <rFont val="Consolas"/>
        <family val="3"/>
      </rPr>
      <t>IS</t>
    </r>
    <r>
      <rPr>
        <sz val="10"/>
        <color theme="1"/>
        <rFont val="Consolas"/>
        <family val="3"/>
      </rPr>
      <t xml:space="preserve"> </t>
    </r>
    <r>
      <rPr>
        <sz val="10"/>
        <color rgb="FFFF2800"/>
        <rFont val="Consolas"/>
        <family val="3"/>
      </rPr>
      <t>'試10_増減額後違約金'</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</si>
  <si>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test_10_installment_plan </t>
    </r>
    <r>
      <rPr>
        <sz val="10"/>
        <color rgb="FF0080FF"/>
        <rFont val="Consolas"/>
        <family val="3"/>
      </rPr>
      <t>IS</t>
    </r>
    <r>
      <rPr>
        <sz val="10"/>
        <color theme="1"/>
        <rFont val="Consolas"/>
        <family val="3"/>
      </rPr>
      <t xml:space="preserve"> </t>
    </r>
    <r>
      <rPr>
        <sz val="10"/>
        <color rgb="FFFF2800"/>
        <rFont val="Consolas"/>
        <family val="3"/>
      </rPr>
      <t>'試10_分納計画'</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</si>
  <si>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test_10_white_line_24 </t>
    </r>
    <r>
      <rPr>
        <sz val="10"/>
        <color rgb="FF0080FF"/>
        <rFont val="Consolas"/>
        <family val="3"/>
      </rPr>
      <t>IS</t>
    </r>
    <r>
      <rPr>
        <sz val="10"/>
        <color theme="1"/>
        <rFont val="Consolas"/>
        <family val="3"/>
      </rPr>
      <t xml:space="preserve"> </t>
    </r>
    <r>
      <rPr>
        <sz val="10"/>
        <color rgb="FFFF2800"/>
        <rFont val="Consolas"/>
        <family val="3"/>
      </rPr>
      <t>'試10_ホワイトライン24'</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</si>
  <si>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test_10_white_office </t>
    </r>
    <r>
      <rPr>
        <sz val="10"/>
        <color rgb="FF0080FF"/>
        <rFont val="Consolas"/>
        <family val="3"/>
      </rPr>
      <t>IS</t>
    </r>
    <r>
      <rPr>
        <sz val="10"/>
        <color theme="1"/>
        <rFont val="Consolas"/>
        <family val="3"/>
      </rPr>
      <t xml:space="preserve"> </t>
    </r>
    <r>
      <rPr>
        <sz val="10"/>
        <color rgb="FFFF2800"/>
        <rFont val="Consolas"/>
        <family val="3"/>
      </rPr>
      <t>'試10_ホワイトオフィス'</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</si>
  <si>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test_10_packet_mobilesharing </t>
    </r>
    <r>
      <rPr>
        <sz val="10"/>
        <color rgb="FF0080FF"/>
        <rFont val="Consolas"/>
        <family val="3"/>
      </rPr>
      <t>IS</t>
    </r>
    <r>
      <rPr>
        <sz val="10"/>
        <color theme="1"/>
        <rFont val="Consolas"/>
        <family val="3"/>
      </rPr>
      <t xml:space="preserve"> </t>
    </r>
    <r>
      <rPr>
        <sz val="10"/>
        <color rgb="FFFF2800"/>
        <rFont val="Consolas"/>
        <family val="3"/>
      </rPr>
      <t>'試10_packet_mobilesharing'</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</si>
  <si>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form_id </t>
    </r>
    <r>
      <rPr>
        <sz val="10"/>
        <color rgb="FF0080FF"/>
        <rFont val="Consolas"/>
        <family val="3"/>
      </rPr>
      <t>IS</t>
    </r>
    <r>
      <rPr>
        <sz val="10"/>
        <color theme="1"/>
        <rFont val="Consolas"/>
        <family val="3"/>
      </rPr>
      <t xml:space="preserve"> </t>
    </r>
    <r>
      <rPr>
        <sz val="10"/>
        <color rgb="FFFF2800"/>
        <rFont val="Consolas"/>
        <family val="3"/>
      </rPr>
      <t>'フォームid'</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</si>
  <si>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root_id </t>
    </r>
    <r>
      <rPr>
        <sz val="10"/>
        <color rgb="FF0080FF"/>
        <rFont val="Consolas"/>
        <family val="3"/>
      </rPr>
      <t>IS</t>
    </r>
    <r>
      <rPr>
        <sz val="10"/>
        <color theme="1"/>
        <rFont val="Consolas"/>
        <family val="3"/>
      </rPr>
      <t xml:space="preserve"> </t>
    </r>
    <r>
      <rPr>
        <sz val="10"/>
        <color rgb="FFFF2800"/>
        <rFont val="Consolas"/>
        <family val="3"/>
      </rPr>
      <t>'ルートid'</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</si>
  <si>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status_id </t>
    </r>
    <r>
      <rPr>
        <sz val="10"/>
        <color rgb="FF0080FF"/>
        <rFont val="Consolas"/>
        <family val="3"/>
      </rPr>
      <t>IS</t>
    </r>
    <r>
      <rPr>
        <sz val="10"/>
        <color theme="1"/>
        <rFont val="Consolas"/>
        <family val="3"/>
      </rPr>
      <t xml:space="preserve"> </t>
    </r>
    <r>
      <rPr>
        <sz val="10"/>
        <color rgb="FFFF2800"/>
        <rFont val="Consolas"/>
        <family val="3"/>
      </rPr>
      <t>'ステータスid'</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</si>
  <si>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purpose_reason_effect_1 </t>
    </r>
    <r>
      <rPr>
        <sz val="10"/>
        <color rgb="FF0080FF"/>
        <rFont val="Consolas"/>
        <family val="3"/>
      </rPr>
      <t>IS</t>
    </r>
    <r>
      <rPr>
        <sz val="10"/>
        <color theme="1"/>
        <rFont val="Consolas"/>
        <family val="3"/>
      </rPr>
      <t xml:space="preserve"> </t>
    </r>
    <r>
      <rPr>
        <sz val="10"/>
        <color rgb="FFFF2800"/>
        <rFont val="Consolas"/>
        <family val="3"/>
      </rPr>
      <t>'目的_理由_効果1'</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</si>
  <si>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purpose_reason_effect_2 </t>
    </r>
    <r>
      <rPr>
        <sz val="10"/>
        <color rgb="FF0080FF"/>
        <rFont val="Consolas"/>
        <family val="3"/>
      </rPr>
      <t>IS</t>
    </r>
    <r>
      <rPr>
        <sz val="10"/>
        <color theme="1"/>
        <rFont val="Consolas"/>
        <family val="3"/>
      </rPr>
      <t xml:space="preserve"> </t>
    </r>
    <r>
      <rPr>
        <sz val="10"/>
        <color rgb="FFFF2800"/>
        <rFont val="Consolas"/>
        <family val="3"/>
      </rPr>
      <t>'目的_理由_効果2'</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</si>
  <si>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purpose_reason_effect_3 </t>
    </r>
    <r>
      <rPr>
        <sz val="10"/>
        <color rgb="FF0080FF"/>
        <rFont val="Consolas"/>
        <family val="3"/>
      </rPr>
      <t>IS</t>
    </r>
    <r>
      <rPr>
        <sz val="10"/>
        <color theme="1"/>
        <rFont val="Consolas"/>
        <family val="3"/>
      </rPr>
      <t xml:space="preserve"> </t>
    </r>
    <r>
      <rPr>
        <sz val="10"/>
        <color rgb="FFFF2800"/>
        <rFont val="Consolas"/>
        <family val="3"/>
      </rPr>
      <t>'目的_理由_効果3'</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</si>
  <si>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purpose_reason_effect_4 </t>
    </r>
    <r>
      <rPr>
        <sz val="10"/>
        <color rgb="FF0080FF"/>
        <rFont val="Consolas"/>
        <family val="3"/>
      </rPr>
      <t>IS</t>
    </r>
    <r>
      <rPr>
        <sz val="10"/>
        <color theme="1"/>
        <rFont val="Consolas"/>
        <family val="3"/>
      </rPr>
      <t xml:space="preserve"> </t>
    </r>
    <r>
      <rPr>
        <sz val="10"/>
        <color rgb="FFFF2800"/>
        <rFont val="Consolas"/>
        <family val="3"/>
      </rPr>
      <t>'目的_理由_効果4'</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</si>
  <si>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purpose_reason_effect_5 </t>
    </r>
    <r>
      <rPr>
        <sz val="10"/>
        <color rgb="FF0080FF"/>
        <rFont val="Consolas"/>
        <family val="3"/>
      </rPr>
      <t>IS</t>
    </r>
    <r>
      <rPr>
        <sz val="10"/>
        <color theme="1"/>
        <rFont val="Consolas"/>
        <family val="3"/>
      </rPr>
      <t xml:space="preserve"> </t>
    </r>
    <r>
      <rPr>
        <sz val="10"/>
        <color rgb="FFFF2800"/>
        <rFont val="Consolas"/>
        <family val="3"/>
      </rPr>
      <t>'目的_理由_効果5'</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</si>
  <si>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purpose_reason_effect_6 </t>
    </r>
    <r>
      <rPr>
        <sz val="10"/>
        <color rgb="FF0080FF"/>
        <rFont val="Consolas"/>
        <family val="3"/>
      </rPr>
      <t>IS</t>
    </r>
    <r>
      <rPr>
        <sz val="10"/>
        <color theme="1"/>
        <rFont val="Consolas"/>
        <family val="3"/>
      </rPr>
      <t xml:space="preserve"> </t>
    </r>
    <r>
      <rPr>
        <sz val="10"/>
        <color rgb="FFFF2800"/>
        <rFont val="Consolas"/>
        <family val="3"/>
      </rPr>
      <t>'目的_理由_効果6'</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</si>
  <si>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purpose_reason_effect_7 </t>
    </r>
    <r>
      <rPr>
        <sz val="10"/>
        <color rgb="FF0080FF"/>
        <rFont val="Consolas"/>
        <family val="3"/>
      </rPr>
      <t>IS</t>
    </r>
    <r>
      <rPr>
        <sz val="10"/>
        <color theme="1"/>
        <rFont val="Consolas"/>
        <family val="3"/>
      </rPr>
      <t xml:space="preserve"> </t>
    </r>
    <r>
      <rPr>
        <sz val="10"/>
        <color rgb="FFFF2800"/>
        <rFont val="Consolas"/>
        <family val="3"/>
      </rPr>
      <t>'目的_理由_効果7'</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</si>
  <si>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purpose_reason_effect_8 </t>
    </r>
    <r>
      <rPr>
        <sz val="10"/>
        <color rgb="FF0080FF"/>
        <rFont val="Consolas"/>
        <family val="3"/>
      </rPr>
      <t>IS</t>
    </r>
    <r>
      <rPr>
        <sz val="10"/>
        <color theme="1"/>
        <rFont val="Consolas"/>
        <family val="3"/>
      </rPr>
      <t xml:space="preserve"> </t>
    </r>
    <r>
      <rPr>
        <sz val="10"/>
        <color rgb="FFFF2800"/>
        <rFont val="Consolas"/>
        <family val="3"/>
      </rPr>
      <t>'目的_理由_効果8'</t>
    </r>
    <r>
      <rPr>
        <sz val="10"/>
        <color rgb="FF808080"/>
        <rFont val="Consolas"/>
        <family val="3"/>
      </rPr>
      <t>;</t>
    </r>
  </si>
  <si>
    <r>
      <t>COMMENT</t>
    </r>
    <r>
      <rPr>
        <sz val="10"/>
        <color theme="1"/>
        <rFont val="Consolas"/>
        <family val="3"/>
      </rPr>
      <t xml:space="preserve"> </t>
    </r>
    <r>
      <rPr>
        <sz val="10"/>
        <color rgb="FF0080FF"/>
        <rFont val="Consolas"/>
        <family val="3"/>
      </rPr>
      <t>ON</t>
    </r>
    <r>
      <rPr>
        <sz val="10"/>
        <color theme="1"/>
        <rFont val="Consolas"/>
        <family val="3"/>
      </rPr>
      <t xml:space="preserve"> </t>
    </r>
    <r>
      <rPr>
        <sz val="10"/>
        <color rgb="FF0080FF"/>
        <rFont val="Consolas"/>
        <family val="3"/>
      </rPr>
      <t>COLUMN</t>
    </r>
    <r>
      <rPr>
        <sz val="10"/>
        <color theme="1"/>
        <rFont val="Consolas"/>
        <family val="3"/>
      </rPr>
      <t xml:space="preserve"> summit_approval_proposal_mobile</t>
    </r>
    <r>
      <rPr>
        <sz val="10"/>
        <color rgb="FF808080"/>
        <rFont val="Consolas"/>
        <family val="3"/>
      </rPr>
      <t>.</t>
    </r>
    <r>
      <rPr>
        <sz val="10"/>
        <color theme="1"/>
        <rFont val="Consolas"/>
        <family val="3"/>
      </rPr>
      <t xml:space="preserve">purpose_reason_effect_9 </t>
    </r>
    <r>
      <rPr>
        <sz val="10"/>
        <color rgb="FF0080FF"/>
        <rFont val="Consolas"/>
        <family val="3"/>
      </rPr>
      <t>IS</t>
    </r>
    <r>
      <rPr>
        <sz val="10"/>
        <color theme="1"/>
        <rFont val="Consolas"/>
        <family val="3"/>
      </rPr>
      <t xml:space="preserve"> </t>
    </r>
    <r>
      <rPr>
        <sz val="10"/>
        <color rgb="FFFF2800"/>
        <rFont val="Consolas"/>
        <family val="3"/>
      </rPr>
      <t>'目的_理由_効果9'</t>
    </r>
    <r>
      <rPr>
        <sz val="10"/>
        <color rgb="FF808080"/>
        <rFont val="Consolas"/>
        <family val="3"/>
      </rPr>
      <t>;</t>
    </r>
  </si>
  <si>
    <t>b_hjn_smt_問い合わせツール_決裁_共通決裁</t>
    <phoneticPr fontId="2"/>
  </si>
  <si>
    <t>V004532</t>
  </si>
  <si>
    <t>summit_common_approval</t>
    <phoneticPr fontId="2"/>
  </si>
  <si>
    <r>
      <t>DROP</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EXISTS</t>
    </r>
    <r>
      <rPr>
        <b/>
        <sz val="10"/>
        <color theme="1"/>
        <rFont val="Consolas"/>
        <family val="3"/>
      </rPr>
      <t xml:space="preserve"> summit_common_approval </t>
    </r>
    <r>
      <rPr>
        <b/>
        <sz val="10"/>
        <color rgb="FF0080FF"/>
        <rFont val="Consolas"/>
        <family val="3"/>
      </rPr>
      <t>CASCADE</t>
    </r>
    <r>
      <rPr>
        <b/>
        <sz val="10"/>
        <color rgb="FF808080"/>
        <rFont val="Consolas"/>
        <family val="3"/>
      </rPr>
      <t>;</t>
    </r>
    <r>
      <rPr>
        <b/>
        <sz val="10"/>
        <color theme="1"/>
        <rFont val="Consolas"/>
        <family val="3"/>
      </rPr>
      <t xml:space="preserve"> </t>
    </r>
  </si>
  <si>
    <r>
      <t>CREATE</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NOT</t>
    </r>
    <r>
      <rPr>
        <b/>
        <sz val="10"/>
        <color theme="1"/>
        <rFont val="Consolas"/>
        <family val="3"/>
      </rPr>
      <t xml:space="preserve"> </t>
    </r>
    <r>
      <rPr>
        <b/>
        <sz val="10"/>
        <color rgb="FF0080FF"/>
        <rFont val="Consolas"/>
        <family val="3"/>
      </rPr>
      <t>EXISTS</t>
    </r>
    <r>
      <rPr>
        <b/>
        <sz val="10"/>
        <color theme="1"/>
        <rFont val="Consolas"/>
        <family val="3"/>
      </rPr>
      <t xml:space="preserve"> summit_common_approval </t>
    </r>
    <r>
      <rPr>
        <b/>
        <sz val="10"/>
        <color rgb="FF808080"/>
        <rFont val="Consolas"/>
        <family val="3"/>
      </rPr>
      <t>(</t>
    </r>
    <r>
      <rPr>
        <b/>
        <sz val="10"/>
        <color theme="1"/>
        <rFont val="Consolas"/>
        <family val="3"/>
      </rPr>
      <t xml:space="preserve"> </t>
    </r>
  </si>
  <si>
    <r>
      <t xml:space="preserve">approval_number </t>
    </r>
    <r>
      <rPr>
        <b/>
        <sz val="10"/>
        <color rgb="FF0080FF"/>
        <rFont val="Consolas"/>
        <family val="3"/>
      </rPr>
      <t>VARCHAR</t>
    </r>
    <r>
      <rPr>
        <b/>
        <sz val="10"/>
        <color rgb="FF808080"/>
        <rFont val="Consolas"/>
        <family val="3"/>
      </rPr>
      <t>(</t>
    </r>
    <r>
      <rPr>
        <b/>
        <sz val="10"/>
        <color rgb="FFFF2800"/>
        <rFont val="Consolas"/>
        <family val="3"/>
      </rPr>
      <t>10</t>
    </r>
    <r>
      <rPr>
        <b/>
        <sz val="10"/>
        <color rgb="FF808080"/>
        <rFont val="Consolas"/>
        <family val="3"/>
      </rPr>
      <t>),</t>
    </r>
  </si>
  <si>
    <r>
      <t xml:space="preserve">approval_content </t>
    </r>
    <r>
      <rPr>
        <b/>
        <sz val="10"/>
        <color rgb="FF0080FF"/>
        <rFont val="Consolas"/>
        <family val="3"/>
      </rPr>
      <t>VARCHAR</t>
    </r>
    <r>
      <rPr>
        <b/>
        <sz val="10"/>
        <color rgb="FF808080"/>
        <rFont val="Consolas"/>
        <family val="3"/>
      </rPr>
      <t>(</t>
    </r>
    <r>
      <rPr>
        <b/>
        <sz val="10"/>
        <color rgb="FFFF2800"/>
        <rFont val="Consolas"/>
        <family val="3"/>
      </rPr>
      <t>2304</t>
    </r>
    <r>
      <rPr>
        <b/>
        <sz val="10"/>
        <color rgb="FF808080"/>
        <rFont val="Consolas"/>
        <family val="3"/>
      </rPr>
      <t>),</t>
    </r>
  </si>
  <si>
    <r>
      <t xml:space="preserve">project_summary_summary_1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</si>
  <si>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r>
      <t xml:space="preserve">project_summary_summary_2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</si>
  <si>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r>
      <t xml:space="preserve">project_summary_summary_3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</si>
  <si>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r>
      <t xml:space="preserve">project_summary_summary_4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</si>
  <si>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r>
      <t xml:space="preserve">purpose_reason_effect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</si>
  <si>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[NULL]固定</t>
  </si>
  <si>
    <r>
      <t>CONSTRAINT</t>
    </r>
    <r>
      <rPr>
        <b/>
        <sz val="10"/>
        <color theme="1"/>
        <rFont val="Consolas"/>
        <family val="3"/>
      </rPr>
      <t xml:space="preserve"> pk_summit_common_approval </t>
    </r>
    <r>
      <rPr>
        <b/>
        <sz val="10"/>
        <color rgb="FF0080FF"/>
        <rFont val="Consolas"/>
        <family val="3"/>
      </rPr>
      <t>PRIMARY</t>
    </r>
    <r>
      <rPr>
        <b/>
        <sz val="10"/>
        <color theme="1"/>
        <rFont val="Consolas"/>
        <family val="3"/>
      </rPr>
      <t xml:space="preserve"> </t>
    </r>
    <r>
      <rPr>
        <b/>
        <sz val="10"/>
        <color rgb="FF0080FF"/>
        <rFont val="Consolas"/>
        <family val="3"/>
      </rPr>
      <t>KEY</t>
    </r>
    <r>
      <rPr>
        <b/>
        <sz val="10"/>
        <color theme="1"/>
        <rFont val="Consolas"/>
        <family val="3"/>
      </rPr>
      <t xml:space="preserve"> </t>
    </r>
    <r>
      <rPr>
        <b/>
        <sz val="10"/>
        <color rgb="FF808080"/>
        <rFont val="Consolas"/>
        <family val="3"/>
      </rPr>
      <t>(</t>
    </r>
    <r>
      <rPr>
        <b/>
        <sz val="10"/>
        <color theme="1"/>
        <rFont val="Consolas"/>
        <family val="3"/>
      </rPr>
      <t>id</t>
    </r>
    <r>
      <rPr>
        <b/>
        <sz val="10"/>
        <color rgb="FF808080"/>
        <rFont val="Consolas"/>
        <family val="3"/>
      </rPr>
      <t>));</t>
    </r>
    <r>
      <rPr>
        <b/>
        <sz val="10"/>
        <color theme="1"/>
        <rFont val="Consolas"/>
        <family val="3"/>
      </rPr>
      <t xml:space="preserve"> </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</si>
  <si>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TABLE</t>
    </r>
    <r>
      <rPr>
        <b/>
        <sz val="10"/>
        <color theme="1"/>
        <rFont val="Consolas"/>
        <family val="3"/>
      </rPr>
      <t xml:space="preserve"> summit_common_approval </t>
    </r>
    <r>
      <rPr>
        <b/>
        <sz val="10"/>
        <color rgb="FF0080FF"/>
        <rFont val="Consolas"/>
        <family val="3"/>
      </rPr>
      <t>IS</t>
    </r>
    <r>
      <rPr>
        <b/>
        <sz val="10"/>
        <color theme="1"/>
        <rFont val="Consolas"/>
        <family val="3"/>
      </rPr>
      <t xml:space="preserve"> </t>
    </r>
    <r>
      <rPr>
        <b/>
        <sz val="10"/>
        <color rgb="FFFF2800"/>
        <rFont val="Consolas"/>
        <family val="3"/>
      </rPr>
      <t>'b_hjn_smt_問い合わせツール_決裁_共通決裁'</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</si>
  <si>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id </t>
    </r>
    <r>
      <rPr>
        <b/>
        <sz val="10"/>
        <color rgb="FF0080FF"/>
        <rFont val="Consolas"/>
        <family val="3"/>
      </rPr>
      <t>IS</t>
    </r>
    <r>
      <rPr>
        <b/>
        <sz val="10"/>
        <color theme="1"/>
        <rFont val="Consolas"/>
        <family val="3"/>
      </rPr>
      <t xml:space="preserve"> </t>
    </r>
    <r>
      <rPr>
        <b/>
        <sz val="10"/>
        <color rgb="FFFF2800"/>
        <rFont val="Consolas"/>
        <family val="3"/>
      </rPr>
      <t>'id'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</si>
  <si>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approval_number </t>
    </r>
    <r>
      <rPr>
        <b/>
        <sz val="10"/>
        <color rgb="FF0080FF"/>
        <rFont val="Consolas"/>
        <family val="3"/>
      </rPr>
      <t>IS</t>
    </r>
    <r>
      <rPr>
        <b/>
        <sz val="10"/>
        <color theme="1"/>
        <rFont val="Consolas"/>
        <family val="3"/>
      </rPr>
      <t xml:space="preserve"> </t>
    </r>
    <r>
      <rPr>
        <b/>
        <sz val="10"/>
        <color rgb="FFFF2800"/>
        <rFont val="Consolas"/>
        <family val="3"/>
      </rPr>
      <t>'決裁番号'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</si>
  <si>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status_name </t>
    </r>
    <r>
      <rPr>
        <b/>
        <sz val="10"/>
        <color rgb="FF0080FF"/>
        <rFont val="Consolas"/>
        <family val="3"/>
      </rPr>
      <t>IS</t>
    </r>
    <r>
      <rPr>
        <b/>
        <sz val="10"/>
        <color theme="1"/>
        <rFont val="Consolas"/>
        <family val="3"/>
      </rPr>
      <t xml:space="preserve"> </t>
    </r>
    <r>
      <rPr>
        <b/>
        <sz val="10"/>
        <color rgb="FFFF2800"/>
        <rFont val="Consolas"/>
        <family val="3"/>
      </rPr>
      <t>'ステータス名'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</si>
  <si>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node_name </t>
    </r>
    <r>
      <rPr>
        <b/>
        <sz val="10"/>
        <color rgb="FF0080FF"/>
        <rFont val="Consolas"/>
        <family val="3"/>
      </rPr>
      <t>IS</t>
    </r>
    <r>
      <rPr>
        <b/>
        <sz val="10"/>
        <color theme="1"/>
        <rFont val="Consolas"/>
        <family val="3"/>
      </rPr>
      <t xml:space="preserve"> </t>
    </r>
    <r>
      <rPr>
        <b/>
        <sz val="10"/>
        <color rgb="FFFF2800"/>
        <rFont val="Consolas"/>
        <family val="3"/>
      </rPr>
      <t>'ノード名'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</si>
  <si>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date_and_time_of_proposal </t>
    </r>
    <r>
      <rPr>
        <b/>
        <sz val="10"/>
        <color rgb="FF0080FF"/>
        <rFont val="Consolas"/>
        <family val="3"/>
      </rPr>
      <t>IS</t>
    </r>
    <r>
      <rPr>
        <b/>
        <sz val="10"/>
        <color theme="1"/>
        <rFont val="Consolas"/>
        <family val="3"/>
      </rPr>
      <t xml:space="preserve"> </t>
    </r>
    <r>
      <rPr>
        <b/>
        <sz val="10"/>
        <color rgb="FFFF2800"/>
        <rFont val="Consolas"/>
        <family val="3"/>
      </rPr>
      <t>'起案日時'</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</si>
  <si>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date_and_time_of_final_processing </t>
    </r>
    <r>
      <rPr>
        <b/>
        <sz val="10"/>
        <color rgb="FF0080FF"/>
        <rFont val="Consolas"/>
        <family val="3"/>
      </rPr>
      <t>IS</t>
    </r>
    <r>
      <rPr>
        <b/>
        <sz val="10"/>
        <color theme="1"/>
        <rFont val="Consolas"/>
        <family val="3"/>
      </rPr>
      <t xml:space="preserve"> </t>
    </r>
    <r>
      <rPr>
        <b/>
        <sz val="10"/>
        <color rgb="FFFF2800"/>
        <rFont val="Consolas"/>
        <family val="3"/>
      </rPr>
      <t>'最終処理日時'</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</si>
  <si>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approval_date </t>
    </r>
    <r>
      <rPr>
        <b/>
        <sz val="10"/>
        <color rgb="FF0080FF"/>
        <rFont val="Consolas"/>
        <family val="3"/>
      </rPr>
      <t>IS</t>
    </r>
    <r>
      <rPr>
        <b/>
        <sz val="10"/>
        <color theme="1"/>
        <rFont val="Consolas"/>
        <family val="3"/>
      </rPr>
      <t xml:space="preserve"> </t>
    </r>
    <r>
      <rPr>
        <b/>
        <sz val="10"/>
        <color rgb="FFFF2800"/>
        <rFont val="Consolas"/>
        <family val="3"/>
      </rPr>
      <t>'決裁日'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</si>
  <si>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approval_type </t>
    </r>
    <r>
      <rPr>
        <b/>
        <sz val="10"/>
        <color rgb="FF0080FF"/>
        <rFont val="Consolas"/>
        <family val="3"/>
      </rPr>
      <t>IS</t>
    </r>
    <r>
      <rPr>
        <b/>
        <sz val="10"/>
        <color theme="1"/>
        <rFont val="Consolas"/>
        <family val="3"/>
      </rPr>
      <t xml:space="preserve"> </t>
    </r>
    <r>
      <rPr>
        <b/>
        <sz val="10"/>
        <color rgb="FFFF2800"/>
        <rFont val="Consolas"/>
        <family val="3"/>
      </rPr>
      <t>'決裁種別'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</si>
  <si>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business_category </t>
    </r>
    <r>
      <rPr>
        <b/>
        <sz val="10"/>
        <color rgb="FF0080FF"/>
        <rFont val="Consolas"/>
        <family val="3"/>
      </rPr>
      <t>IS</t>
    </r>
    <r>
      <rPr>
        <b/>
        <sz val="10"/>
        <color theme="1"/>
        <rFont val="Consolas"/>
        <family val="3"/>
      </rPr>
      <t xml:space="preserve"> </t>
    </r>
    <r>
      <rPr>
        <b/>
        <sz val="10"/>
        <color rgb="FFFF2800"/>
        <rFont val="Consolas"/>
        <family val="3"/>
      </rPr>
      <t>'事業区分'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</si>
  <si>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approval_content </t>
    </r>
    <r>
      <rPr>
        <b/>
        <sz val="10"/>
        <color rgb="FF0080FF"/>
        <rFont val="Consolas"/>
        <family val="3"/>
      </rPr>
      <t>IS</t>
    </r>
    <r>
      <rPr>
        <b/>
        <sz val="10"/>
        <color theme="1"/>
        <rFont val="Consolas"/>
        <family val="3"/>
      </rPr>
      <t xml:space="preserve"> </t>
    </r>
    <r>
      <rPr>
        <b/>
        <sz val="10"/>
        <color rgb="FFFF2800"/>
        <rFont val="Consolas"/>
        <family val="3"/>
      </rPr>
      <t>'決裁内容'</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</si>
  <si>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approval_subject </t>
    </r>
    <r>
      <rPr>
        <b/>
        <sz val="10"/>
        <color rgb="FF0080FF"/>
        <rFont val="Consolas"/>
        <family val="3"/>
      </rPr>
      <t>IS</t>
    </r>
    <r>
      <rPr>
        <b/>
        <sz val="10"/>
        <color theme="1"/>
        <rFont val="Consolas"/>
        <family val="3"/>
      </rPr>
      <t xml:space="preserve"> </t>
    </r>
    <r>
      <rPr>
        <b/>
        <sz val="10"/>
        <color rgb="FFFF2800"/>
        <rFont val="Consolas"/>
        <family val="3"/>
      </rPr>
      <t>'決裁件名'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</si>
  <si>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project_summary_summary_1 </t>
    </r>
    <r>
      <rPr>
        <b/>
        <sz val="10"/>
        <color rgb="FF0080FF"/>
        <rFont val="Consolas"/>
        <family val="3"/>
      </rPr>
      <t>IS</t>
    </r>
    <r>
      <rPr>
        <b/>
        <sz val="10"/>
        <color theme="1"/>
        <rFont val="Consolas"/>
        <family val="3"/>
      </rPr>
      <t xml:space="preserve"> </t>
    </r>
    <r>
      <rPr>
        <b/>
        <sz val="10"/>
        <color rgb="FFFF2800"/>
        <rFont val="Consolas"/>
        <family val="3"/>
      </rPr>
      <t>'案件概要_要旨記述1'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</si>
  <si>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project_summary_summary_2 </t>
    </r>
    <r>
      <rPr>
        <b/>
        <sz val="10"/>
        <color rgb="FF0080FF"/>
        <rFont val="Consolas"/>
        <family val="3"/>
      </rPr>
      <t>IS</t>
    </r>
    <r>
      <rPr>
        <b/>
        <sz val="10"/>
        <color theme="1"/>
        <rFont val="Consolas"/>
        <family val="3"/>
      </rPr>
      <t xml:space="preserve"> </t>
    </r>
    <r>
      <rPr>
        <b/>
        <sz val="10"/>
        <color rgb="FFFF2800"/>
        <rFont val="Consolas"/>
        <family val="3"/>
      </rPr>
      <t>'案件概要_要旨記述2'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</si>
  <si>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project_summary_summary_3 </t>
    </r>
    <r>
      <rPr>
        <b/>
        <sz val="10"/>
        <color rgb="FF0080FF"/>
        <rFont val="Consolas"/>
        <family val="3"/>
      </rPr>
      <t>IS</t>
    </r>
    <r>
      <rPr>
        <b/>
        <sz val="10"/>
        <color theme="1"/>
        <rFont val="Consolas"/>
        <family val="3"/>
      </rPr>
      <t xml:space="preserve"> </t>
    </r>
    <r>
      <rPr>
        <b/>
        <sz val="10"/>
        <color rgb="FFFF2800"/>
        <rFont val="Consolas"/>
        <family val="3"/>
      </rPr>
      <t>'案件概要_要旨記述3'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</si>
  <si>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project_summary_summary_4 </t>
    </r>
    <r>
      <rPr>
        <b/>
        <sz val="10"/>
        <color rgb="FF0080FF"/>
        <rFont val="Consolas"/>
        <family val="3"/>
      </rPr>
      <t>IS</t>
    </r>
    <r>
      <rPr>
        <b/>
        <sz val="10"/>
        <color theme="1"/>
        <rFont val="Consolas"/>
        <family val="3"/>
      </rPr>
      <t xml:space="preserve"> </t>
    </r>
    <r>
      <rPr>
        <b/>
        <sz val="10"/>
        <color rgb="FFFF2800"/>
        <rFont val="Consolas"/>
        <family val="3"/>
      </rPr>
      <t>'案件概要_要旨記述4'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</si>
  <si>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purpose_reason_effect </t>
    </r>
    <r>
      <rPr>
        <b/>
        <sz val="10"/>
        <color rgb="FF0080FF"/>
        <rFont val="Consolas"/>
        <family val="3"/>
      </rPr>
      <t>IS</t>
    </r>
    <r>
      <rPr>
        <b/>
        <sz val="10"/>
        <color theme="1"/>
        <rFont val="Consolas"/>
        <family val="3"/>
      </rPr>
      <t xml:space="preserve"> </t>
    </r>
    <r>
      <rPr>
        <b/>
        <sz val="10"/>
        <color rgb="FFFF2800"/>
        <rFont val="Consolas"/>
        <family val="3"/>
      </rPr>
      <t>'目的_理由_効果'</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</si>
  <si>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form_id </t>
    </r>
    <r>
      <rPr>
        <b/>
        <sz val="10"/>
        <color rgb="FF0080FF"/>
        <rFont val="Consolas"/>
        <family val="3"/>
      </rPr>
      <t>IS</t>
    </r>
    <r>
      <rPr>
        <b/>
        <sz val="10"/>
        <color theme="1"/>
        <rFont val="Consolas"/>
        <family val="3"/>
      </rPr>
      <t xml:space="preserve"> </t>
    </r>
    <r>
      <rPr>
        <b/>
        <sz val="10"/>
        <color rgb="FFFF2800"/>
        <rFont val="Consolas"/>
        <family val="3"/>
      </rPr>
      <t>'フォームid'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</si>
  <si>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root_id </t>
    </r>
    <r>
      <rPr>
        <b/>
        <sz val="10"/>
        <color rgb="FF0080FF"/>
        <rFont val="Consolas"/>
        <family val="3"/>
      </rPr>
      <t>IS</t>
    </r>
    <r>
      <rPr>
        <b/>
        <sz val="10"/>
        <color theme="1"/>
        <rFont val="Consolas"/>
        <family val="3"/>
      </rPr>
      <t xml:space="preserve"> </t>
    </r>
    <r>
      <rPr>
        <b/>
        <sz val="10"/>
        <color rgb="FFFF2800"/>
        <rFont val="Consolas"/>
        <family val="3"/>
      </rPr>
      <t>'ルートid'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</si>
  <si>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status_id </t>
    </r>
    <r>
      <rPr>
        <b/>
        <sz val="10"/>
        <color rgb="FF0080FF"/>
        <rFont val="Consolas"/>
        <family val="3"/>
      </rPr>
      <t>IS</t>
    </r>
    <r>
      <rPr>
        <b/>
        <sz val="10"/>
        <color theme="1"/>
        <rFont val="Consolas"/>
        <family val="3"/>
      </rPr>
      <t xml:space="preserve"> </t>
    </r>
    <r>
      <rPr>
        <b/>
        <sz val="10"/>
        <color rgb="FFFF2800"/>
        <rFont val="Consolas"/>
        <family val="3"/>
      </rPr>
      <t>'ステータスid'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</si>
  <si>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purpose_reason_effect_1 </t>
    </r>
    <r>
      <rPr>
        <b/>
        <sz val="10"/>
        <color rgb="FF0080FF"/>
        <rFont val="Consolas"/>
        <family val="3"/>
      </rPr>
      <t>IS</t>
    </r>
    <r>
      <rPr>
        <b/>
        <sz val="10"/>
        <color theme="1"/>
        <rFont val="Consolas"/>
        <family val="3"/>
      </rPr>
      <t xml:space="preserve"> </t>
    </r>
    <r>
      <rPr>
        <b/>
        <sz val="10"/>
        <color rgb="FFFF2800"/>
        <rFont val="Consolas"/>
        <family val="3"/>
      </rPr>
      <t>'目的_理由_効果1'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</si>
  <si>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purpose_reason_effect_2 </t>
    </r>
    <r>
      <rPr>
        <b/>
        <sz val="10"/>
        <color rgb="FF0080FF"/>
        <rFont val="Consolas"/>
        <family val="3"/>
      </rPr>
      <t>IS</t>
    </r>
    <r>
      <rPr>
        <b/>
        <sz val="10"/>
        <color theme="1"/>
        <rFont val="Consolas"/>
        <family val="3"/>
      </rPr>
      <t xml:space="preserve"> </t>
    </r>
    <r>
      <rPr>
        <b/>
        <sz val="10"/>
        <color rgb="FFFF2800"/>
        <rFont val="Consolas"/>
        <family val="3"/>
      </rPr>
      <t>'目的_理由_効果2'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</si>
  <si>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purpose_reason_effect_3 </t>
    </r>
    <r>
      <rPr>
        <b/>
        <sz val="10"/>
        <color rgb="FF0080FF"/>
        <rFont val="Consolas"/>
        <family val="3"/>
      </rPr>
      <t>IS</t>
    </r>
    <r>
      <rPr>
        <b/>
        <sz val="10"/>
        <color theme="1"/>
        <rFont val="Consolas"/>
        <family val="3"/>
      </rPr>
      <t xml:space="preserve"> </t>
    </r>
    <r>
      <rPr>
        <b/>
        <sz val="10"/>
        <color rgb="FFFF2800"/>
        <rFont val="Consolas"/>
        <family val="3"/>
      </rPr>
      <t>'目的_理由_効果3'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</si>
  <si>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purpose_reason_effect_4 </t>
    </r>
    <r>
      <rPr>
        <b/>
        <sz val="10"/>
        <color rgb="FF0080FF"/>
        <rFont val="Consolas"/>
        <family val="3"/>
      </rPr>
      <t>IS</t>
    </r>
    <r>
      <rPr>
        <b/>
        <sz val="10"/>
        <color theme="1"/>
        <rFont val="Consolas"/>
        <family val="3"/>
      </rPr>
      <t xml:space="preserve"> </t>
    </r>
    <r>
      <rPr>
        <b/>
        <sz val="10"/>
        <color rgb="FFFF2800"/>
        <rFont val="Consolas"/>
        <family val="3"/>
      </rPr>
      <t>'目的_理由_効果4'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</si>
  <si>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purpose_reason_effect_5 </t>
    </r>
    <r>
      <rPr>
        <b/>
        <sz val="10"/>
        <color rgb="FF0080FF"/>
        <rFont val="Consolas"/>
        <family val="3"/>
      </rPr>
      <t>IS</t>
    </r>
    <r>
      <rPr>
        <b/>
        <sz val="10"/>
        <color theme="1"/>
        <rFont val="Consolas"/>
        <family val="3"/>
      </rPr>
      <t xml:space="preserve"> </t>
    </r>
    <r>
      <rPr>
        <b/>
        <sz val="10"/>
        <color rgb="FFFF2800"/>
        <rFont val="Consolas"/>
        <family val="3"/>
      </rPr>
      <t>'目的_理由_効果5'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</si>
  <si>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purpose_reason_effect_6 </t>
    </r>
    <r>
      <rPr>
        <b/>
        <sz val="10"/>
        <color rgb="FF0080FF"/>
        <rFont val="Consolas"/>
        <family val="3"/>
      </rPr>
      <t>IS</t>
    </r>
    <r>
      <rPr>
        <b/>
        <sz val="10"/>
        <color theme="1"/>
        <rFont val="Consolas"/>
        <family val="3"/>
      </rPr>
      <t xml:space="preserve"> </t>
    </r>
    <r>
      <rPr>
        <b/>
        <sz val="10"/>
        <color rgb="FFFF2800"/>
        <rFont val="Consolas"/>
        <family val="3"/>
      </rPr>
      <t>'目的_理由_効果6'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</si>
  <si>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purpose_reason_effect_7 </t>
    </r>
    <r>
      <rPr>
        <b/>
        <sz val="10"/>
        <color rgb="FF0080FF"/>
        <rFont val="Consolas"/>
        <family val="3"/>
      </rPr>
      <t>IS</t>
    </r>
    <r>
      <rPr>
        <b/>
        <sz val="10"/>
        <color theme="1"/>
        <rFont val="Consolas"/>
        <family val="3"/>
      </rPr>
      <t xml:space="preserve"> </t>
    </r>
    <r>
      <rPr>
        <b/>
        <sz val="10"/>
        <color rgb="FFFF2800"/>
        <rFont val="Consolas"/>
        <family val="3"/>
      </rPr>
      <t>'目的_理由_効果7'</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</si>
  <si>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purpose_reason_effect_8 </t>
    </r>
    <r>
      <rPr>
        <b/>
        <sz val="10"/>
        <color rgb="FF0080FF"/>
        <rFont val="Consolas"/>
        <family val="3"/>
      </rPr>
      <t>IS</t>
    </r>
    <r>
      <rPr>
        <b/>
        <sz val="10"/>
        <color theme="1"/>
        <rFont val="Consolas"/>
        <family val="3"/>
      </rPr>
      <t xml:space="preserve"> </t>
    </r>
    <r>
      <rPr>
        <b/>
        <sz val="10"/>
        <color rgb="FFFF2800"/>
        <rFont val="Consolas"/>
        <family val="3"/>
      </rPr>
      <t>'目的_理由_効果8'</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</si>
  <si>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summit_common_approval</t>
    </r>
    <r>
      <rPr>
        <b/>
        <sz val="10"/>
        <color rgb="FF808080"/>
        <rFont val="Consolas"/>
        <family val="3"/>
      </rPr>
      <t>.</t>
    </r>
    <r>
      <rPr>
        <b/>
        <sz val="10"/>
        <color theme="1"/>
        <rFont val="Consolas"/>
        <family val="3"/>
      </rPr>
      <t xml:space="preserve">purpose_reason_effect_9 </t>
    </r>
    <r>
      <rPr>
        <b/>
        <sz val="10"/>
        <color rgb="FF0080FF"/>
        <rFont val="Consolas"/>
        <family val="3"/>
      </rPr>
      <t>IS</t>
    </r>
    <r>
      <rPr>
        <b/>
        <sz val="10"/>
        <color theme="1"/>
        <rFont val="Consolas"/>
        <family val="3"/>
      </rPr>
      <t xml:space="preserve"> </t>
    </r>
    <r>
      <rPr>
        <b/>
        <sz val="10"/>
        <color rgb="FFFF2800"/>
        <rFont val="Consolas"/>
        <family val="3"/>
      </rPr>
      <t>'目的_理由_効果9'</t>
    </r>
    <r>
      <rPr>
        <b/>
        <sz val="10"/>
        <color rgb="FF808080"/>
        <rFont val="Consolas"/>
        <family val="3"/>
      </rPr>
      <t>;</t>
    </r>
  </si>
  <si>
    <t>b_hjn_smt_問い合わせツール_決裁_基本_補足</t>
    <phoneticPr fontId="2"/>
  </si>
  <si>
    <t>V004419</t>
  </si>
  <si>
    <t>summit_approval_basic</t>
    <phoneticPr fontId="2"/>
  </si>
  <si>
    <r>
      <t>DROP</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EXISTS</t>
    </r>
    <r>
      <rPr>
        <b/>
        <sz val="10"/>
        <color theme="1"/>
        <rFont val="Consolas"/>
        <family val="3"/>
      </rPr>
      <t xml:space="preserve"> summit_approval_basic </t>
    </r>
    <r>
      <rPr>
        <b/>
        <sz val="10"/>
        <color rgb="FF0080FF"/>
        <rFont val="Consolas"/>
        <family val="3"/>
      </rPr>
      <t>CASCADE</t>
    </r>
    <r>
      <rPr>
        <b/>
        <sz val="10"/>
        <color rgb="FF808080"/>
        <rFont val="Consolas"/>
        <family val="3"/>
      </rPr>
      <t>;</t>
    </r>
    <r>
      <rPr>
        <b/>
        <sz val="10"/>
        <color theme="1"/>
        <rFont val="Consolas"/>
        <family val="3"/>
      </rPr>
      <t xml:space="preserve"> </t>
    </r>
  </si>
  <si>
    <r>
      <t>CREATE</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NOT</t>
    </r>
    <r>
      <rPr>
        <b/>
        <sz val="10"/>
        <color theme="1"/>
        <rFont val="Consolas"/>
        <family val="3"/>
      </rPr>
      <t xml:space="preserve"> </t>
    </r>
    <r>
      <rPr>
        <b/>
        <sz val="10"/>
        <color rgb="FF0080FF"/>
        <rFont val="Consolas"/>
        <family val="3"/>
      </rPr>
      <t>EXISTS</t>
    </r>
    <r>
      <rPr>
        <b/>
        <sz val="10"/>
        <color theme="1"/>
        <rFont val="Consolas"/>
        <family val="3"/>
      </rPr>
      <t xml:space="preserve"> summit_approval_basic </t>
    </r>
    <r>
      <rPr>
        <b/>
        <sz val="10"/>
        <color rgb="FF808080"/>
        <rFont val="Consolas"/>
        <family val="3"/>
      </rPr>
      <t>(</t>
    </r>
    <r>
      <rPr>
        <b/>
        <sz val="10"/>
        <color theme="1"/>
        <rFont val="Consolas"/>
        <family val="3"/>
      </rPr>
      <t xml:space="preserve"> </t>
    </r>
  </si>
  <si>
    <t>申請日時</t>
  </si>
  <si>
    <t>date_and_time_of_application</t>
  </si>
  <si>
    <r>
      <t xml:space="preserve">date_and_time_of_application </t>
    </r>
    <r>
      <rPr>
        <b/>
        <sz val="10"/>
        <color rgb="FF0080FF"/>
        <rFont val="Consolas"/>
        <family val="3"/>
      </rPr>
      <t>VARCHAR</t>
    </r>
    <r>
      <rPr>
        <b/>
        <sz val="10"/>
        <color rgb="FF808080"/>
        <rFont val="Consolas"/>
        <family val="3"/>
      </rPr>
      <t>(</t>
    </r>
    <r>
      <rPr>
        <b/>
        <sz val="10"/>
        <color rgb="FFFF2800"/>
        <rFont val="Consolas"/>
        <family val="3"/>
      </rPr>
      <t>69</t>
    </r>
    <r>
      <rPr>
        <b/>
        <sz val="10"/>
        <color rgb="FF808080"/>
        <rFont val="Consolas"/>
        <family val="3"/>
      </rPr>
      <t>),</t>
    </r>
  </si>
  <si>
    <t>approval_date</t>
    <phoneticPr fontId="2"/>
  </si>
  <si>
    <t>起案者名</t>
  </si>
  <si>
    <t>name_of_proposer</t>
  </si>
  <si>
    <r>
      <t xml:space="preserve">name_of_proposer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</si>
  <si>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起案者_所属部署</t>
  </si>
  <si>
    <t>name_of_proposer_department</t>
  </si>
  <si>
    <r>
      <t xml:space="preserve">name_of_proposer_department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</si>
  <si>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起案者_電話番号</t>
  </si>
  <si>
    <t>name_of_proposer_phone_number</t>
  </si>
  <si>
    <r>
      <t xml:space="preserve">name_of_proposer_phone_number </t>
    </r>
    <r>
      <rPr>
        <b/>
        <sz val="10"/>
        <color rgb="FF0080FF"/>
        <rFont val="Consolas"/>
        <family val="3"/>
      </rPr>
      <t>VARCHAR</t>
    </r>
    <r>
      <rPr>
        <b/>
        <sz val="10"/>
        <color rgb="FF808080"/>
        <rFont val="Consolas"/>
        <family val="3"/>
      </rPr>
      <t>(</t>
    </r>
    <r>
      <rPr>
        <b/>
        <sz val="10"/>
        <color rgb="FFFF2800"/>
        <rFont val="Consolas"/>
        <family val="3"/>
      </rPr>
      <t>900</t>
    </r>
    <r>
      <rPr>
        <b/>
        <sz val="10"/>
        <color rgb="FF808080"/>
        <rFont val="Consolas"/>
        <family val="3"/>
      </rPr>
      <t>),</t>
    </r>
  </si>
  <si>
    <r>
      <t xml:space="preserve">name_of_person_in_charge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</si>
  <si>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担当者_所属部署</t>
  </si>
  <si>
    <t>name_of_person_in_charge_department</t>
  </si>
  <si>
    <r>
      <t xml:space="preserve">name_of_person_in_charge_department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</si>
  <si>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担当者_電話番号</t>
  </si>
  <si>
    <t>phone_number_of_person_in_charge</t>
  </si>
  <si>
    <r>
      <t xml:space="preserve">phone_number_of_person_in_charge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</si>
  <si>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r>
      <t xml:space="preserve">company_name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</si>
  <si>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uniform_company_code</t>
  </si>
  <si>
    <r>
      <t xml:space="preserve">uniform_company_code </t>
    </r>
    <r>
      <rPr>
        <b/>
        <sz val="10"/>
        <color rgb="FF0080FF"/>
        <rFont val="Consolas"/>
        <family val="3"/>
      </rPr>
      <t>VARCHAR</t>
    </r>
    <r>
      <rPr>
        <b/>
        <sz val="10"/>
        <color rgb="FF808080"/>
        <rFont val="Consolas"/>
        <family val="3"/>
      </rPr>
      <t>(</t>
    </r>
    <r>
      <rPr>
        <b/>
        <sz val="10"/>
        <color rgb="FFFF2800"/>
        <rFont val="Consolas"/>
        <family val="3"/>
      </rPr>
      <t>18</t>
    </r>
    <r>
      <rPr>
        <b/>
        <sz val="10"/>
        <color rgb="FF808080"/>
        <rFont val="Consolas"/>
        <family val="3"/>
      </rPr>
      <t>),</t>
    </r>
  </si>
  <si>
    <t>本社住所</t>
  </si>
  <si>
    <t>head_office_address</t>
  </si>
  <si>
    <r>
      <t xml:space="preserve">head_office_address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</si>
  <si>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tsr評点</t>
  </si>
  <si>
    <t>tsr_rating</t>
  </si>
  <si>
    <r>
      <t xml:space="preserve">tsr_rating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</si>
  <si>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sfa_case_name</t>
  </si>
  <si>
    <r>
      <t xml:space="preserve">sfa_case_name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</si>
  <si>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sfa案件id</t>
  </si>
  <si>
    <t>sfa_case_id</t>
  </si>
  <si>
    <r>
      <t xml:space="preserve">sfa_case_id </t>
    </r>
    <r>
      <rPr>
        <b/>
        <sz val="10"/>
        <color rgb="FF0080FF"/>
        <rFont val="Consolas"/>
        <family val="3"/>
      </rPr>
      <t>VARCHAR</t>
    </r>
    <r>
      <rPr>
        <b/>
        <sz val="10"/>
        <color rgb="FF808080"/>
        <rFont val="Consolas"/>
        <family val="3"/>
      </rPr>
      <t>(</t>
    </r>
    <r>
      <rPr>
        <b/>
        <sz val="10"/>
        <color rgb="FFFF2800"/>
        <rFont val="Consolas"/>
        <family val="3"/>
      </rPr>
      <t>33</t>
    </r>
    <r>
      <rPr>
        <b/>
        <sz val="10"/>
        <color rgb="FF808080"/>
        <rFont val="Consolas"/>
        <family val="3"/>
      </rPr>
      <t>),</t>
    </r>
  </si>
  <si>
    <t>リカバリー対応案件</t>
  </si>
  <si>
    <t>recovery_case</t>
  </si>
  <si>
    <r>
      <t xml:space="preserve">recovery_case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</si>
  <si>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決裁書有効期間_ヶ月</t>
  </si>
  <si>
    <t>決裁書有効期間（ヶ月）</t>
  </si>
  <si>
    <t>approval_validity_period_months</t>
  </si>
  <si>
    <r>
      <t xml:space="preserve">approval_validity_period_months </t>
    </r>
    <r>
      <rPr>
        <b/>
        <sz val="10"/>
        <color rgb="FF0080FF"/>
        <rFont val="Consolas"/>
        <family val="3"/>
      </rPr>
      <t>VARCHAR</t>
    </r>
    <r>
      <rPr>
        <b/>
        <sz val="10"/>
        <color rgb="FF808080"/>
        <rFont val="Consolas"/>
        <family val="3"/>
      </rPr>
      <t>(</t>
    </r>
    <r>
      <rPr>
        <b/>
        <sz val="10"/>
        <color rgb="FFFF2800"/>
        <rFont val="Consolas"/>
        <family val="3"/>
      </rPr>
      <t>450</t>
    </r>
    <r>
      <rPr>
        <b/>
        <sz val="10"/>
        <color rgb="FF808080"/>
        <rFont val="Consolas"/>
        <family val="3"/>
      </rPr>
      <t>),</t>
    </r>
  </si>
  <si>
    <t>決裁書有効期間_from</t>
  </si>
  <si>
    <t>決裁書有効期間　開始日</t>
  </si>
  <si>
    <t>approval_validity_period_from</t>
  </si>
  <si>
    <r>
      <t xml:space="preserve">approval_validity_period_from </t>
    </r>
    <r>
      <rPr>
        <b/>
        <sz val="10"/>
        <color rgb="FF0080FF"/>
        <rFont val="Consolas"/>
        <family val="3"/>
      </rPr>
      <t>VARCHAR</t>
    </r>
    <r>
      <rPr>
        <b/>
        <sz val="10"/>
        <color rgb="FF808080"/>
        <rFont val="Consolas"/>
        <family val="3"/>
      </rPr>
      <t>(</t>
    </r>
    <r>
      <rPr>
        <b/>
        <sz val="10"/>
        <color rgb="FFFF2800"/>
        <rFont val="Consolas"/>
        <family val="3"/>
      </rPr>
      <t>450</t>
    </r>
    <r>
      <rPr>
        <b/>
        <sz val="10"/>
        <color rgb="FF808080"/>
        <rFont val="Consolas"/>
        <family val="3"/>
      </rPr>
      <t>),</t>
    </r>
  </si>
  <si>
    <t>決裁書有効期間_to</t>
  </si>
  <si>
    <t>決裁書有効期間　終了日</t>
  </si>
  <si>
    <t>approval_validity_period_to</t>
  </si>
  <si>
    <r>
      <t xml:space="preserve">approval_validity_period_to </t>
    </r>
    <r>
      <rPr>
        <b/>
        <sz val="10"/>
        <color rgb="FF0080FF"/>
        <rFont val="Consolas"/>
        <family val="3"/>
      </rPr>
      <t>VARCHAR</t>
    </r>
    <r>
      <rPr>
        <b/>
        <sz val="10"/>
        <color rgb="FF808080"/>
        <rFont val="Consolas"/>
        <family val="3"/>
      </rPr>
      <t>(</t>
    </r>
    <r>
      <rPr>
        <b/>
        <sz val="10"/>
        <color rgb="FFFF2800"/>
        <rFont val="Consolas"/>
        <family val="3"/>
      </rPr>
      <t>450</t>
    </r>
    <r>
      <rPr>
        <b/>
        <sz val="10"/>
        <color rgb="FF808080"/>
        <rFont val="Consolas"/>
        <family val="3"/>
      </rPr>
      <t>),</t>
    </r>
  </si>
  <si>
    <t>データ系申込書</t>
  </si>
  <si>
    <t>data_application_form</t>
  </si>
  <si>
    <r>
      <t xml:space="preserve">data_application_form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</si>
  <si>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与信アラート</t>
  </si>
  <si>
    <t>credit_alert</t>
  </si>
  <si>
    <r>
      <t xml:space="preserve">credit_alert </t>
    </r>
    <r>
      <rPr>
        <b/>
        <sz val="10"/>
        <color rgb="FF0080FF"/>
        <rFont val="Consolas"/>
        <family val="3"/>
      </rPr>
      <t>VARCHAR</t>
    </r>
    <r>
      <rPr>
        <b/>
        <sz val="10"/>
        <color rgb="FF808080"/>
        <rFont val="Consolas"/>
        <family val="3"/>
      </rPr>
      <t>(</t>
    </r>
    <r>
      <rPr>
        <b/>
        <sz val="10"/>
        <color rgb="FFFF2800"/>
        <rFont val="Consolas"/>
        <family val="3"/>
      </rPr>
      <t>450</t>
    </r>
    <r>
      <rPr>
        <b/>
        <sz val="10"/>
        <color rgb="FF808080"/>
        <rFont val="Consolas"/>
        <family val="3"/>
      </rPr>
      <t>),</t>
    </r>
  </si>
  <si>
    <t>販路</t>
  </si>
  <si>
    <t>sales_channel</t>
  </si>
  <si>
    <r>
      <t xml:space="preserve">sales_channel </t>
    </r>
    <r>
      <rPr>
        <b/>
        <sz val="10"/>
        <color rgb="FF0080FF"/>
        <rFont val="Consolas"/>
        <family val="3"/>
      </rPr>
      <t>VARCHAR</t>
    </r>
    <r>
      <rPr>
        <b/>
        <sz val="10"/>
        <color rgb="FF808080"/>
        <rFont val="Consolas"/>
        <family val="3"/>
      </rPr>
      <t>(</t>
    </r>
    <r>
      <rPr>
        <b/>
        <sz val="10"/>
        <color rgb="FFFF2800"/>
        <rFont val="Consolas"/>
        <family val="3"/>
      </rPr>
      <t>450</t>
    </r>
    <r>
      <rPr>
        <b/>
        <sz val="10"/>
        <color rgb="FF808080"/>
        <rFont val="Consolas"/>
        <family val="3"/>
      </rPr>
      <t>),</t>
    </r>
  </si>
  <si>
    <t>法個人区分</t>
  </si>
  <si>
    <t>legal_personal_classification</t>
  </si>
  <si>
    <r>
      <t xml:space="preserve">legal_personal_classification </t>
    </r>
    <r>
      <rPr>
        <b/>
        <sz val="10"/>
        <color rgb="FF0080FF"/>
        <rFont val="Consolas"/>
        <family val="3"/>
      </rPr>
      <t>VARCHAR</t>
    </r>
    <r>
      <rPr>
        <b/>
        <sz val="10"/>
        <color rgb="FF808080"/>
        <rFont val="Consolas"/>
        <family val="3"/>
      </rPr>
      <t>(</t>
    </r>
    <r>
      <rPr>
        <b/>
        <sz val="10"/>
        <color rgb="FFFF2800"/>
        <rFont val="Consolas"/>
        <family val="3"/>
      </rPr>
      <t>450</t>
    </r>
    <r>
      <rPr>
        <b/>
        <sz val="10"/>
        <color rgb="FF808080"/>
        <rFont val="Consolas"/>
        <family val="3"/>
      </rPr>
      <t>),</t>
    </r>
  </si>
  <si>
    <t>請求形態</t>
  </si>
  <si>
    <t>billing_form</t>
  </si>
  <si>
    <r>
      <t xml:space="preserve">billing_form </t>
    </r>
    <r>
      <rPr>
        <b/>
        <sz val="10"/>
        <color rgb="FF0080FF"/>
        <rFont val="Consolas"/>
        <family val="3"/>
      </rPr>
      <t>VARCHAR</t>
    </r>
    <r>
      <rPr>
        <b/>
        <sz val="10"/>
        <color rgb="FF808080"/>
        <rFont val="Consolas"/>
        <family val="3"/>
      </rPr>
      <t>(</t>
    </r>
    <r>
      <rPr>
        <b/>
        <sz val="10"/>
        <color rgb="FFFF2800"/>
        <rFont val="Consolas"/>
        <family val="3"/>
      </rPr>
      <t>450</t>
    </r>
    <r>
      <rPr>
        <b/>
        <sz val="10"/>
        <color rgb="FF808080"/>
        <rFont val="Consolas"/>
        <family val="3"/>
      </rPr>
      <t>),</t>
    </r>
  </si>
  <si>
    <t>与信審査実施有無</t>
  </si>
  <si>
    <t>whether_credit_review_has_been_conducted</t>
  </si>
  <si>
    <r>
      <t xml:space="preserve">whether_credit_review_has_been_conducted </t>
    </r>
    <r>
      <rPr>
        <b/>
        <sz val="10"/>
        <color rgb="FF0080FF"/>
        <rFont val="Consolas"/>
        <family val="3"/>
      </rPr>
      <t>VARCHAR</t>
    </r>
    <r>
      <rPr>
        <b/>
        <sz val="10"/>
        <color rgb="FF808080"/>
        <rFont val="Consolas"/>
        <family val="3"/>
      </rPr>
      <t>(</t>
    </r>
    <r>
      <rPr>
        <b/>
        <sz val="10"/>
        <color rgb="FFFF2800"/>
        <rFont val="Consolas"/>
        <family val="3"/>
      </rPr>
      <t>450</t>
    </r>
    <r>
      <rPr>
        <b/>
        <sz val="10"/>
        <color rgb="FF808080"/>
        <rFont val="Consolas"/>
        <family val="3"/>
      </rPr>
      <t>),</t>
    </r>
  </si>
  <si>
    <t>与信区分</t>
  </si>
  <si>
    <t>grant_credit_category</t>
  </si>
  <si>
    <r>
      <t xml:space="preserve">grant_credit_category </t>
    </r>
    <r>
      <rPr>
        <b/>
        <sz val="10"/>
        <color rgb="FF0080FF"/>
        <rFont val="Consolas"/>
        <family val="3"/>
      </rPr>
      <t>VARCHAR</t>
    </r>
    <r>
      <rPr>
        <b/>
        <sz val="10"/>
        <color rgb="FF808080"/>
        <rFont val="Consolas"/>
        <family val="3"/>
      </rPr>
      <t>(</t>
    </r>
    <r>
      <rPr>
        <b/>
        <sz val="10"/>
        <color rgb="FFFF2800"/>
        <rFont val="Consolas"/>
        <family val="3"/>
      </rPr>
      <t>450</t>
    </r>
    <r>
      <rPr>
        <b/>
        <sz val="10"/>
        <color rgb="FF808080"/>
        <rFont val="Consolas"/>
        <family val="3"/>
      </rPr>
      <t>),</t>
    </r>
  </si>
  <si>
    <t>与信番号</t>
  </si>
  <si>
    <t>credit_number</t>
  </si>
  <si>
    <r>
      <t xml:space="preserve">credit_number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</si>
  <si>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法務事前審査実施有無</t>
  </si>
  <si>
    <t>whether_legal_pre_review_has_been_conducted</t>
  </si>
  <si>
    <r>
      <t xml:space="preserve">whether_legal_pre_review_has_been_conducted </t>
    </r>
    <r>
      <rPr>
        <b/>
        <sz val="10"/>
        <color rgb="FF0080FF"/>
        <rFont val="Consolas"/>
        <family val="3"/>
      </rPr>
      <t>VARCHAR</t>
    </r>
    <r>
      <rPr>
        <b/>
        <sz val="10"/>
        <color rgb="FF808080"/>
        <rFont val="Consolas"/>
        <family val="3"/>
      </rPr>
      <t>(</t>
    </r>
    <r>
      <rPr>
        <b/>
        <sz val="10"/>
        <color rgb="FFFF2800"/>
        <rFont val="Consolas"/>
        <family val="3"/>
      </rPr>
      <t>450</t>
    </r>
    <r>
      <rPr>
        <b/>
        <sz val="10"/>
        <color rgb="FF808080"/>
        <rFont val="Consolas"/>
        <family val="3"/>
      </rPr>
      <t>),</t>
    </r>
  </si>
  <si>
    <t>法務審査番号</t>
  </si>
  <si>
    <t>legal_review_number</t>
  </si>
  <si>
    <r>
      <t xml:space="preserve">legal_review_number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</si>
  <si>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再決裁_起案フラグ</t>
  </si>
  <si>
    <t>re_approval_draft_flag</t>
  </si>
  <si>
    <r>
      <t xml:space="preserve">re_approval_draft_flag </t>
    </r>
    <r>
      <rPr>
        <b/>
        <sz val="10"/>
        <color rgb="FF0080FF"/>
        <rFont val="Consolas"/>
        <family val="3"/>
      </rPr>
      <t>VARCHAR</t>
    </r>
    <r>
      <rPr>
        <b/>
        <sz val="10"/>
        <color rgb="FF808080"/>
        <rFont val="Consolas"/>
        <family val="3"/>
      </rPr>
      <t>(</t>
    </r>
    <r>
      <rPr>
        <b/>
        <sz val="10"/>
        <color rgb="FFFF2800"/>
        <rFont val="Consolas"/>
        <family val="3"/>
      </rPr>
      <t>450</t>
    </r>
    <r>
      <rPr>
        <b/>
        <sz val="10"/>
        <color rgb="FF808080"/>
        <rFont val="Consolas"/>
        <family val="3"/>
      </rPr>
      <t>),</t>
    </r>
  </si>
  <si>
    <t>サービス種別</t>
  </si>
  <si>
    <t>service_type</t>
  </si>
  <si>
    <r>
      <t xml:space="preserve">service_type </t>
    </r>
    <r>
      <rPr>
        <b/>
        <sz val="10"/>
        <color rgb="FF0080FF"/>
        <rFont val="Consolas"/>
        <family val="3"/>
      </rPr>
      <t>VARCHAR</t>
    </r>
    <r>
      <rPr>
        <b/>
        <sz val="10"/>
        <color rgb="FF808080"/>
        <rFont val="Consolas"/>
        <family val="3"/>
      </rPr>
      <t>(</t>
    </r>
    <r>
      <rPr>
        <b/>
        <sz val="10"/>
        <color rgb="FFFF2800"/>
        <rFont val="Consolas"/>
        <family val="3"/>
      </rPr>
      <t>2304</t>
    </r>
    <r>
      <rPr>
        <b/>
        <sz val="10"/>
        <color rgb="FF808080"/>
        <rFont val="Consolas"/>
        <family val="3"/>
      </rPr>
      <t>),</t>
    </r>
  </si>
  <si>
    <t>サービス種別_サブ</t>
  </si>
  <si>
    <t>service_type_sub</t>
  </si>
  <si>
    <r>
      <t xml:space="preserve">service_type_sub </t>
    </r>
    <r>
      <rPr>
        <b/>
        <sz val="10"/>
        <color rgb="FF0080FF"/>
        <rFont val="Consolas"/>
        <family val="3"/>
      </rPr>
      <t>VARCHAR</t>
    </r>
    <r>
      <rPr>
        <b/>
        <sz val="10"/>
        <color rgb="FF808080"/>
        <rFont val="Consolas"/>
        <family val="3"/>
      </rPr>
      <t>(</t>
    </r>
    <r>
      <rPr>
        <b/>
        <sz val="10"/>
        <color rgb="FFFF2800"/>
        <rFont val="Consolas"/>
        <family val="3"/>
      </rPr>
      <t>2304</t>
    </r>
    <r>
      <rPr>
        <b/>
        <sz val="10"/>
        <color rgb="FF808080"/>
        <rFont val="Consolas"/>
        <family val="3"/>
      </rPr>
      <t>),</t>
    </r>
  </si>
  <si>
    <t>実行予定日</t>
  </si>
  <si>
    <t>scheduled_execution_date</t>
  </si>
  <si>
    <r>
      <t xml:space="preserve">scheduled_execution_date </t>
    </r>
    <r>
      <rPr>
        <b/>
        <sz val="10"/>
        <color rgb="FF0080FF"/>
        <rFont val="Consolas"/>
        <family val="3"/>
      </rPr>
      <t>VARCHAR</t>
    </r>
    <r>
      <rPr>
        <b/>
        <sz val="10"/>
        <color rgb="FF808080"/>
        <rFont val="Consolas"/>
        <family val="3"/>
      </rPr>
      <t>(</t>
    </r>
    <r>
      <rPr>
        <b/>
        <sz val="10"/>
        <color rgb="FFFF2800"/>
        <rFont val="Consolas"/>
        <family val="3"/>
      </rPr>
      <t>30</t>
    </r>
    <r>
      <rPr>
        <b/>
        <sz val="10"/>
        <color rgb="FF808080"/>
        <rFont val="Consolas"/>
        <family val="3"/>
      </rPr>
      <t>),</t>
    </r>
  </si>
  <si>
    <t>事後決裁フラグ</t>
  </si>
  <si>
    <t>post_approval_flag</t>
  </si>
  <si>
    <r>
      <t xml:space="preserve">post_approval_flag </t>
    </r>
    <r>
      <rPr>
        <b/>
        <sz val="10"/>
        <color rgb="FF0080FF"/>
        <rFont val="Consolas"/>
        <family val="3"/>
      </rPr>
      <t>VARCHAR</t>
    </r>
    <r>
      <rPr>
        <b/>
        <sz val="10"/>
        <color rgb="FF808080"/>
        <rFont val="Consolas"/>
        <family val="3"/>
      </rPr>
      <t>(</t>
    </r>
    <r>
      <rPr>
        <b/>
        <sz val="10"/>
        <color rgb="FFFF2800"/>
        <rFont val="Consolas"/>
        <family val="3"/>
      </rPr>
      <t>450</t>
    </r>
    <r>
      <rPr>
        <b/>
        <sz val="10"/>
        <color rgb="FF808080"/>
        <rFont val="Consolas"/>
        <family val="3"/>
      </rPr>
      <t>),</t>
    </r>
  </si>
  <si>
    <t>承認者</t>
  </si>
  <si>
    <t>approver</t>
  </si>
  <si>
    <r>
      <t xml:space="preserve">approver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</si>
  <si>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承認年月日</t>
  </si>
  <si>
    <t>recognition_date</t>
    <phoneticPr fontId="2"/>
  </si>
  <si>
    <r>
      <t xml:space="preserve">recognition_date </t>
    </r>
    <r>
      <rPr>
        <b/>
        <sz val="10"/>
        <color rgb="FF0080FF"/>
        <rFont val="Consolas"/>
        <family val="3"/>
      </rPr>
      <t>VARCHAR</t>
    </r>
    <r>
      <rPr>
        <b/>
        <sz val="10"/>
        <color rgb="FF808080"/>
        <rFont val="Consolas"/>
        <family val="3"/>
      </rPr>
      <t>(</t>
    </r>
    <r>
      <rPr>
        <b/>
        <sz val="10"/>
        <color rgb="FFFF2800"/>
        <rFont val="Consolas"/>
        <family val="3"/>
      </rPr>
      <t>30</t>
    </r>
    <r>
      <rPr>
        <b/>
        <sz val="10"/>
        <color rgb="FF808080"/>
        <rFont val="Consolas"/>
        <family val="3"/>
      </rPr>
      <t>),</t>
    </r>
  </si>
  <si>
    <t>承認を受けた者の氏名</t>
  </si>
  <si>
    <t>name_of_approved_person</t>
  </si>
  <si>
    <r>
      <t xml:space="preserve">name_of_approved_person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</si>
  <si>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承認を受けた内容</t>
  </si>
  <si>
    <r>
      <t xml:space="preserve">approval_details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</si>
  <si>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事後決裁となった理由</t>
  </si>
  <si>
    <t>reason_for_post_approval</t>
  </si>
  <si>
    <r>
      <t xml:space="preserve">reason_for_post_approval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</si>
  <si>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springs決裁番号</t>
  </si>
  <si>
    <t>springs_approval_number</t>
  </si>
  <si>
    <r>
      <t xml:space="preserve">springs_approval_number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</si>
  <si>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モバイル相対相談番号</t>
  </si>
  <si>
    <t>mobile_consultation_number</t>
  </si>
  <si>
    <r>
      <t xml:space="preserve">mobile_consultation_number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</si>
  <si>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ソ販_見積番号</t>
  </si>
  <si>
    <t>social_media_sales_quote_number</t>
  </si>
  <si>
    <r>
      <t xml:space="preserve">social_media_sales_quote_number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</si>
  <si>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アセットdb番号</t>
  </si>
  <si>
    <t>asset_db_number</t>
  </si>
  <si>
    <r>
      <t xml:space="preserve">asset_db_number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</si>
  <si>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情報元集約シート</t>
  </si>
  <si>
    <t>information_source_aggregation_sheet</t>
  </si>
  <si>
    <r>
      <t xml:space="preserve">information_source_aggregation_sheet </t>
    </r>
    <r>
      <rPr>
        <b/>
        <sz val="10"/>
        <color rgb="FF0080FF"/>
        <rFont val="Consolas"/>
        <family val="3"/>
      </rPr>
      <t>VARCHAR</t>
    </r>
    <r>
      <rPr>
        <b/>
        <sz val="10"/>
        <color rgb="FF808080"/>
        <rFont val="Consolas"/>
        <family val="3"/>
      </rPr>
      <t>(</t>
    </r>
    <r>
      <rPr>
        <b/>
        <sz val="10"/>
        <color rgb="FFFF2800"/>
        <rFont val="Consolas"/>
        <family val="3"/>
      </rPr>
      <t>42</t>
    </r>
    <r>
      <rPr>
        <b/>
        <sz val="10"/>
        <color rgb="FF808080"/>
        <rFont val="Consolas"/>
        <family val="3"/>
      </rPr>
      <t>),</t>
    </r>
  </si>
  <si>
    <t>試算シート番号</t>
  </si>
  <si>
    <t>estimate_sheet_number</t>
  </si>
  <si>
    <r>
      <t xml:space="preserve">estimate_sheet_number </t>
    </r>
    <r>
      <rPr>
        <b/>
        <sz val="10"/>
        <color rgb="FF0080FF"/>
        <rFont val="Consolas"/>
        <family val="3"/>
      </rPr>
      <t>VARCHAR</t>
    </r>
    <r>
      <rPr>
        <b/>
        <sz val="10"/>
        <color rgb="FF808080"/>
        <rFont val="Consolas"/>
        <family val="3"/>
      </rPr>
      <t>(</t>
    </r>
    <r>
      <rPr>
        <b/>
        <sz val="10"/>
        <color rgb="FFFF2800"/>
        <rFont val="Consolas"/>
        <family val="3"/>
      </rPr>
      <t>54</t>
    </r>
    <r>
      <rPr>
        <b/>
        <sz val="10"/>
        <color rgb="FF808080"/>
        <rFont val="Consolas"/>
        <family val="3"/>
      </rPr>
      <t>),</t>
    </r>
  </si>
  <si>
    <t>dee申請no_事前協議申請</t>
  </si>
  <si>
    <t>dee_application_no_pre_consultation_application</t>
    <phoneticPr fontId="2"/>
  </si>
  <si>
    <r>
      <t xml:space="preserve">dee_application_no_pre_consultation_application </t>
    </r>
    <r>
      <rPr>
        <b/>
        <sz val="10"/>
        <color rgb="FF0080FF"/>
        <rFont val="Consolas"/>
        <family val="3"/>
      </rPr>
      <t>VARCHAR</t>
    </r>
    <r>
      <rPr>
        <b/>
        <sz val="10"/>
        <color rgb="FF808080"/>
        <rFont val="Consolas"/>
        <family val="3"/>
      </rPr>
      <t>(</t>
    </r>
    <r>
      <rPr>
        <b/>
        <sz val="10"/>
        <color rgb="FFFF2800"/>
        <rFont val="Consolas"/>
        <family val="3"/>
      </rPr>
      <t>135</t>
    </r>
    <r>
      <rPr>
        <b/>
        <sz val="10"/>
        <color rgb="FF808080"/>
        <rFont val="Consolas"/>
        <family val="3"/>
      </rPr>
      <t>),</t>
    </r>
  </si>
  <si>
    <t>dee申請番号_申請書</t>
  </si>
  <si>
    <t>dee_application_no_application_form</t>
    <phoneticPr fontId="2"/>
  </si>
  <si>
    <r>
      <t xml:space="preserve">dee_application_no_application_form </t>
    </r>
    <r>
      <rPr>
        <b/>
        <sz val="10"/>
        <color rgb="FF0080FF"/>
        <rFont val="Consolas"/>
        <family val="3"/>
      </rPr>
      <t>VARCHAR</t>
    </r>
    <r>
      <rPr>
        <b/>
        <sz val="10"/>
        <color rgb="FF808080"/>
        <rFont val="Consolas"/>
        <family val="3"/>
      </rPr>
      <t>(</t>
    </r>
    <r>
      <rPr>
        <b/>
        <sz val="10"/>
        <color rgb="FFFF2800"/>
        <rFont val="Consolas"/>
        <family val="3"/>
      </rPr>
      <t>135</t>
    </r>
    <r>
      <rPr>
        <b/>
        <sz val="10"/>
        <color rgb="FF808080"/>
        <rFont val="Consolas"/>
        <family val="3"/>
      </rPr>
      <t>),</t>
    </r>
  </si>
  <si>
    <t>添付file_説明_備考</t>
  </si>
  <si>
    <t>添付ファイル　説明・備考</t>
  </si>
  <si>
    <t>attached_file_description_notes</t>
  </si>
  <si>
    <r>
      <t xml:space="preserve">attached_file_description_notes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</si>
  <si>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閲覧範囲</t>
  </si>
  <si>
    <t>viewability</t>
  </si>
  <si>
    <r>
      <t xml:space="preserve">viewability </t>
    </r>
    <r>
      <rPr>
        <b/>
        <sz val="10"/>
        <color rgb="FF0080FF"/>
        <rFont val="Consolas"/>
        <family val="3"/>
      </rPr>
      <t>VARCHAR</t>
    </r>
    <r>
      <rPr>
        <b/>
        <sz val="10"/>
        <color rgb="FF808080"/>
        <rFont val="Consolas"/>
        <family val="3"/>
      </rPr>
      <t>(</t>
    </r>
    <r>
      <rPr>
        <b/>
        <sz val="10"/>
        <color rgb="FFFF2800"/>
        <rFont val="Consolas"/>
        <family val="3"/>
      </rPr>
      <t>450</t>
    </r>
    <r>
      <rPr>
        <b/>
        <sz val="10"/>
        <color rgb="FF808080"/>
        <rFont val="Consolas"/>
        <family val="3"/>
      </rPr>
      <t>),</t>
    </r>
  </si>
  <si>
    <t>notes</t>
  </si>
  <si>
    <r>
      <t xml:space="preserve">notes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</si>
  <si>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承認者判定条件</t>
  </si>
  <si>
    <t>approver_determination_criteria</t>
  </si>
  <si>
    <r>
      <t xml:space="preserve">approver_determination_criteria </t>
    </r>
    <r>
      <rPr>
        <b/>
        <sz val="10"/>
        <color rgb="FF0080FF"/>
        <rFont val="Consolas"/>
        <family val="3"/>
      </rPr>
      <t>VARCHAR</t>
    </r>
    <r>
      <rPr>
        <b/>
        <sz val="10"/>
        <color rgb="FF808080"/>
        <rFont val="Consolas"/>
        <family val="3"/>
      </rPr>
      <t>(</t>
    </r>
    <r>
      <rPr>
        <b/>
        <sz val="10"/>
        <color rgb="FFFF2800"/>
        <rFont val="Consolas"/>
        <family val="3"/>
      </rPr>
      <t>450</t>
    </r>
    <r>
      <rPr>
        <b/>
        <sz val="10"/>
        <color rgb="FF808080"/>
        <rFont val="Consolas"/>
        <family val="3"/>
      </rPr>
      <t>),</t>
    </r>
  </si>
  <si>
    <t>同意者判定条件</t>
  </si>
  <si>
    <t>consent_judgment_conditions</t>
  </si>
  <si>
    <r>
      <t xml:space="preserve">consent_judgment_conditions </t>
    </r>
    <r>
      <rPr>
        <b/>
        <sz val="10"/>
        <color rgb="FF0080FF"/>
        <rFont val="Consolas"/>
        <family val="3"/>
      </rPr>
      <t>VARCHAR</t>
    </r>
    <r>
      <rPr>
        <b/>
        <sz val="10"/>
        <color rgb="FF808080"/>
        <rFont val="Consolas"/>
        <family val="3"/>
      </rPr>
      <t>(</t>
    </r>
    <r>
      <rPr>
        <b/>
        <sz val="10"/>
        <color rgb="FFFF2800"/>
        <rFont val="Consolas"/>
        <family val="3"/>
      </rPr>
      <t>450</t>
    </r>
    <r>
      <rPr>
        <b/>
        <sz val="10"/>
        <color rgb="FF808080"/>
        <rFont val="Consolas"/>
        <family val="3"/>
      </rPr>
      <t>),</t>
    </r>
  </si>
  <si>
    <t>代理店協業の条件</t>
  </si>
  <si>
    <t>agency_collaboration_conditions</t>
  </si>
  <si>
    <r>
      <t xml:space="preserve">agency_collaboration_conditions </t>
    </r>
    <r>
      <rPr>
        <b/>
        <sz val="10"/>
        <color rgb="FF0080FF"/>
        <rFont val="Consolas"/>
        <family val="3"/>
      </rPr>
      <t>VARCHAR</t>
    </r>
    <r>
      <rPr>
        <b/>
        <sz val="10"/>
        <color rgb="FF808080"/>
        <rFont val="Consolas"/>
        <family val="3"/>
      </rPr>
      <t>(</t>
    </r>
    <r>
      <rPr>
        <b/>
        <sz val="10"/>
        <color rgb="FFFF2800"/>
        <rFont val="Consolas"/>
        <family val="3"/>
      </rPr>
      <t>450</t>
    </r>
    <r>
      <rPr>
        <b/>
        <sz val="10"/>
        <color rgb="FF808080"/>
        <rFont val="Consolas"/>
        <family val="3"/>
      </rPr>
      <t>),</t>
    </r>
  </si>
  <si>
    <t>水際支払金額</t>
  </si>
  <si>
    <t>borderline_payment_amount</t>
  </si>
  <si>
    <r>
      <t xml:space="preserve">borderline_payment_amount </t>
    </r>
    <r>
      <rPr>
        <b/>
        <sz val="10"/>
        <color rgb="FF0080FF"/>
        <rFont val="Consolas"/>
        <family val="3"/>
      </rPr>
      <t>VARCHAR</t>
    </r>
    <r>
      <rPr>
        <b/>
        <sz val="10"/>
        <color rgb="FF808080"/>
        <rFont val="Consolas"/>
        <family val="3"/>
      </rPr>
      <t>(</t>
    </r>
    <r>
      <rPr>
        <b/>
        <sz val="10"/>
        <color rgb="FFFF2800"/>
        <rFont val="Consolas"/>
        <family val="3"/>
      </rPr>
      <t>450</t>
    </r>
    <r>
      <rPr>
        <b/>
        <sz val="10"/>
        <color rgb="FF808080"/>
        <rFont val="Consolas"/>
        <family val="3"/>
      </rPr>
      <t>),</t>
    </r>
  </si>
  <si>
    <t>代理店決裁条件1</t>
  </si>
  <si>
    <t>agency_approval_condition_1</t>
  </si>
  <si>
    <r>
      <t xml:space="preserve">agency_approval_condition_1 </t>
    </r>
    <r>
      <rPr>
        <b/>
        <sz val="10"/>
        <color rgb="FF0080FF"/>
        <rFont val="Consolas"/>
        <family val="3"/>
      </rPr>
      <t>VARCHAR</t>
    </r>
    <r>
      <rPr>
        <b/>
        <sz val="10"/>
        <color rgb="FF808080"/>
        <rFont val="Consolas"/>
        <family val="3"/>
      </rPr>
      <t>(</t>
    </r>
    <r>
      <rPr>
        <b/>
        <sz val="10"/>
        <color rgb="FFFF2800"/>
        <rFont val="Consolas"/>
        <family val="3"/>
      </rPr>
      <t>450</t>
    </r>
    <r>
      <rPr>
        <b/>
        <sz val="10"/>
        <color rgb="FF808080"/>
        <rFont val="Consolas"/>
        <family val="3"/>
      </rPr>
      <t>),</t>
    </r>
  </si>
  <si>
    <t>代理店決裁条件2</t>
  </si>
  <si>
    <t>agency_approval_condition_2</t>
  </si>
  <si>
    <r>
      <t xml:space="preserve">agency_approval_condition_2 </t>
    </r>
    <r>
      <rPr>
        <b/>
        <sz val="10"/>
        <color rgb="FF0080FF"/>
        <rFont val="Consolas"/>
        <family val="3"/>
      </rPr>
      <t>VARCHAR</t>
    </r>
    <r>
      <rPr>
        <b/>
        <sz val="10"/>
        <color rgb="FF808080"/>
        <rFont val="Consolas"/>
        <family val="3"/>
      </rPr>
      <t>(</t>
    </r>
    <r>
      <rPr>
        <b/>
        <sz val="10"/>
        <color rgb="FFFF2800"/>
        <rFont val="Consolas"/>
        <family val="3"/>
      </rPr>
      <t>450</t>
    </r>
    <r>
      <rPr>
        <b/>
        <sz val="10"/>
        <color rgb="FF808080"/>
        <rFont val="Consolas"/>
        <family val="3"/>
      </rPr>
      <t>),</t>
    </r>
  </si>
  <si>
    <t>確認中フラグ</t>
  </si>
  <si>
    <t>checking_flag</t>
  </si>
  <si>
    <r>
      <t xml:space="preserve">checking_flag </t>
    </r>
    <r>
      <rPr>
        <b/>
        <sz val="10"/>
        <color rgb="FF0080FF"/>
        <rFont val="Consolas"/>
        <family val="3"/>
      </rPr>
      <t>VARCHAR</t>
    </r>
    <r>
      <rPr>
        <b/>
        <sz val="10"/>
        <color rgb="FF808080"/>
        <rFont val="Consolas"/>
        <family val="3"/>
      </rPr>
      <t>(</t>
    </r>
    <r>
      <rPr>
        <b/>
        <sz val="10"/>
        <color rgb="FFFF2800"/>
        <rFont val="Consolas"/>
        <family val="3"/>
      </rPr>
      <t>27</t>
    </r>
    <r>
      <rPr>
        <b/>
        <sz val="10"/>
        <color rgb="FF808080"/>
        <rFont val="Consolas"/>
        <family val="3"/>
      </rPr>
      <t>),</t>
    </r>
  </si>
  <si>
    <t>確認者名</t>
  </si>
  <si>
    <t>confirmer_name</t>
  </si>
  <si>
    <r>
      <t xml:space="preserve">confirmer_name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</si>
  <si>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事前相談有無</t>
  </si>
  <si>
    <t>pre_consultation_status</t>
  </si>
  <si>
    <r>
      <t xml:space="preserve">pre_consultation_status </t>
    </r>
    <r>
      <rPr>
        <b/>
        <sz val="10"/>
        <color rgb="FF0080FF"/>
        <rFont val="Consolas"/>
        <family val="3"/>
      </rPr>
      <t>VARCHAR</t>
    </r>
    <r>
      <rPr>
        <b/>
        <sz val="10"/>
        <color rgb="FF808080"/>
        <rFont val="Consolas"/>
        <family val="3"/>
      </rPr>
      <t>(</t>
    </r>
    <r>
      <rPr>
        <b/>
        <sz val="10"/>
        <color rgb="FFFF2800"/>
        <rFont val="Consolas"/>
        <family val="3"/>
      </rPr>
      <t>450</t>
    </r>
    <r>
      <rPr>
        <b/>
        <sz val="10"/>
        <color rgb="FF808080"/>
        <rFont val="Consolas"/>
        <family val="3"/>
      </rPr>
      <t>),</t>
    </r>
  </si>
  <si>
    <t>事前相談申請番号_sdwf</t>
  </si>
  <si>
    <t>pre_consultation_application_number_sdwf</t>
  </si>
  <si>
    <r>
      <t xml:space="preserve">pre_consultation_application_number_sdwf </t>
    </r>
    <r>
      <rPr>
        <b/>
        <sz val="10"/>
        <color rgb="FF0080FF"/>
        <rFont val="Consolas"/>
        <family val="3"/>
      </rPr>
      <t>VARCHAR</t>
    </r>
    <r>
      <rPr>
        <b/>
        <sz val="10"/>
        <color rgb="FF808080"/>
        <rFont val="Consolas"/>
        <family val="3"/>
      </rPr>
      <t>(</t>
    </r>
    <r>
      <rPr>
        <b/>
        <sz val="10"/>
        <color rgb="FFFF2800"/>
        <rFont val="Consolas"/>
        <family val="3"/>
      </rPr>
      <t>768</t>
    </r>
    <r>
      <rPr>
        <b/>
        <sz val="10"/>
        <color rgb="FF808080"/>
        <rFont val="Consolas"/>
        <family val="3"/>
      </rPr>
      <t>),</t>
    </r>
  </si>
  <si>
    <t>プロダクト名</t>
  </si>
  <si>
    <r>
      <t xml:space="preserve">product_name </t>
    </r>
    <r>
      <rPr>
        <b/>
        <sz val="10"/>
        <color rgb="FF0080FF"/>
        <rFont val="Consolas"/>
        <family val="3"/>
      </rPr>
      <t>VARCHAR</t>
    </r>
    <r>
      <rPr>
        <b/>
        <sz val="10"/>
        <color rgb="FF808080"/>
        <rFont val="Consolas"/>
        <family val="3"/>
      </rPr>
      <t>(</t>
    </r>
    <r>
      <rPr>
        <b/>
        <sz val="10"/>
        <color rgb="FFFF2800"/>
        <rFont val="Consolas"/>
        <family val="3"/>
      </rPr>
      <t>1536</t>
    </r>
    <r>
      <rPr>
        <b/>
        <sz val="10"/>
        <color rgb="FF808080"/>
        <rFont val="Consolas"/>
        <family val="3"/>
      </rPr>
      <t>),</t>
    </r>
  </si>
  <si>
    <t>事前相談承認条件_sdwf</t>
  </si>
  <si>
    <t>pre_consultation_approval_condition_sdwf</t>
  </si>
  <si>
    <r>
      <t xml:space="preserve">pre_consultation_approval_condition_sdwf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</si>
  <si>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事前相談承認条件1_sdwf</t>
  </si>
  <si>
    <t>pre_consultation_approval_condition_1_sdwf</t>
  </si>
  <si>
    <r>
      <t xml:space="preserve">pre_consultation_approval_condition_1_sdwf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</si>
  <si>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事前相談承認条件2_sdwf</t>
  </si>
  <si>
    <t>pre_consultation_approval_condition_2_sdwf</t>
  </si>
  <si>
    <r>
      <t xml:space="preserve">pre_consultation_approval_condition_2_sdwf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</si>
  <si>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事前相談承認条件3_sdwf</t>
  </si>
  <si>
    <t>pre_consultation_approval_condition_3_sdwf</t>
  </si>
  <si>
    <r>
      <t xml:space="preserve">pre_consultation_approval_condition_3_sdwf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</si>
  <si>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相対相談番号</t>
  </si>
  <si>
    <t>private_consultation_number</t>
  </si>
  <si>
    <r>
      <t xml:space="preserve">private_consultation_number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</si>
  <si>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モバイル相対相談承認条件</t>
    <phoneticPr fontId="2"/>
  </si>
  <si>
    <t>mobile_approval_condition</t>
  </si>
  <si>
    <r>
      <t xml:space="preserve">mobile_approval_condition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</si>
  <si>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モバイル相対相談承認条件1</t>
  </si>
  <si>
    <t>mobile_approval_condition_1</t>
  </si>
  <si>
    <r>
      <t xml:space="preserve">mobile_approval_condition_1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</si>
  <si>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モバイル相対相談承認条件2</t>
  </si>
  <si>
    <t>mobile_approval_condition_2</t>
  </si>
  <si>
    <r>
      <t xml:space="preserve">mobile_approval_condition_2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</si>
  <si>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モバイル相対相談承認条件3</t>
  </si>
  <si>
    <t>mobile_approval_condition_3</t>
  </si>
  <si>
    <r>
      <t xml:space="preserve">mobile_approval_condition_3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</si>
  <si>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モバイル相対相談承認条件4</t>
  </si>
  <si>
    <t>mobile_approval_condition_4</t>
  </si>
  <si>
    <r>
      <t xml:space="preserve">mobile_approval_condition_4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</si>
  <si>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モバイル相対相談承認条件5</t>
  </si>
  <si>
    <t>mobile_relative_consultation_5</t>
  </si>
  <si>
    <r>
      <t xml:space="preserve">mobile_relative_consultation_5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</si>
  <si>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モバイル相対相談承認条件6</t>
  </si>
  <si>
    <t>mobile_relative_consultation_6</t>
  </si>
  <si>
    <r>
      <t xml:space="preserve">mobile_relative_consultation_6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</si>
  <si>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モバイル相対相談承認条件7</t>
  </si>
  <si>
    <t>mobile_relative_consultation_7</t>
  </si>
  <si>
    <r>
      <t xml:space="preserve">mobile_relative_consultation_7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</si>
  <si>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モバイル相対相談承認条件8</t>
  </si>
  <si>
    <t>mobile_relative_consultation_8</t>
  </si>
  <si>
    <r>
      <t xml:space="preserve">mobile_relative_consultation_8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</si>
  <si>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モバイル相対相談承認条件9</t>
  </si>
  <si>
    <t>mobile_relative_consultation_9</t>
  </si>
  <si>
    <r>
      <t xml:space="preserve">mobile_relative_consultation_9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</si>
  <si>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モバイル相対相談承認条件10</t>
  </si>
  <si>
    <t>mobile_relative_consultation_10</t>
  </si>
  <si>
    <r>
      <t xml:space="preserve">mobile_relative_consultation_10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</si>
  <si>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モバイル相対相談承認条件11</t>
  </si>
  <si>
    <t>mobile_relative_consultation_11</t>
  </si>
  <si>
    <r>
      <t xml:space="preserve">mobile_relative_consultation_11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</si>
  <si>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モバイル相対相談承認条件12</t>
  </si>
  <si>
    <t>mobile_relative_consultation_12</t>
  </si>
  <si>
    <r>
      <t xml:space="preserve">mobile_relative_consultation_12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</si>
  <si>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モバイル相対相談承認条件13</t>
  </si>
  <si>
    <t>mobile_relative_consultation_13</t>
  </si>
  <si>
    <r>
      <t xml:space="preserve">mobile_relative_consultation_13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</si>
  <si>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モバイル相対相談承認条件14</t>
  </si>
  <si>
    <t>mobile_relative_consultation_14</t>
  </si>
  <si>
    <r>
      <t xml:space="preserve">mobile_relative_consultation_14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</si>
  <si>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モバイル相対相談承認条件15</t>
  </si>
  <si>
    <t>mobile_relative_consultation_15</t>
  </si>
  <si>
    <r>
      <t xml:space="preserve">mobile_relative_consultation_15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</si>
  <si>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モバイル相対相談承認条件16</t>
  </si>
  <si>
    <t>mobile_relative_consultation_16</t>
  </si>
  <si>
    <r>
      <t xml:space="preserve">mobile_relative_consultation_16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</si>
  <si>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契約化必須条件1_1</t>
  </si>
  <si>
    <t>contractual_condition_1_1</t>
  </si>
  <si>
    <r>
      <t xml:space="preserve">contractual_condition_1_1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</si>
  <si>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契約化必須条件1_2</t>
  </si>
  <si>
    <t>contractual_condition_1_2</t>
  </si>
  <si>
    <r>
      <t xml:space="preserve">contractual_condition_1_2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</si>
  <si>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契約化必須条件2_1</t>
  </si>
  <si>
    <t>contractual_condition_2_1</t>
  </si>
  <si>
    <r>
      <t xml:space="preserve">contractual_condition_2_1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</si>
  <si>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t>契約化必須条件2_2</t>
  </si>
  <si>
    <t>contractual_condition_2_2</t>
  </si>
  <si>
    <r>
      <t xml:space="preserve">contractual_condition_2_2 </t>
    </r>
    <r>
      <rPr>
        <b/>
        <sz val="10"/>
        <color rgb="FF0080FF"/>
        <rFont val="Consolas"/>
        <family val="3"/>
      </rPr>
      <t>VARCHAR</t>
    </r>
    <r>
      <rPr>
        <b/>
        <sz val="10"/>
        <color rgb="FF808080"/>
        <rFont val="Consolas"/>
        <family val="3"/>
      </rPr>
      <t>(</t>
    </r>
    <r>
      <rPr>
        <b/>
        <sz val="10"/>
        <color rgb="FFFF2800"/>
        <rFont val="Consolas"/>
        <family val="3"/>
      </rPr>
      <t>12000</t>
    </r>
    <r>
      <rPr>
        <b/>
        <sz val="10"/>
        <color rgb="FF808080"/>
        <rFont val="Consolas"/>
        <family val="3"/>
      </rPr>
      <t>),</t>
    </r>
  </si>
  <si>
    <r>
      <t>CONSTRAINT</t>
    </r>
    <r>
      <rPr>
        <b/>
        <sz val="10"/>
        <color theme="1"/>
        <rFont val="Consolas"/>
        <family val="3"/>
      </rPr>
      <t xml:space="preserve"> pk_summit_approval_basic </t>
    </r>
    <r>
      <rPr>
        <b/>
        <sz val="10"/>
        <color rgb="FF0080FF"/>
        <rFont val="Consolas"/>
        <family val="3"/>
      </rPr>
      <t>PRIMARY</t>
    </r>
    <r>
      <rPr>
        <b/>
        <sz val="10"/>
        <color theme="1"/>
        <rFont val="Consolas"/>
        <family val="3"/>
      </rPr>
      <t xml:space="preserve"> </t>
    </r>
    <r>
      <rPr>
        <b/>
        <sz val="10"/>
        <color rgb="FF0080FF"/>
        <rFont val="Consolas"/>
        <family val="3"/>
      </rPr>
      <t>KEY</t>
    </r>
    <r>
      <rPr>
        <b/>
        <sz val="10"/>
        <color theme="1"/>
        <rFont val="Consolas"/>
        <family val="3"/>
      </rPr>
      <t xml:space="preserve"> </t>
    </r>
    <r>
      <rPr>
        <b/>
        <sz val="10"/>
        <color rgb="FF808080"/>
        <rFont val="Consolas"/>
        <family val="3"/>
      </rPr>
      <t>(</t>
    </r>
    <r>
      <rPr>
        <b/>
        <sz val="10"/>
        <color theme="1"/>
        <rFont val="Consolas"/>
        <family val="3"/>
      </rPr>
      <t>id</t>
    </r>
    <r>
      <rPr>
        <b/>
        <sz val="10"/>
        <color rgb="FF808080"/>
        <rFont val="Consolas"/>
        <family val="3"/>
      </rPr>
      <t>));</t>
    </r>
    <r>
      <rPr>
        <b/>
        <sz val="10"/>
        <color theme="1"/>
        <rFont val="Consolas"/>
        <family val="3"/>
      </rPr>
      <t xml:space="preserve"> </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</si>
  <si>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TABLE</t>
    </r>
    <r>
      <rPr>
        <b/>
        <sz val="10"/>
        <color theme="1"/>
        <rFont val="Consolas"/>
        <family val="3"/>
      </rPr>
      <t xml:space="preserve"> summit_approval_basic </t>
    </r>
    <r>
      <rPr>
        <b/>
        <sz val="10"/>
        <color rgb="FF0080FF"/>
        <rFont val="Consolas"/>
        <family val="3"/>
      </rPr>
      <t>IS</t>
    </r>
    <r>
      <rPr>
        <b/>
        <sz val="10"/>
        <color theme="1"/>
        <rFont val="Consolas"/>
        <family val="3"/>
      </rPr>
      <t xml:space="preserve"> </t>
    </r>
    <r>
      <rPr>
        <b/>
        <sz val="10"/>
        <color rgb="FFFF2800"/>
        <rFont val="Consolas"/>
        <family val="3"/>
      </rPr>
      <t>'b_hjn_smt_問い合わせツール_決裁_基本_補足'</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</si>
  <si>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id </t>
    </r>
    <r>
      <rPr>
        <b/>
        <sz val="10"/>
        <color rgb="FF0080FF"/>
        <rFont val="Consolas"/>
        <family val="3"/>
      </rPr>
      <t>IS</t>
    </r>
    <r>
      <rPr>
        <b/>
        <sz val="10"/>
        <color theme="1"/>
        <rFont val="Consolas"/>
        <family val="3"/>
      </rPr>
      <t xml:space="preserve"> </t>
    </r>
    <r>
      <rPr>
        <b/>
        <sz val="10"/>
        <color rgb="FFFF2800"/>
        <rFont val="Consolas"/>
        <family val="3"/>
      </rPr>
      <t>'id'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</si>
  <si>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approval_number </t>
    </r>
    <r>
      <rPr>
        <b/>
        <sz val="10"/>
        <color rgb="FF0080FF"/>
        <rFont val="Consolas"/>
        <family val="3"/>
      </rPr>
      <t>IS</t>
    </r>
    <r>
      <rPr>
        <b/>
        <sz val="10"/>
        <color theme="1"/>
        <rFont val="Consolas"/>
        <family val="3"/>
      </rPr>
      <t xml:space="preserve"> </t>
    </r>
    <r>
      <rPr>
        <b/>
        <sz val="10"/>
        <color rgb="FFFF2800"/>
        <rFont val="Consolas"/>
        <family val="3"/>
      </rPr>
      <t>'決裁番号'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</si>
  <si>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status_name </t>
    </r>
    <r>
      <rPr>
        <b/>
        <sz val="10"/>
        <color rgb="FF0080FF"/>
        <rFont val="Consolas"/>
        <family val="3"/>
      </rPr>
      <t>IS</t>
    </r>
    <r>
      <rPr>
        <b/>
        <sz val="10"/>
        <color theme="1"/>
        <rFont val="Consolas"/>
        <family val="3"/>
      </rPr>
      <t xml:space="preserve"> </t>
    </r>
    <r>
      <rPr>
        <b/>
        <sz val="10"/>
        <color rgb="FFFF2800"/>
        <rFont val="Consolas"/>
        <family val="3"/>
      </rPr>
      <t>'ステータス名'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</si>
  <si>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node_name </t>
    </r>
    <r>
      <rPr>
        <b/>
        <sz val="10"/>
        <color rgb="FF0080FF"/>
        <rFont val="Consolas"/>
        <family val="3"/>
      </rPr>
      <t>IS</t>
    </r>
    <r>
      <rPr>
        <b/>
        <sz val="10"/>
        <color theme="1"/>
        <rFont val="Consolas"/>
        <family val="3"/>
      </rPr>
      <t xml:space="preserve"> </t>
    </r>
    <r>
      <rPr>
        <b/>
        <sz val="10"/>
        <color rgb="FFFF2800"/>
        <rFont val="Consolas"/>
        <family val="3"/>
      </rPr>
      <t>'ノード名'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</si>
  <si>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date_and_time_of_proposal </t>
    </r>
    <r>
      <rPr>
        <b/>
        <sz val="10"/>
        <color rgb="FF0080FF"/>
        <rFont val="Consolas"/>
        <family val="3"/>
      </rPr>
      <t>IS</t>
    </r>
    <r>
      <rPr>
        <b/>
        <sz val="10"/>
        <color theme="1"/>
        <rFont val="Consolas"/>
        <family val="3"/>
      </rPr>
      <t xml:space="preserve"> </t>
    </r>
    <r>
      <rPr>
        <b/>
        <sz val="10"/>
        <color rgb="FFFF2800"/>
        <rFont val="Consolas"/>
        <family val="3"/>
      </rPr>
      <t>'起案日時'</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</si>
  <si>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date_and_time_of_application </t>
    </r>
    <r>
      <rPr>
        <b/>
        <sz val="10"/>
        <color rgb="FF0080FF"/>
        <rFont val="Consolas"/>
        <family val="3"/>
      </rPr>
      <t>IS</t>
    </r>
    <r>
      <rPr>
        <b/>
        <sz val="10"/>
        <color theme="1"/>
        <rFont val="Consolas"/>
        <family val="3"/>
      </rPr>
      <t xml:space="preserve"> </t>
    </r>
    <r>
      <rPr>
        <b/>
        <sz val="10"/>
        <color rgb="FFFF2800"/>
        <rFont val="Consolas"/>
        <family val="3"/>
      </rPr>
      <t>'申請日時'</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</si>
  <si>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date_and_time_of_final_processing </t>
    </r>
    <r>
      <rPr>
        <b/>
        <sz val="10"/>
        <color rgb="FF0080FF"/>
        <rFont val="Consolas"/>
        <family val="3"/>
      </rPr>
      <t>IS</t>
    </r>
    <r>
      <rPr>
        <b/>
        <sz val="10"/>
        <color theme="1"/>
        <rFont val="Consolas"/>
        <family val="3"/>
      </rPr>
      <t xml:space="preserve"> </t>
    </r>
    <r>
      <rPr>
        <b/>
        <sz val="10"/>
        <color rgb="FFFF2800"/>
        <rFont val="Consolas"/>
        <family val="3"/>
      </rPr>
      <t>'最終処理日時'</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</si>
  <si>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approval_date </t>
    </r>
    <r>
      <rPr>
        <b/>
        <sz val="10"/>
        <color rgb="FF0080FF"/>
        <rFont val="Consolas"/>
        <family val="3"/>
      </rPr>
      <t>IS</t>
    </r>
    <r>
      <rPr>
        <b/>
        <sz val="10"/>
        <color theme="1"/>
        <rFont val="Consolas"/>
        <family val="3"/>
      </rPr>
      <t xml:space="preserve"> </t>
    </r>
    <r>
      <rPr>
        <b/>
        <sz val="10"/>
        <color rgb="FFFF2800"/>
        <rFont val="Consolas"/>
        <family val="3"/>
      </rPr>
      <t>'決裁日'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</si>
  <si>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approval_type </t>
    </r>
    <r>
      <rPr>
        <b/>
        <sz val="10"/>
        <color rgb="FF0080FF"/>
        <rFont val="Consolas"/>
        <family val="3"/>
      </rPr>
      <t>IS</t>
    </r>
    <r>
      <rPr>
        <b/>
        <sz val="10"/>
        <color theme="1"/>
        <rFont val="Consolas"/>
        <family val="3"/>
      </rPr>
      <t xml:space="preserve"> </t>
    </r>
    <r>
      <rPr>
        <b/>
        <sz val="10"/>
        <color rgb="FFFF2800"/>
        <rFont val="Consolas"/>
        <family val="3"/>
      </rPr>
      <t>'決裁種別'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</si>
  <si>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business_category </t>
    </r>
    <r>
      <rPr>
        <b/>
        <sz val="10"/>
        <color rgb="FF0080FF"/>
        <rFont val="Consolas"/>
        <family val="3"/>
      </rPr>
      <t>IS</t>
    </r>
    <r>
      <rPr>
        <b/>
        <sz val="10"/>
        <color theme="1"/>
        <rFont val="Consolas"/>
        <family val="3"/>
      </rPr>
      <t xml:space="preserve"> </t>
    </r>
    <r>
      <rPr>
        <b/>
        <sz val="10"/>
        <color rgb="FFFF2800"/>
        <rFont val="Consolas"/>
        <family val="3"/>
      </rPr>
      <t>'事業区分'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</si>
  <si>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approval_content </t>
    </r>
    <r>
      <rPr>
        <b/>
        <sz val="10"/>
        <color rgb="FF0080FF"/>
        <rFont val="Consolas"/>
        <family val="3"/>
      </rPr>
      <t>IS</t>
    </r>
    <r>
      <rPr>
        <b/>
        <sz val="10"/>
        <color theme="1"/>
        <rFont val="Consolas"/>
        <family val="3"/>
      </rPr>
      <t xml:space="preserve"> </t>
    </r>
    <r>
      <rPr>
        <b/>
        <sz val="10"/>
        <color rgb="FFFF2800"/>
        <rFont val="Consolas"/>
        <family val="3"/>
      </rPr>
      <t>'決裁内容'</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</si>
  <si>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approval_subject </t>
    </r>
    <r>
      <rPr>
        <b/>
        <sz val="10"/>
        <color rgb="FF0080FF"/>
        <rFont val="Consolas"/>
        <family val="3"/>
      </rPr>
      <t>IS</t>
    </r>
    <r>
      <rPr>
        <b/>
        <sz val="10"/>
        <color theme="1"/>
        <rFont val="Consolas"/>
        <family val="3"/>
      </rPr>
      <t xml:space="preserve"> </t>
    </r>
    <r>
      <rPr>
        <b/>
        <sz val="10"/>
        <color rgb="FFFF2800"/>
        <rFont val="Consolas"/>
        <family val="3"/>
      </rPr>
      <t>'決裁件名'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</si>
  <si>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name_of_proposer </t>
    </r>
    <r>
      <rPr>
        <b/>
        <sz val="10"/>
        <color rgb="FF0080FF"/>
        <rFont val="Consolas"/>
        <family val="3"/>
      </rPr>
      <t>IS</t>
    </r>
    <r>
      <rPr>
        <b/>
        <sz val="10"/>
        <color theme="1"/>
        <rFont val="Consolas"/>
        <family val="3"/>
      </rPr>
      <t xml:space="preserve"> </t>
    </r>
    <r>
      <rPr>
        <b/>
        <sz val="10"/>
        <color rgb="FFFF2800"/>
        <rFont val="Consolas"/>
        <family val="3"/>
      </rPr>
      <t>'起案者名'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</si>
  <si>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name_of_proposer_department </t>
    </r>
    <r>
      <rPr>
        <b/>
        <sz val="10"/>
        <color rgb="FF0080FF"/>
        <rFont val="Consolas"/>
        <family val="3"/>
      </rPr>
      <t>IS</t>
    </r>
    <r>
      <rPr>
        <b/>
        <sz val="10"/>
        <color theme="1"/>
        <rFont val="Consolas"/>
        <family val="3"/>
      </rPr>
      <t xml:space="preserve"> </t>
    </r>
    <r>
      <rPr>
        <b/>
        <sz val="10"/>
        <color rgb="FFFF2800"/>
        <rFont val="Consolas"/>
        <family val="3"/>
      </rPr>
      <t>'起案者_所属部署'</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</si>
  <si>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name_of_proposer_phone_number </t>
    </r>
    <r>
      <rPr>
        <b/>
        <sz val="10"/>
        <color rgb="FF0080FF"/>
        <rFont val="Consolas"/>
        <family val="3"/>
      </rPr>
      <t>IS</t>
    </r>
    <r>
      <rPr>
        <b/>
        <sz val="10"/>
        <color theme="1"/>
        <rFont val="Consolas"/>
        <family val="3"/>
      </rPr>
      <t xml:space="preserve"> </t>
    </r>
    <r>
      <rPr>
        <b/>
        <sz val="10"/>
        <color rgb="FFFF2800"/>
        <rFont val="Consolas"/>
        <family val="3"/>
      </rPr>
      <t>'起案者_電話番号'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</si>
  <si>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name_of_person_in_charge </t>
    </r>
    <r>
      <rPr>
        <b/>
        <sz val="10"/>
        <color rgb="FF0080FF"/>
        <rFont val="Consolas"/>
        <family val="3"/>
      </rPr>
      <t>IS</t>
    </r>
    <r>
      <rPr>
        <b/>
        <sz val="10"/>
        <color theme="1"/>
        <rFont val="Consolas"/>
        <family val="3"/>
      </rPr>
      <t xml:space="preserve"> </t>
    </r>
    <r>
      <rPr>
        <b/>
        <sz val="10"/>
        <color rgb="FFFF2800"/>
        <rFont val="Consolas"/>
        <family val="3"/>
      </rPr>
      <t>'担当者名'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</si>
  <si>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name_of_person_in_charge_department </t>
    </r>
    <r>
      <rPr>
        <b/>
        <sz val="10"/>
        <color rgb="FF0080FF"/>
        <rFont val="Consolas"/>
        <family val="3"/>
      </rPr>
      <t>IS</t>
    </r>
    <r>
      <rPr>
        <b/>
        <sz val="10"/>
        <color theme="1"/>
        <rFont val="Consolas"/>
        <family val="3"/>
      </rPr>
      <t xml:space="preserve"> </t>
    </r>
    <r>
      <rPr>
        <b/>
        <sz val="10"/>
        <color rgb="FFFF2800"/>
        <rFont val="Consolas"/>
        <family val="3"/>
      </rPr>
      <t>'担当者_所属部署'</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</si>
  <si>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phone_number_of_person_in_charge </t>
    </r>
    <r>
      <rPr>
        <b/>
        <sz val="10"/>
        <color rgb="FF0080FF"/>
        <rFont val="Consolas"/>
        <family val="3"/>
      </rPr>
      <t>IS</t>
    </r>
    <r>
      <rPr>
        <b/>
        <sz val="10"/>
        <color theme="1"/>
        <rFont val="Consolas"/>
        <family val="3"/>
      </rPr>
      <t xml:space="preserve"> </t>
    </r>
    <r>
      <rPr>
        <b/>
        <sz val="10"/>
        <color rgb="FFFF2800"/>
        <rFont val="Consolas"/>
        <family val="3"/>
      </rPr>
      <t>'担当者_電話番号'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</si>
  <si>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company_name </t>
    </r>
    <r>
      <rPr>
        <b/>
        <sz val="10"/>
        <color rgb="FF0080FF"/>
        <rFont val="Consolas"/>
        <family val="3"/>
      </rPr>
      <t>IS</t>
    </r>
    <r>
      <rPr>
        <b/>
        <sz val="10"/>
        <color theme="1"/>
        <rFont val="Consolas"/>
        <family val="3"/>
      </rPr>
      <t xml:space="preserve"> </t>
    </r>
    <r>
      <rPr>
        <b/>
        <sz val="10"/>
        <color rgb="FFFF2800"/>
        <rFont val="Consolas"/>
        <family val="3"/>
      </rPr>
      <t>'企業名'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</si>
  <si>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uniform_company_code </t>
    </r>
    <r>
      <rPr>
        <b/>
        <sz val="10"/>
        <color rgb="FF0080FF"/>
        <rFont val="Consolas"/>
        <family val="3"/>
      </rPr>
      <t>IS</t>
    </r>
    <r>
      <rPr>
        <b/>
        <sz val="10"/>
        <color theme="1"/>
        <rFont val="Consolas"/>
        <family val="3"/>
      </rPr>
      <t xml:space="preserve"> </t>
    </r>
    <r>
      <rPr>
        <b/>
        <sz val="10"/>
        <color rgb="FFFF2800"/>
        <rFont val="Consolas"/>
        <family val="3"/>
      </rPr>
      <t>'統一企業コード'</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</si>
  <si>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head_office_address </t>
    </r>
    <r>
      <rPr>
        <b/>
        <sz val="10"/>
        <color rgb="FF0080FF"/>
        <rFont val="Consolas"/>
        <family val="3"/>
      </rPr>
      <t>IS</t>
    </r>
    <r>
      <rPr>
        <b/>
        <sz val="10"/>
        <color theme="1"/>
        <rFont val="Consolas"/>
        <family val="3"/>
      </rPr>
      <t xml:space="preserve"> </t>
    </r>
    <r>
      <rPr>
        <b/>
        <sz val="10"/>
        <color rgb="FFFF2800"/>
        <rFont val="Consolas"/>
        <family val="3"/>
      </rPr>
      <t>'本社住所'</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</si>
  <si>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tsr_rating </t>
    </r>
    <r>
      <rPr>
        <b/>
        <sz val="10"/>
        <color rgb="FF0080FF"/>
        <rFont val="Consolas"/>
        <family val="3"/>
      </rPr>
      <t>IS</t>
    </r>
    <r>
      <rPr>
        <b/>
        <sz val="10"/>
        <color theme="1"/>
        <rFont val="Consolas"/>
        <family val="3"/>
      </rPr>
      <t xml:space="preserve"> </t>
    </r>
    <r>
      <rPr>
        <b/>
        <sz val="10"/>
        <color rgb="FFFF2800"/>
        <rFont val="Consolas"/>
        <family val="3"/>
      </rPr>
      <t>'tsr評点'</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</si>
  <si>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sfa_case_name </t>
    </r>
    <r>
      <rPr>
        <b/>
        <sz val="10"/>
        <color rgb="FF0080FF"/>
        <rFont val="Consolas"/>
        <family val="3"/>
      </rPr>
      <t>IS</t>
    </r>
    <r>
      <rPr>
        <b/>
        <sz val="10"/>
        <color theme="1"/>
        <rFont val="Consolas"/>
        <family val="3"/>
      </rPr>
      <t xml:space="preserve"> </t>
    </r>
    <r>
      <rPr>
        <b/>
        <sz val="10"/>
        <color rgb="FFFF2800"/>
        <rFont val="Consolas"/>
        <family val="3"/>
      </rPr>
      <t>'sfa案件名'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</si>
  <si>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sfa_case_id </t>
    </r>
    <r>
      <rPr>
        <b/>
        <sz val="10"/>
        <color rgb="FF0080FF"/>
        <rFont val="Consolas"/>
        <family val="3"/>
      </rPr>
      <t>IS</t>
    </r>
    <r>
      <rPr>
        <b/>
        <sz val="10"/>
        <color theme="1"/>
        <rFont val="Consolas"/>
        <family val="3"/>
      </rPr>
      <t xml:space="preserve"> </t>
    </r>
    <r>
      <rPr>
        <b/>
        <sz val="10"/>
        <color rgb="FFFF2800"/>
        <rFont val="Consolas"/>
        <family val="3"/>
      </rPr>
      <t>'sfa案件id'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</si>
  <si>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recovery_case </t>
    </r>
    <r>
      <rPr>
        <b/>
        <sz val="10"/>
        <color rgb="FF0080FF"/>
        <rFont val="Consolas"/>
        <family val="3"/>
      </rPr>
      <t>IS</t>
    </r>
    <r>
      <rPr>
        <b/>
        <sz val="10"/>
        <color theme="1"/>
        <rFont val="Consolas"/>
        <family val="3"/>
      </rPr>
      <t xml:space="preserve"> </t>
    </r>
    <r>
      <rPr>
        <b/>
        <sz val="10"/>
        <color rgb="FFFF2800"/>
        <rFont val="Consolas"/>
        <family val="3"/>
      </rPr>
      <t>'リカバリー対応案件'</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</si>
  <si>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approval_validity_period_months </t>
    </r>
    <r>
      <rPr>
        <b/>
        <sz val="10"/>
        <color rgb="FF0080FF"/>
        <rFont val="Consolas"/>
        <family val="3"/>
      </rPr>
      <t>IS</t>
    </r>
    <r>
      <rPr>
        <b/>
        <sz val="10"/>
        <color theme="1"/>
        <rFont val="Consolas"/>
        <family val="3"/>
      </rPr>
      <t xml:space="preserve"> </t>
    </r>
    <r>
      <rPr>
        <b/>
        <sz val="10"/>
        <color rgb="FFFF2800"/>
        <rFont val="Consolas"/>
        <family val="3"/>
      </rPr>
      <t>'決裁書有効期間_ヶ月'</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</si>
  <si>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approval_validity_period_from </t>
    </r>
    <r>
      <rPr>
        <b/>
        <sz val="10"/>
        <color rgb="FF0080FF"/>
        <rFont val="Consolas"/>
        <family val="3"/>
      </rPr>
      <t>IS</t>
    </r>
    <r>
      <rPr>
        <b/>
        <sz val="10"/>
        <color theme="1"/>
        <rFont val="Consolas"/>
        <family val="3"/>
      </rPr>
      <t xml:space="preserve"> </t>
    </r>
    <r>
      <rPr>
        <b/>
        <sz val="10"/>
        <color rgb="FFFF2800"/>
        <rFont val="Consolas"/>
        <family val="3"/>
      </rPr>
      <t>'決裁書有効期間_from'</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</si>
  <si>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approval_validity_period_to </t>
    </r>
    <r>
      <rPr>
        <b/>
        <sz val="10"/>
        <color rgb="FF0080FF"/>
        <rFont val="Consolas"/>
        <family val="3"/>
      </rPr>
      <t>IS</t>
    </r>
    <r>
      <rPr>
        <b/>
        <sz val="10"/>
        <color theme="1"/>
        <rFont val="Consolas"/>
        <family val="3"/>
      </rPr>
      <t xml:space="preserve"> </t>
    </r>
    <r>
      <rPr>
        <b/>
        <sz val="10"/>
        <color rgb="FFFF2800"/>
        <rFont val="Consolas"/>
        <family val="3"/>
      </rPr>
      <t>'決裁書有効期間_to'</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</si>
  <si>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data_application_form </t>
    </r>
    <r>
      <rPr>
        <b/>
        <sz val="10"/>
        <color rgb="FF0080FF"/>
        <rFont val="Consolas"/>
        <family val="3"/>
      </rPr>
      <t>IS</t>
    </r>
    <r>
      <rPr>
        <b/>
        <sz val="10"/>
        <color theme="1"/>
        <rFont val="Consolas"/>
        <family val="3"/>
      </rPr>
      <t xml:space="preserve"> </t>
    </r>
    <r>
      <rPr>
        <b/>
        <sz val="10"/>
        <color rgb="FFFF2800"/>
        <rFont val="Consolas"/>
        <family val="3"/>
      </rPr>
      <t>'データ系申込書'</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</si>
  <si>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credit_alert </t>
    </r>
    <r>
      <rPr>
        <b/>
        <sz val="10"/>
        <color rgb="FF0080FF"/>
        <rFont val="Consolas"/>
        <family val="3"/>
      </rPr>
      <t>IS</t>
    </r>
    <r>
      <rPr>
        <b/>
        <sz val="10"/>
        <color theme="1"/>
        <rFont val="Consolas"/>
        <family val="3"/>
      </rPr>
      <t xml:space="preserve"> </t>
    </r>
    <r>
      <rPr>
        <b/>
        <sz val="10"/>
        <color rgb="FFFF2800"/>
        <rFont val="Consolas"/>
        <family val="3"/>
      </rPr>
      <t>'与信アラート'</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</si>
  <si>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sales_channel </t>
    </r>
    <r>
      <rPr>
        <b/>
        <sz val="10"/>
        <color rgb="FF0080FF"/>
        <rFont val="Consolas"/>
        <family val="3"/>
      </rPr>
      <t>IS</t>
    </r>
    <r>
      <rPr>
        <b/>
        <sz val="10"/>
        <color theme="1"/>
        <rFont val="Consolas"/>
        <family val="3"/>
      </rPr>
      <t xml:space="preserve"> </t>
    </r>
    <r>
      <rPr>
        <b/>
        <sz val="10"/>
        <color rgb="FFFF2800"/>
        <rFont val="Consolas"/>
        <family val="3"/>
      </rPr>
      <t>'販路'</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</si>
  <si>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legal_personal_classification </t>
    </r>
    <r>
      <rPr>
        <b/>
        <sz val="10"/>
        <color rgb="FF0080FF"/>
        <rFont val="Consolas"/>
        <family val="3"/>
      </rPr>
      <t>IS</t>
    </r>
    <r>
      <rPr>
        <b/>
        <sz val="10"/>
        <color theme="1"/>
        <rFont val="Consolas"/>
        <family val="3"/>
      </rPr>
      <t xml:space="preserve"> </t>
    </r>
    <r>
      <rPr>
        <b/>
        <sz val="10"/>
        <color rgb="FFFF2800"/>
        <rFont val="Consolas"/>
        <family val="3"/>
      </rPr>
      <t>'法個人区分'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</si>
  <si>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billing_form </t>
    </r>
    <r>
      <rPr>
        <b/>
        <sz val="10"/>
        <color rgb="FF0080FF"/>
        <rFont val="Consolas"/>
        <family val="3"/>
      </rPr>
      <t>IS</t>
    </r>
    <r>
      <rPr>
        <b/>
        <sz val="10"/>
        <color theme="1"/>
        <rFont val="Consolas"/>
        <family val="3"/>
      </rPr>
      <t xml:space="preserve"> </t>
    </r>
    <r>
      <rPr>
        <b/>
        <sz val="10"/>
        <color rgb="FFFF2800"/>
        <rFont val="Consolas"/>
        <family val="3"/>
      </rPr>
      <t>'請求形態'</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</si>
  <si>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whether_credit_review_has_been_conducted </t>
    </r>
    <r>
      <rPr>
        <b/>
        <sz val="10"/>
        <color rgb="FF0080FF"/>
        <rFont val="Consolas"/>
        <family val="3"/>
      </rPr>
      <t>IS</t>
    </r>
    <r>
      <rPr>
        <b/>
        <sz val="10"/>
        <color theme="1"/>
        <rFont val="Consolas"/>
        <family val="3"/>
      </rPr>
      <t xml:space="preserve"> </t>
    </r>
    <r>
      <rPr>
        <b/>
        <sz val="10"/>
        <color rgb="FFFF2800"/>
        <rFont val="Consolas"/>
        <family val="3"/>
      </rPr>
      <t>'与信審査実施有無'</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</si>
  <si>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grant_credit_category </t>
    </r>
    <r>
      <rPr>
        <b/>
        <sz val="10"/>
        <color rgb="FF0080FF"/>
        <rFont val="Consolas"/>
        <family val="3"/>
      </rPr>
      <t>IS</t>
    </r>
    <r>
      <rPr>
        <b/>
        <sz val="10"/>
        <color theme="1"/>
        <rFont val="Consolas"/>
        <family val="3"/>
      </rPr>
      <t xml:space="preserve"> </t>
    </r>
    <r>
      <rPr>
        <b/>
        <sz val="10"/>
        <color rgb="FFFF2800"/>
        <rFont val="Consolas"/>
        <family val="3"/>
      </rPr>
      <t>'与信区分'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</si>
  <si>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credit_number </t>
    </r>
    <r>
      <rPr>
        <b/>
        <sz val="10"/>
        <color rgb="FF0080FF"/>
        <rFont val="Consolas"/>
        <family val="3"/>
      </rPr>
      <t>IS</t>
    </r>
    <r>
      <rPr>
        <b/>
        <sz val="10"/>
        <color theme="1"/>
        <rFont val="Consolas"/>
        <family val="3"/>
      </rPr>
      <t xml:space="preserve"> </t>
    </r>
    <r>
      <rPr>
        <b/>
        <sz val="10"/>
        <color rgb="FFFF2800"/>
        <rFont val="Consolas"/>
        <family val="3"/>
      </rPr>
      <t>'与信番号'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</si>
  <si>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whether_legal_pre_review_has_been_conducted </t>
    </r>
    <r>
      <rPr>
        <b/>
        <sz val="10"/>
        <color rgb="FF0080FF"/>
        <rFont val="Consolas"/>
        <family val="3"/>
      </rPr>
      <t>IS</t>
    </r>
    <r>
      <rPr>
        <b/>
        <sz val="10"/>
        <color theme="1"/>
        <rFont val="Consolas"/>
        <family val="3"/>
      </rPr>
      <t xml:space="preserve"> </t>
    </r>
    <r>
      <rPr>
        <b/>
        <sz val="10"/>
        <color rgb="FFFF2800"/>
        <rFont val="Consolas"/>
        <family val="3"/>
      </rPr>
      <t>'法務事前審査実施有無'</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</si>
  <si>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legal_review_number </t>
    </r>
    <r>
      <rPr>
        <b/>
        <sz val="10"/>
        <color rgb="FF0080FF"/>
        <rFont val="Consolas"/>
        <family val="3"/>
      </rPr>
      <t>IS</t>
    </r>
    <r>
      <rPr>
        <b/>
        <sz val="10"/>
        <color theme="1"/>
        <rFont val="Consolas"/>
        <family val="3"/>
      </rPr>
      <t xml:space="preserve"> </t>
    </r>
    <r>
      <rPr>
        <b/>
        <sz val="10"/>
        <color rgb="FFFF2800"/>
        <rFont val="Consolas"/>
        <family val="3"/>
      </rPr>
      <t>'法務審査番号'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</si>
  <si>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re_approval_draft_flag </t>
    </r>
    <r>
      <rPr>
        <b/>
        <sz val="10"/>
        <color rgb="FF0080FF"/>
        <rFont val="Consolas"/>
        <family val="3"/>
      </rPr>
      <t>IS</t>
    </r>
    <r>
      <rPr>
        <b/>
        <sz val="10"/>
        <color theme="1"/>
        <rFont val="Consolas"/>
        <family val="3"/>
      </rPr>
      <t xml:space="preserve"> </t>
    </r>
    <r>
      <rPr>
        <b/>
        <sz val="10"/>
        <color rgb="FFFF2800"/>
        <rFont val="Consolas"/>
        <family val="3"/>
      </rPr>
      <t>'再決裁_起案フラグ'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</si>
  <si>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service_type </t>
    </r>
    <r>
      <rPr>
        <b/>
        <sz val="10"/>
        <color rgb="FF0080FF"/>
        <rFont val="Consolas"/>
        <family val="3"/>
      </rPr>
      <t>IS</t>
    </r>
    <r>
      <rPr>
        <b/>
        <sz val="10"/>
        <color theme="1"/>
        <rFont val="Consolas"/>
        <family val="3"/>
      </rPr>
      <t xml:space="preserve"> </t>
    </r>
    <r>
      <rPr>
        <b/>
        <sz val="10"/>
        <color rgb="FFFF2800"/>
        <rFont val="Consolas"/>
        <family val="3"/>
      </rPr>
      <t>'サービス種別'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</si>
  <si>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service_type_sub </t>
    </r>
    <r>
      <rPr>
        <b/>
        <sz val="10"/>
        <color rgb="FF0080FF"/>
        <rFont val="Consolas"/>
        <family val="3"/>
      </rPr>
      <t>IS</t>
    </r>
    <r>
      <rPr>
        <b/>
        <sz val="10"/>
        <color theme="1"/>
        <rFont val="Consolas"/>
        <family val="3"/>
      </rPr>
      <t xml:space="preserve"> </t>
    </r>
    <r>
      <rPr>
        <b/>
        <sz val="10"/>
        <color rgb="FFFF2800"/>
        <rFont val="Consolas"/>
        <family val="3"/>
      </rPr>
      <t>'サービス種別_サブ'</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</si>
  <si>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scheduled_execution_date </t>
    </r>
    <r>
      <rPr>
        <b/>
        <sz val="10"/>
        <color rgb="FF0080FF"/>
        <rFont val="Consolas"/>
        <family val="3"/>
      </rPr>
      <t>IS</t>
    </r>
    <r>
      <rPr>
        <b/>
        <sz val="10"/>
        <color theme="1"/>
        <rFont val="Consolas"/>
        <family val="3"/>
      </rPr>
      <t xml:space="preserve"> </t>
    </r>
    <r>
      <rPr>
        <b/>
        <sz val="10"/>
        <color rgb="FFFF2800"/>
        <rFont val="Consolas"/>
        <family val="3"/>
      </rPr>
      <t>'実行予定日'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</si>
  <si>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post_approval_flag </t>
    </r>
    <r>
      <rPr>
        <b/>
        <sz val="10"/>
        <color rgb="FF0080FF"/>
        <rFont val="Consolas"/>
        <family val="3"/>
      </rPr>
      <t>IS</t>
    </r>
    <r>
      <rPr>
        <b/>
        <sz val="10"/>
        <color theme="1"/>
        <rFont val="Consolas"/>
        <family val="3"/>
      </rPr>
      <t xml:space="preserve"> </t>
    </r>
    <r>
      <rPr>
        <b/>
        <sz val="10"/>
        <color rgb="FFFF2800"/>
        <rFont val="Consolas"/>
        <family val="3"/>
      </rPr>
      <t>'事後決裁フラグ'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</si>
  <si>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approver </t>
    </r>
    <r>
      <rPr>
        <b/>
        <sz val="10"/>
        <color rgb="FF0080FF"/>
        <rFont val="Consolas"/>
        <family val="3"/>
      </rPr>
      <t>IS</t>
    </r>
    <r>
      <rPr>
        <b/>
        <sz val="10"/>
        <color theme="1"/>
        <rFont val="Consolas"/>
        <family val="3"/>
      </rPr>
      <t xml:space="preserve"> </t>
    </r>
    <r>
      <rPr>
        <b/>
        <sz val="10"/>
        <color rgb="FFFF2800"/>
        <rFont val="Consolas"/>
        <family val="3"/>
      </rPr>
      <t>'承認者'</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</si>
  <si>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recognition_date </t>
    </r>
    <r>
      <rPr>
        <b/>
        <sz val="10"/>
        <color rgb="FF0080FF"/>
        <rFont val="Consolas"/>
        <family val="3"/>
      </rPr>
      <t>IS</t>
    </r>
    <r>
      <rPr>
        <b/>
        <sz val="10"/>
        <color theme="1"/>
        <rFont val="Consolas"/>
        <family val="3"/>
      </rPr>
      <t xml:space="preserve"> </t>
    </r>
    <r>
      <rPr>
        <b/>
        <sz val="10"/>
        <color rgb="FFFF2800"/>
        <rFont val="Consolas"/>
        <family val="3"/>
      </rPr>
      <t>'承認年月日'</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</si>
  <si>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name_of_approved_person </t>
    </r>
    <r>
      <rPr>
        <b/>
        <sz val="10"/>
        <color rgb="FF0080FF"/>
        <rFont val="Consolas"/>
        <family val="3"/>
      </rPr>
      <t>IS</t>
    </r>
    <r>
      <rPr>
        <b/>
        <sz val="10"/>
        <color theme="1"/>
        <rFont val="Consolas"/>
        <family val="3"/>
      </rPr>
      <t xml:space="preserve"> </t>
    </r>
    <r>
      <rPr>
        <b/>
        <sz val="10"/>
        <color rgb="FFFF2800"/>
        <rFont val="Consolas"/>
        <family val="3"/>
      </rPr>
      <t>'承認を受けた者の氏名'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</si>
  <si>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approval_details </t>
    </r>
    <r>
      <rPr>
        <b/>
        <sz val="10"/>
        <color rgb="FF0080FF"/>
        <rFont val="Consolas"/>
        <family val="3"/>
      </rPr>
      <t>IS</t>
    </r>
    <r>
      <rPr>
        <b/>
        <sz val="10"/>
        <color theme="1"/>
        <rFont val="Consolas"/>
        <family val="3"/>
      </rPr>
      <t xml:space="preserve"> </t>
    </r>
    <r>
      <rPr>
        <b/>
        <sz val="10"/>
        <color rgb="FFFF2800"/>
        <rFont val="Consolas"/>
        <family val="3"/>
      </rPr>
      <t>'承認を受けた内容'</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</si>
  <si>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reason_for_post_approval </t>
    </r>
    <r>
      <rPr>
        <b/>
        <sz val="10"/>
        <color rgb="FF0080FF"/>
        <rFont val="Consolas"/>
        <family val="3"/>
      </rPr>
      <t>IS</t>
    </r>
    <r>
      <rPr>
        <b/>
        <sz val="10"/>
        <color theme="1"/>
        <rFont val="Consolas"/>
        <family val="3"/>
      </rPr>
      <t xml:space="preserve"> </t>
    </r>
    <r>
      <rPr>
        <b/>
        <sz val="10"/>
        <color rgb="FFFF2800"/>
        <rFont val="Consolas"/>
        <family val="3"/>
      </rPr>
      <t>'事後決裁となった理由'</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</si>
  <si>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springs_approval_number </t>
    </r>
    <r>
      <rPr>
        <b/>
        <sz val="10"/>
        <color rgb="FF0080FF"/>
        <rFont val="Consolas"/>
        <family val="3"/>
      </rPr>
      <t>IS</t>
    </r>
    <r>
      <rPr>
        <b/>
        <sz val="10"/>
        <color theme="1"/>
        <rFont val="Consolas"/>
        <family val="3"/>
      </rPr>
      <t xml:space="preserve"> </t>
    </r>
    <r>
      <rPr>
        <b/>
        <sz val="10"/>
        <color rgb="FFFF2800"/>
        <rFont val="Consolas"/>
        <family val="3"/>
      </rPr>
      <t>'springs決裁番号'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</si>
  <si>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mobile_consultation_number </t>
    </r>
    <r>
      <rPr>
        <b/>
        <sz val="10"/>
        <color rgb="FF0080FF"/>
        <rFont val="Consolas"/>
        <family val="3"/>
      </rPr>
      <t>IS</t>
    </r>
    <r>
      <rPr>
        <b/>
        <sz val="10"/>
        <color theme="1"/>
        <rFont val="Consolas"/>
        <family val="3"/>
      </rPr>
      <t xml:space="preserve"> </t>
    </r>
    <r>
      <rPr>
        <b/>
        <sz val="10"/>
        <color rgb="FFFF2800"/>
        <rFont val="Consolas"/>
        <family val="3"/>
      </rPr>
      <t>'モバイル相対相談番号'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</si>
  <si>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social_media_sales_quote_number </t>
    </r>
    <r>
      <rPr>
        <b/>
        <sz val="10"/>
        <color rgb="FF0080FF"/>
        <rFont val="Consolas"/>
        <family val="3"/>
      </rPr>
      <t>IS</t>
    </r>
    <r>
      <rPr>
        <b/>
        <sz val="10"/>
        <color theme="1"/>
        <rFont val="Consolas"/>
        <family val="3"/>
      </rPr>
      <t xml:space="preserve"> </t>
    </r>
    <r>
      <rPr>
        <b/>
        <sz val="10"/>
        <color rgb="FFFF2800"/>
        <rFont val="Consolas"/>
        <family val="3"/>
      </rPr>
      <t>'ソ販_見積番号'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</si>
  <si>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asset_db_number </t>
    </r>
    <r>
      <rPr>
        <b/>
        <sz val="10"/>
        <color rgb="FF0080FF"/>
        <rFont val="Consolas"/>
        <family val="3"/>
      </rPr>
      <t>IS</t>
    </r>
    <r>
      <rPr>
        <b/>
        <sz val="10"/>
        <color theme="1"/>
        <rFont val="Consolas"/>
        <family val="3"/>
      </rPr>
      <t xml:space="preserve"> </t>
    </r>
    <r>
      <rPr>
        <b/>
        <sz val="10"/>
        <color rgb="FFFF2800"/>
        <rFont val="Consolas"/>
        <family val="3"/>
      </rPr>
      <t>'アセットdb番号'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</si>
  <si>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information_source_aggregation_sheet </t>
    </r>
    <r>
      <rPr>
        <b/>
        <sz val="10"/>
        <color rgb="FF0080FF"/>
        <rFont val="Consolas"/>
        <family val="3"/>
      </rPr>
      <t>IS</t>
    </r>
    <r>
      <rPr>
        <b/>
        <sz val="10"/>
        <color theme="1"/>
        <rFont val="Consolas"/>
        <family val="3"/>
      </rPr>
      <t xml:space="preserve"> </t>
    </r>
    <r>
      <rPr>
        <b/>
        <sz val="10"/>
        <color rgb="FFFF2800"/>
        <rFont val="Consolas"/>
        <family val="3"/>
      </rPr>
      <t>'情報元集約シート'</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</si>
  <si>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estimate_sheet_number </t>
    </r>
    <r>
      <rPr>
        <b/>
        <sz val="10"/>
        <color rgb="FF0080FF"/>
        <rFont val="Consolas"/>
        <family val="3"/>
      </rPr>
      <t>IS</t>
    </r>
    <r>
      <rPr>
        <b/>
        <sz val="10"/>
        <color theme="1"/>
        <rFont val="Consolas"/>
        <family val="3"/>
      </rPr>
      <t xml:space="preserve"> </t>
    </r>
    <r>
      <rPr>
        <b/>
        <sz val="10"/>
        <color rgb="FFFF2800"/>
        <rFont val="Consolas"/>
        <family val="3"/>
      </rPr>
      <t>'試算シート番号'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</si>
  <si>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dee_application_no_pre_consultation_application </t>
    </r>
    <r>
      <rPr>
        <b/>
        <sz val="10"/>
        <color rgb="FF0080FF"/>
        <rFont val="Consolas"/>
        <family val="3"/>
      </rPr>
      <t>IS</t>
    </r>
    <r>
      <rPr>
        <b/>
        <sz val="10"/>
        <color theme="1"/>
        <rFont val="Consolas"/>
        <family val="3"/>
      </rPr>
      <t xml:space="preserve"> </t>
    </r>
    <r>
      <rPr>
        <b/>
        <sz val="10"/>
        <color rgb="FFFF2800"/>
        <rFont val="Consolas"/>
        <family val="3"/>
      </rPr>
      <t>'dee申請no_事前協議申請'</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</si>
  <si>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dee_application_no_application_form </t>
    </r>
    <r>
      <rPr>
        <b/>
        <sz val="10"/>
        <color rgb="FF0080FF"/>
        <rFont val="Consolas"/>
        <family val="3"/>
      </rPr>
      <t>IS</t>
    </r>
    <r>
      <rPr>
        <b/>
        <sz val="10"/>
        <color theme="1"/>
        <rFont val="Consolas"/>
        <family val="3"/>
      </rPr>
      <t xml:space="preserve"> </t>
    </r>
    <r>
      <rPr>
        <b/>
        <sz val="10"/>
        <color rgb="FFFF2800"/>
        <rFont val="Consolas"/>
        <family val="3"/>
      </rPr>
      <t>'dee申請番号_申請書'</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</si>
  <si>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attached_file_description_notes </t>
    </r>
    <r>
      <rPr>
        <b/>
        <sz val="10"/>
        <color rgb="FF0080FF"/>
        <rFont val="Consolas"/>
        <family val="3"/>
      </rPr>
      <t>IS</t>
    </r>
    <r>
      <rPr>
        <b/>
        <sz val="10"/>
        <color theme="1"/>
        <rFont val="Consolas"/>
        <family val="3"/>
      </rPr>
      <t xml:space="preserve"> </t>
    </r>
    <r>
      <rPr>
        <b/>
        <sz val="10"/>
        <color rgb="FFFF2800"/>
        <rFont val="Consolas"/>
        <family val="3"/>
      </rPr>
      <t>'添付file_説明_備考'</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</si>
  <si>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viewability </t>
    </r>
    <r>
      <rPr>
        <b/>
        <sz val="10"/>
        <color rgb="FF0080FF"/>
        <rFont val="Consolas"/>
        <family val="3"/>
      </rPr>
      <t>IS</t>
    </r>
    <r>
      <rPr>
        <b/>
        <sz val="10"/>
        <color theme="1"/>
        <rFont val="Consolas"/>
        <family val="3"/>
      </rPr>
      <t xml:space="preserve"> </t>
    </r>
    <r>
      <rPr>
        <b/>
        <sz val="10"/>
        <color rgb="FFFF2800"/>
        <rFont val="Consolas"/>
        <family val="3"/>
      </rPr>
      <t>'閲覧範囲'</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</si>
  <si>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notes </t>
    </r>
    <r>
      <rPr>
        <b/>
        <sz val="10"/>
        <color rgb="FF0080FF"/>
        <rFont val="Consolas"/>
        <family val="3"/>
      </rPr>
      <t>IS</t>
    </r>
    <r>
      <rPr>
        <b/>
        <sz val="10"/>
        <color theme="1"/>
        <rFont val="Consolas"/>
        <family val="3"/>
      </rPr>
      <t xml:space="preserve"> </t>
    </r>
    <r>
      <rPr>
        <b/>
        <sz val="10"/>
        <color rgb="FFFF2800"/>
        <rFont val="Consolas"/>
        <family val="3"/>
      </rPr>
      <t>'備考'</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</si>
  <si>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approver_determination_criteria </t>
    </r>
    <r>
      <rPr>
        <b/>
        <sz val="10"/>
        <color rgb="FF0080FF"/>
        <rFont val="Consolas"/>
        <family val="3"/>
      </rPr>
      <t>IS</t>
    </r>
    <r>
      <rPr>
        <b/>
        <sz val="10"/>
        <color theme="1"/>
        <rFont val="Consolas"/>
        <family val="3"/>
      </rPr>
      <t xml:space="preserve"> </t>
    </r>
    <r>
      <rPr>
        <b/>
        <sz val="10"/>
        <color rgb="FFFF2800"/>
        <rFont val="Consolas"/>
        <family val="3"/>
      </rPr>
      <t>'承認者判定条件'</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</si>
  <si>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consent_judgment_conditions </t>
    </r>
    <r>
      <rPr>
        <b/>
        <sz val="10"/>
        <color rgb="FF0080FF"/>
        <rFont val="Consolas"/>
        <family val="3"/>
      </rPr>
      <t>IS</t>
    </r>
    <r>
      <rPr>
        <b/>
        <sz val="10"/>
        <color theme="1"/>
        <rFont val="Consolas"/>
        <family val="3"/>
      </rPr>
      <t xml:space="preserve"> </t>
    </r>
    <r>
      <rPr>
        <b/>
        <sz val="10"/>
        <color rgb="FFFF2800"/>
        <rFont val="Consolas"/>
        <family val="3"/>
      </rPr>
      <t>'同意者判定条件'</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</si>
  <si>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agency_collaboration_conditions </t>
    </r>
    <r>
      <rPr>
        <b/>
        <sz val="10"/>
        <color rgb="FF0080FF"/>
        <rFont val="Consolas"/>
        <family val="3"/>
      </rPr>
      <t>IS</t>
    </r>
    <r>
      <rPr>
        <b/>
        <sz val="10"/>
        <color theme="1"/>
        <rFont val="Consolas"/>
        <family val="3"/>
      </rPr>
      <t xml:space="preserve"> </t>
    </r>
    <r>
      <rPr>
        <b/>
        <sz val="10"/>
        <color rgb="FFFF2800"/>
        <rFont val="Consolas"/>
        <family val="3"/>
      </rPr>
      <t>'代理店協業の条件'</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</si>
  <si>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borderline_payment_amount </t>
    </r>
    <r>
      <rPr>
        <b/>
        <sz val="10"/>
        <color rgb="FF0080FF"/>
        <rFont val="Consolas"/>
        <family val="3"/>
      </rPr>
      <t>IS</t>
    </r>
    <r>
      <rPr>
        <b/>
        <sz val="10"/>
        <color theme="1"/>
        <rFont val="Consolas"/>
        <family val="3"/>
      </rPr>
      <t xml:space="preserve"> </t>
    </r>
    <r>
      <rPr>
        <b/>
        <sz val="10"/>
        <color rgb="FFFF2800"/>
        <rFont val="Consolas"/>
        <family val="3"/>
      </rPr>
      <t>'水際支払金額'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</si>
  <si>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agency_approval_condition_1 </t>
    </r>
    <r>
      <rPr>
        <b/>
        <sz val="10"/>
        <color rgb="FF0080FF"/>
        <rFont val="Consolas"/>
        <family val="3"/>
      </rPr>
      <t>IS</t>
    </r>
    <r>
      <rPr>
        <b/>
        <sz val="10"/>
        <color theme="1"/>
        <rFont val="Consolas"/>
        <family val="3"/>
      </rPr>
      <t xml:space="preserve"> </t>
    </r>
    <r>
      <rPr>
        <b/>
        <sz val="10"/>
        <color rgb="FFFF2800"/>
        <rFont val="Consolas"/>
        <family val="3"/>
      </rPr>
      <t>'代理店決裁条件1'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</si>
  <si>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agency_approval_condition_2 </t>
    </r>
    <r>
      <rPr>
        <b/>
        <sz val="10"/>
        <color rgb="FF0080FF"/>
        <rFont val="Consolas"/>
        <family val="3"/>
      </rPr>
      <t>IS</t>
    </r>
    <r>
      <rPr>
        <b/>
        <sz val="10"/>
        <color theme="1"/>
        <rFont val="Consolas"/>
        <family val="3"/>
      </rPr>
      <t xml:space="preserve"> </t>
    </r>
    <r>
      <rPr>
        <b/>
        <sz val="10"/>
        <color rgb="FFFF2800"/>
        <rFont val="Consolas"/>
        <family val="3"/>
      </rPr>
      <t>'代理店決裁条件2'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</si>
  <si>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checking_flag </t>
    </r>
    <r>
      <rPr>
        <b/>
        <sz val="10"/>
        <color rgb="FF0080FF"/>
        <rFont val="Consolas"/>
        <family val="3"/>
      </rPr>
      <t>IS</t>
    </r>
    <r>
      <rPr>
        <b/>
        <sz val="10"/>
        <color theme="1"/>
        <rFont val="Consolas"/>
        <family val="3"/>
      </rPr>
      <t xml:space="preserve"> </t>
    </r>
    <r>
      <rPr>
        <b/>
        <sz val="10"/>
        <color rgb="FFFF2800"/>
        <rFont val="Consolas"/>
        <family val="3"/>
      </rPr>
      <t>'確認中フラグ'</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</si>
  <si>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confirmer_name </t>
    </r>
    <r>
      <rPr>
        <b/>
        <sz val="10"/>
        <color rgb="FF0080FF"/>
        <rFont val="Consolas"/>
        <family val="3"/>
      </rPr>
      <t>IS</t>
    </r>
    <r>
      <rPr>
        <b/>
        <sz val="10"/>
        <color theme="1"/>
        <rFont val="Consolas"/>
        <family val="3"/>
      </rPr>
      <t xml:space="preserve"> </t>
    </r>
    <r>
      <rPr>
        <b/>
        <sz val="10"/>
        <color rgb="FFFF2800"/>
        <rFont val="Consolas"/>
        <family val="3"/>
      </rPr>
      <t>'確認者名'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</si>
  <si>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form_id </t>
    </r>
    <r>
      <rPr>
        <b/>
        <sz val="10"/>
        <color rgb="FF0080FF"/>
        <rFont val="Consolas"/>
        <family val="3"/>
      </rPr>
      <t>IS</t>
    </r>
    <r>
      <rPr>
        <b/>
        <sz val="10"/>
        <color theme="1"/>
        <rFont val="Consolas"/>
        <family val="3"/>
      </rPr>
      <t xml:space="preserve"> </t>
    </r>
    <r>
      <rPr>
        <b/>
        <sz val="10"/>
        <color rgb="FFFF2800"/>
        <rFont val="Consolas"/>
        <family val="3"/>
      </rPr>
      <t>'フォームid'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</si>
  <si>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root_id </t>
    </r>
    <r>
      <rPr>
        <b/>
        <sz val="10"/>
        <color rgb="FF0080FF"/>
        <rFont val="Consolas"/>
        <family val="3"/>
      </rPr>
      <t>IS</t>
    </r>
    <r>
      <rPr>
        <b/>
        <sz val="10"/>
        <color theme="1"/>
        <rFont val="Consolas"/>
        <family val="3"/>
      </rPr>
      <t xml:space="preserve"> </t>
    </r>
    <r>
      <rPr>
        <b/>
        <sz val="10"/>
        <color rgb="FFFF2800"/>
        <rFont val="Consolas"/>
        <family val="3"/>
      </rPr>
      <t>'ルートid'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</si>
  <si>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status_id </t>
    </r>
    <r>
      <rPr>
        <b/>
        <sz val="10"/>
        <color rgb="FF0080FF"/>
        <rFont val="Consolas"/>
        <family val="3"/>
      </rPr>
      <t>IS</t>
    </r>
    <r>
      <rPr>
        <b/>
        <sz val="10"/>
        <color theme="1"/>
        <rFont val="Consolas"/>
        <family val="3"/>
      </rPr>
      <t xml:space="preserve"> </t>
    </r>
    <r>
      <rPr>
        <b/>
        <sz val="10"/>
        <color rgb="FFFF2800"/>
        <rFont val="Consolas"/>
        <family val="3"/>
      </rPr>
      <t>'ステータスid'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</si>
  <si>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pre_consultation_status </t>
    </r>
    <r>
      <rPr>
        <b/>
        <sz val="10"/>
        <color rgb="FF0080FF"/>
        <rFont val="Consolas"/>
        <family val="3"/>
      </rPr>
      <t>IS</t>
    </r>
    <r>
      <rPr>
        <b/>
        <sz val="10"/>
        <color theme="1"/>
        <rFont val="Consolas"/>
        <family val="3"/>
      </rPr>
      <t xml:space="preserve"> </t>
    </r>
    <r>
      <rPr>
        <b/>
        <sz val="10"/>
        <color rgb="FFFF2800"/>
        <rFont val="Consolas"/>
        <family val="3"/>
      </rPr>
      <t>'事前相談有無'</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</si>
  <si>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pre_consultation_application_number_sdwf </t>
    </r>
    <r>
      <rPr>
        <b/>
        <sz val="10"/>
        <color rgb="FF0080FF"/>
        <rFont val="Consolas"/>
        <family val="3"/>
      </rPr>
      <t>IS</t>
    </r>
    <r>
      <rPr>
        <b/>
        <sz val="10"/>
        <color theme="1"/>
        <rFont val="Consolas"/>
        <family val="3"/>
      </rPr>
      <t xml:space="preserve"> </t>
    </r>
    <r>
      <rPr>
        <b/>
        <sz val="10"/>
        <color rgb="FFFF2800"/>
        <rFont val="Consolas"/>
        <family val="3"/>
      </rPr>
      <t>'事前相談申請番号_sdwf'</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</si>
  <si>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product_name </t>
    </r>
    <r>
      <rPr>
        <b/>
        <sz val="10"/>
        <color rgb="FF0080FF"/>
        <rFont val="Consolas"/>
        <family val="3"/>
      </rPr>
      <t>IS</t>
    </r>
    <r>
      <rPr>
        <b/>
        <sz val="10"/>
        <color theme="1"/>
        <rFont val="Consolas"/>
        <family val="3"/>
      </rPr>
      <t xml:space="preserve"> </t>
    </r>
    <r>
      <rPr>
        <b/>
        <sz val="10"/>
        <color rgb="FFFF2800"/>
        <rFont val="Consolas"/>
        <family val="3"/>
      </rPr>
      <t>'プロダクト名'</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</si>
  <si>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pre_consultation_approval_condition_sdwf </t>
    </r>
    <r>
      <rPr>
        <b/>
        <sz val="10"/>
        <color rgb="FF0080FF"/>
        <rFont val="Consolas"/>
        <family val="3"/>
      </rPr>
      <t>IS</t>
    </r>
    <r>
      <rPr>
        <b/>
        <sz val="10"/>
        <color theme="1"/>
        <rFont val="Consolas"/>
        <family val="3"/>
      </rPr>
      <t xml:space="preserve"> </t>
    </r>
    <r>
      <rPr>
        <b/>
        <sz val="10"/>
        <color rgb="FFFF2800"/>
        <rFont val="Consolas"/>
        <family val="3"/>
      </rPr>
      <t>'事前相談承認条件_sdwf'</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</si>
  <si>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pre_consultation_approval_condition_1_sdwf </t>
    </r>
    <r>
      <rPr>
        <b/>
        <sz val="10"/>
        <color rgb="FF0080FF"/>
        <rFont val="Consolas"/>
        <family val="3"/>
      </rPr>
      <t>IS</t>
    </r>
    <r>
      <rPr>
        <b/>
        <sz val="10"/>
        <color theme="1"/>
        <rFont val="Consolas"/>
        <family val="3"/>
      </rPr>
      <t xml:space="preserve"> </t>
    </r>
    <r>
      <rPr>
        <b/>
        <sz val="10"/>
        <color rgb="FFFF2800"/>
        <rFont val="Consolas"/>
        <family val="3"/>
      </rPr>
      <t>'事前相談承認条件1_sdwf'</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</si>
  <si>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pre_consultation_approval_condition_2_sdwf </t>
    </r>
    <r>
      <rPr>
        <b/>
        <sz val="10"/>
        <color rgb="FF0080FF"/>
        <rFont val="Consolas"/>
        <family val="3"/>
      </rPr>
      <t>IS</t>
    </r>
    <r>
      <rPr>
        <b/>
        <sz val="10"/>
        <color theme="1"/>
        <rFont val="Consolas"/>
        <family val="3"/>
      </rPr>
      <t xml:space="preserve"> </t>
    </r>
    <r>
      <rPr>
        <b/>
        <sz val="10"/>
        <color rgb="FFFF2800"/>
        <rFont val="Consolas"/>
        <family val="3"/>
      </rPr>
      <t>'事前相談承認条件2_sdwf'</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</si>
  <si>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pre_consultation_approval_condition_3_sdwf </t>
    </r>
    <r>
      <rPr>
        <b/>
        <sz val="10"/>
        <color rgb="FF0080FF"/>
        <rFont val="Consolas"/>
        <family val="3"/>
      </rPr>
      <t>IS</t>
    </r>
    <r>
      <rPr>
        <b/>
        <sz val="10"/>
        <color theme="1"/>
        <rFont val="Consolas"/>
        <family val="3"/>
      </rPr>
      <t xml:space="preserve"> </t>
    </r>
    <r>
      <rPr>
        <b/>
        <sz val="10"/>
        <color rgb="FFFF2800"/>
        <rFont val="Consolas"/>
        <family val="3"/>
      </rPr>
      <t>'事前相談承認条件3_sdwf'</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</si>
  <si>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private_consultation_number </t>
    </r>
    <r>
      <rPr>
        <b/>
        <sz val="10"/>
        <color rgb="FF0080FF"/>
        <rFont val="Consolas"/>
        <family val="3"/>
      </rPr>
      <t>IS</t>
    </r>
    <r>
      <rPr>
        <b/>
        <sz val="10"/>
        <color theme="1"/>
        <rFont val="Consolas"/>
        <family val="3"/>
      </rPr>
      <t xml:space="preserve"> </t>
    </r>
    <r>
      <rPr>
        <b/>
        <sz val="10"/>
        <color rgb="FFFF2800"/>
        <rFont val="Consolas"/>
        <family val="3"/>
      </rPr>
      <t>'相対相談番号'</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</si>
  <si>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mobile_approval_condition </t>
    </r>
    <r>
      <rPr>
        <b/>
        <sz val="10"/>
        <color rgb="FF0080FF"/>
        <rFont val="Consolas"/>
        <family val="3"/>
      </rPr>
      <t>IS</t>
    </r>
    <r>
      <rPr>
        <b/>
        <sz val="10"/>
        <color theme="1"/>
        <rFont val="Consolas"/>
        <family val="3"/>
      </rPr>
      <t xml:space="preserve"> </t>
    </r>
    <r>
      <rPr>
        <b/>
        <sz val="10"/>
        <color rgb="FFFF2800"/>
        <rFont val="Consolas"/>
        <family val="3"/>
      </rPr>
      <t>'モバイル相対相談承認条件'</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</si>
  <si>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mobile_approval_condition_1 </t>
    </r>
    <r>
      <rPr>
        <b/>
        <sz val="10"/>
        <color rgb="FF0080FF"/>
        <rFont val="Consolas"/>
        <family val="3"/>
      </rPr>
      <t>IS</t>
    </r>
    <r>
      <rPr>
        <b/>
        <sz val="10"/>
        <color theme="1"/>
        <rFont val="Consolas"/>
        <family val="3"/>
      </rPr>
      <t xml:space="preserve"> </t>
    </r>
    <r>
      <rPr>
        <b/>
        <sz val="10"/>
        <color rgb="FFFF2800"/>
        <rFont val="Consolas"/>
        <family val="3"/>
      </rPr>
      <t>'モバイル相対相談承認条件1'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</si>
  <si>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mobile_approval_condition_2 </t>
    </r>
    <r>
      <rPr>
        <b/>
        <sz val="10"/>
        <color rgb="FF0080FF"/>
        <rFont val="Consolas"/>
        <family val="3"/>
      </rPr>
      <t>IS</t>
    </r>
    <r>
      <rPr>
        <b/>
        <sz val="10"/>
        <color theme="1"/>
        <rFont val="Consolas"/>
        <family val="3"/>
      </rPr>
      <t xml:space="preserve"> </t>
    </r>
    <r>
      <rPr>
        <b/>
        <sz val="10"/>
        <color rgb="FFFF2800"/>
        <rFont val="Consolas"/>
        <family val="3"/>
      </rPr>
      <t>'モバイル相対相談承認条件2'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</si>
  <si>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mobile_approval_condition_3 </t>
    </r>
    <r>
      <rPr>
        <b/>
        <sz val="10"/>
        <color rgb="FF0080FF"/>
        <rFont val="Consolas"/>
        <family val="3"/>
      </rPr>
      <t>IS</t>
    </r>
    <r>
      <rPr>
        <b/>
        <sz val="10"/>
        <color theme="1"/>
        <rFont val="Consolas"/>
        <family val="3"/>
      </rPr>
      <t xml:space="preserve"> </t>
    </r>
    <r>
      <rPr>
        <b/>
        <sz val="10"/>
        <color rgb="FFFF2800"/>
        <rFont val="Consolas"/>
        <family val="3"/>
      </rPr>
      <t>'モバイル相対相談承認条件3'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</si>
  <si>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mobile_approval_condition_4 </t>
    </r>
    <r>
      <rPr>
        <b/>
        <sz val="10"/>
        <color rgb="FF0080FF"/>
        <rFont val="Consolas"/>
        <family val="3"/>
      </rPr>
      <t>IS</t>
    </r>
    <r>
      <rPr>
        <b/>
        <sz val="10"/>
        <color theme="1"/>
        <rFont val="Consolas"/>
        <family val="3"/>
      </rPr>
      <t xml:space="preserve"> </t>
    </r>
    <r>
      <rPr>
        <b/>
        <sz val="10"/>
        <color rgb="FFFF2800"/>
        <rFont val="Consolas"/>
        <family val="3"/>
      </rPr>
      <t>'モバイル相対相談承認条件4'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</si>
  <si>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mobile_relative_consultation_5 </t>
    </r>
    <r>
      <rPr>
        <b/>
        <sz val="10"/>
        <color rgb="FF0080FF"/>
        <rFont val="Consolas"/>
        <family val="3"/>
      </rPr>
      <t>IS</t>
    </r>
    <r>
      <rPr>
        <b/>
        <sz val="10"/>
        <color theme="1"/>
        <rFont val="Consolas"/>
        <family val="3"/>
      </rPr>
      <t xml:space="preserve"> </t>
    </r>
    <r>
      <rPr>
        <b/>
        <sz val="10"/>
        <color rgb="FFFF2800"/>
        <rFont val="Consolas"/>
        <family val="3"/>
      </rPr>
      <t>'モバイル相対相談承認条件5'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</si>
  <si>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mobile_relative_consultation_6 </t>
    </r>
    <r>
      <rPr>
        <b/>
        <sz val="10"/>
        <color rgb="FF0080FF"/>
        <rFont val="Consolas"/>
        <family val="3"/>
      </rPr>
      <t>IS</t>
    </r>
    <r>
      <rPr>
        <b/>
        <sz val="10"/>
        <color theme="1"/>
        <rFont val="Consolas"/>
        <family val="3"/>
      </rPr>
      <t xml:space="preserve"> </t>
    </r>
    <r>
      <rPr>
        <b/>
        <sz val="10"/>
        <color rgb="FFFF2800"/>
        <rFont val="Consolas"/>
        <family val="3"/>
      </rPr>
      <t>'モバイル相対相談承認条件6'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</si>
  <si>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mobile_relative_consultation_7 </t>
    </r>
    <r>
      <rPr>
        <b/>
        <sz val="10"/>
        <color rgb="FF0080FF"/>
        <rFont val="Consolas"/>
        <family val="3"/>
      </rPr>
      <t>IS</t>
    </r>
    <r>
      <rPr>
        <b/>
        <sz val="10"/>
        <color theme="1"/>
        <rFont val="Consolas"/>
        <family val="3"/>
      </rPr>
      <t xml:space="preserve"> </t>
    </r>
    <r>
      <rPr>
        <b/>
        <sz val="10"/>
        <color rgb="FFFF2800"/>
        <rFont val="Consolas"/>
        <family val="3"/>
      </rPr>
      <t>'モバイル相対相談承認条件7'</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</si>
  <si>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mobile_relative_consultation_8 </t>
    </r>
    <r>
      <rPr>
        <b/>
        <sz val="10"/>
        <color rgb="FF0080FF"/>
        <rFont val="Consolas"/>
        <family val="3"/>
      </rPr>
      <t>IS</t>
    </r>
    <r>
      <rPr>
        <b/>
        <sz val="10"/>
        <color theme="1"/>
        <rFont val="Consolas"/>
        <family val="3"/>
      </rPr>
      <t xml:space="preserve"> </t>
    </r>
    <r>
      <rPr>
        <b/>
        <sz val="10"/>
        <color rgb="FFFF2800"/>
        <rFont val="Consolas"/>
        <family val="3"/>
      </rPr>
      <t>'モバイル相対相談承認条件8'</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</si>
  <si>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mobile_relative_consultation_9 </t>
    </r>
    <r>
      <rPr>
        <b/>
        <sz val="10"/>
        <color rgb="FF0080FF"/>
        <rFont val="Consolas"/>
        <family val="3"/>
      </rPr>
      <t>IS</t>
    </r>
    <r>
      <rPr>
        <b/>
        <sz val="10"/>
        <color theme="1"/>
        <rFont val="Consolas"/>
        <family val="3"/>
      </rPr>
      <t xml:space="preserve"> </t>
    </r>
    <r>
      <rPr>
        <b/>
        <sz val="10"/>
        <color rgb="FFFF2800"/>
        <rFont val="Consolas"/>
        <family val="3"/>
      </rPr>
      <t>'モバイル相対相談承認条件9'</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</si>
  <si>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mobile_relative_consultation_10 </t>
    </r>
    <r>
      <rPr>
        <b/>
        <sz val="10"/>
        <color rgb="FF0080FF"/>
        <rFont val="Consolas"/>
        <family val="3"/>
      </rPr>
      <t>IS</t>
    </r>
    <r>
      <rPr>
        <b/>
        <sz val="10"/>
        <color theme="1"/>
        <rFont val="Consolas"/>
        <family val="3"/>
      </rPr>
      <t xml:space="preserve"> </t>
    </r>
    <r>
      <rPr>
        <b/>
        <sz val="10"/>
        <color rgb="FFFF2800"/>
        <rFont val="Consolas"/>
        <family val="3"/>
      </rPr>
      <t>'モバイル相対相談承認条件10'</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</si>
  <si>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mobile_relative_consultation_11 </t>
    </r>
    <r>
      <rPr>
        <b/>
        <sz val="10"/>
        <color rgb="FF0080FF"/>
        <rFont val="Consolas"/>
        <family val="3"/>
      </rPr>
      <t>IS</t>
    </r>
    <r>
      <rPr>
        <b/>
        <sz val="10"/>
        <color theme="1"/>
        <rFont val="Consolas"/>
        <family val="3"/>
      </rPr>
      <t xml:space="preserve"> </t>
    </r>
    <r>
      <rPr>
        <b/>
        <sz val="10"/>
        <color rgb="FFFF2800"/>
        <rFont val="Consolas"/>
        <family val="3"/>
      </rPr>
      <t>'モバイル相対相談承認条件11'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</si>
  <si>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mobile_relative_consultation_12 </t>
    </r>
    <r>
      <rPr>
        <b/>
        <sz val="10"/>
        <color rgb="FF0080FF"/>
        <rFont val="Consolas"/>
        <family val="3"/>
      </rPr>
      <t>IS</t>
    </r>
    <r>
      <rPr>
        <b/>
        <sz val="10"/>
        <color theme="1"/>
        <rFont val="Consolas"/>
        <family val="3"/>
      </rPr>
      <t xml:space="preserve"> </t>
    </r>
    <r>
      <rPr>
        <b/>
        <sz val="10"/>
        <color rgb="FFFF2800"/>
        <rFont val="Consolas"/>
        <family val="3"/>
      </rPr>
      <t>'モバイル相対相談承認条件12'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</si>
  <si>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mobile_relative_consultation_13 </t>
    </r>
    <r>
      <rPr>
        <b/>
        <sz val="10"/>
        <color rgb="FF0080FF"/>
        <rFont val="Consolas"/>
        <family val="3"/>
      </rPr>
      <t>IS</t>
    </r>
    <r>
      <rPr>
        <b/>
        <sz val="10"/>
        <color theme="1"/>
        <rFont val="Consolas"/>
        <family val="3"/>
      </rPr>
      <t xml:space="preserve"> </t>
    </r>
    <r>
      <rPr>
        <b/>
        <sz val="10"/>
        <color rgb="FFFF2800"/>
        <rFont val="Consolas"/>
        <family val="3"/>
      </rPr>
      <t>'モバイル相対相談承認条件13'</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</si>
  <si>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mobile_relative_consultation_14 </t>
    </r>
    <r>
      <rPr>
        <b/>
        <sz val="10"/>
        <color rgb="FF0080FF"/>
        <rFont val="Consolas"/>
        <family val="3"/>
      </rPr>
      <t>IS</t>
    </r>
    <r>
      <rPr>
        <b/>
        <sz val="10"/>
        <color theme="1"/>
        <rFont val="Consolas"/>
        <family val="3"/>
      </rPr>
      <t xml:space="preserve"> </t>
    </r>
    <r>
      <rPr>
        <b/>
        <sz val="10"/>
        <color rgb="FFFF2800"/>
        <rFont val="Consolas"/>
        <family val="3"/>
      </rPr>
      <t>'モバイル相対相談承認条件14'</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</si>
  <si>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mobile_relative_consultation_15 </t>
    </r>
    <r>
      <rPr>
        <b/>
        <sz val="10"/>
        <color rgb="FF0080FF"/>
        <rFont val="Consolas"/>
        <family val="3"/>
      </rPr>
      <t>IS</t>
    </r>
    <r>
      <rPr>
        <b/>
        <sz val="10"/>
        <color theme="1"/>
        <rFont val="Consolas"/>
        <family val="3"/>
      </rPr>
      <t xml:space="preserve"> </t>
    </r>
    <r>
      <rPr>
        <b/>
        <sz val="10"/>
        <color rgb="FFFF2800"/>
        <rFont val="Consolas"/>
        <family val="3"/>
      </rPr>
      <t>'モバイル相対相談承認条件15'</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</si>
  <si>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mobile_relative_consultation_16 </t>
    </r>
    <r>
      <rPr>
        <b/>
        <sz val="10"/>
        <color rgb="FF0080FF"/>
        <rFont val="Consolas"/>
        <family val="3"/>
      </rPr>
      <t>IS</t>
    </r>
    <r>
      <rPr>
        <b/>
        <sz val="10"/>
        <color theme="1"/>
        <rFont val="Consolas"/>
        <family val="3"/>
      </rPr>
      <t xml:space="preserve"> </t>
    </r>
    <r>
      <rPr>
        <b/>
        <sz val="10"/>
        <color rgb="FFFF2800"/>
        <rFont val="Consolas"/>
        <family val="3"/>
      </rPr>
      <t>'モバイル相対相談承認条件16'</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</si>
  <si>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contractual_condition_1_1 </t>
    </r>
    <r>
      <rPr>
        <b/>
        <sz val="10"/>
        <color rgb="FF0080FF"/>
        <rFont val="Consolas"/>
        <family val="3"/>
      </rPr>
      <t>IS</t>
    </r>
    <r>
      <rPr>
        <b/>
        <sz val="10"/>
        <color theme="1"/>
        <rFont val="Consolas"/>
        <family val="3"/>
      </rPr>
      <t xml:space="preserve"> </t>
    </r>
    <r>
      <rPr>
        <b/>
        <sz val="10"/>
        <color rgb="FFFF2800"/>
        <rFont val="Consolas"/>
        <family val="3"/>
      </rPr>
      <t>'契約化必須条件1_1'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</si>
  <si>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contractual_condition_1_2 </t>
    </r>
    <r>
      <rPr>
        <b/>
        <sz val="10"/>
        <color rgb="FF0080FF"/>
        <rFont val="Consolas"/>
        <family val="3"/>
      </rPr>
      <t>IS</t>
    </r>
    <r>
      <rPr>
        <b/>
        <sz val="10"/>
        <color theme="1"/>
        <rFont val="Consolas"/>
        <family val="3"/>
      </rPr>
      <t xml:space="preserve"> </t>
    </r>
    <r>
      <rPr>
        <b/>
        <sz val="10"/>
        <color rgb="FFFF2800"/>
        <rFont val="Consolas"/>
        <family val="3"/>
      </rPr>
      <t>'契約化必須条件1_2'</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</si>
  <si>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contractual_condition_2_1 </t>
    </r>
    <r>
      <rPr>
        <b/>
        <sz val="10"/>
        <color rgb="FF0080FF"/>
        <rFont val="Consolas"/>
        <family val="3"/>
      </rPr>
      <t>IS</t>
    </r>
    <r>
      <rPr>
        <b/>
        <sz val="10"/>
        <color theme="1"/>
        <rFont val="Consolas"/>
        <family val="3"/>
      </rPr>
      <t xml:space="preserve"> </t>
    </r>
    <r>
      <rPr>
        <b/>
        <sz val="10"/>
        <color rgb="FFFF2800"/>
        <rFont val="Consolas"/>
        <family val="3"/>
      </rPr>
      <t>'契約化必須条件2_1'</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</si>
  <si>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summit_approval_basic</t>
    </r>
    <r>
      <rPr>
        <b/>
        <sz val="10"/>
        <color rgb="FF808080"/>
        <rFont val="Consolas"/>
        <family val="3"/>
      </rPr>
      <t>.</t>
    </r>
    <r>
      <rPr>
        <b/>
        <sz val="10"/>
        <color theme="1"/>
        <rFont val="Consolas"/>
        <family val="3"/>
      </rPr>
      <t xml:space="preserve">contractual_condition_2_2 </t>
    </r>
    <r>
      <rPr>
        <b/>
        <sz val="10"/>
        <color rgb="FF0080FF"/>
        <rFont val="Consolas"/>
        <family val="3"/>
      </rPr>
      <t>IS</t>
    </r>
    <r>
      <rPr>
        <b/>
        <sz val="10"/>
        <color theme="1"/>
        <rFont val="Consolas"/>
        <family val="3"/>
      </rPr>
      <t xml:space="preserve"> </t>
    </r>
    <r>
      <rPr>
        <b/>
        <sz val="10"/>
        <color rgb="FFFF2800"/>
        <rFont val="Consolas"/>
        <family val="3"/>
      </rPr>
      <t>'契約化必須条件2_2'</t>
    </r>
    <r>
      <rPr>
        <b/>
        <sz val="10"/>
        <color rgb="FF808080"/>
        <rFont val="Consolas"/>
        <family val="3"/>
      </rPr>
      <t>;</t>
    </r>
  </si>
  <si>
    <t>b_hjn_smt_問い合わせツール_決裁_関連申請書</t>
    <phoneticPr fontId="2"/>
  </si>
  <si>
    <t>V004677</t>
  </si>
  <si>
    <t>summit_approval_related_application</t>
  </si>
  <si>
    <r>
      <t>DROP</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EXISTS</t>
    </r>
    <r>
      <rPr>
        <b/>
        <sz val="10"/>
        <color theme="1"/>
        <rFont val="Consolas"/>
        <family val="3"/>
      </rPr>
      <t xml:space="preserve"> summit_approval_related_application </t>
    </r>
    <r>
      <rPr>
        <b/>
        <sz val="10"/>
        <color rgb="FF0080FF"/>
        <rFont val="Consolas"/>
        <family val="3"/>
      </rPr>
      <t>CASCADE</t>
    </r>
    <r>
      <rPr>
        <b/>
        <sz val="10"/>
        <color rgb="FF808080"/>
        <rFont val="Consolas"/>
        <family val="3"/>
      </rPr>
      <t>;</t>
    </r>
    <r>
      <rPr>
        <b/>
        <sz val="10"/>
        <color theme="1"/>
        <rFont val="Consolas"/>
        <family val="3"/>
      </rPr>
      <t xml:space="preserve"> </t>
    </r>
  </si>
  <si>
    <r>
      <t>CREATE</t>
    </r>
    <r>
      <rPr>
        <b/>
        <sz val="10"/>
        <color theme="1"/>
        <rFont val="Consolas"/>
        <family val="3"/>
      </rPr>
      <t xml:space="preserve"> </t>
    </r>
    <r>
      <rPr>
        <b/>
        <sz val="10"/>
        <color rgb="FF0080FF"/>
        <rFont val="Consolas"/>
        <family val="3"/>
      </rPr>
      <t>TABLE</t>
    </r>
    <r>
      <rPr>
        <b/>
        <sz val="10"/>
        <color theme="1"/>
        <rFont val="Consolas"/>
        <family val="3"/>
      </rPr>
      <t xml:space="preserve"> </t>
    </r>
    <r>
      <rPr>
        <b/>
        <sz val="10"/>
        <color rgb="FF0080FF"/>
        <rFont val="Consolas"/>
        <family val="3"/>
      </rPr>
      <t>IF</t>
    </r>
    <r>
      <rPr>
        <b/>
        <sz val="10"/>
        <color theme="1"/>
        <rFont val="Consolas"/>
        <family val="3"/>
      </rPr>
      <t xml:space="preserve"> </t>
    </r>
    <r>
      <rPr>
        <b/>
        <sz val="10"/>
        <color rgb="FF0080FF"/>
        <rFont val="Consolas"/>
        <family val="3"/>
      </rPr>
      <t>NOT</t>
    </r>
    <r>
      <rPr>
        <b/>
        <sz val="10"/>
        <color theme="1"/>
        <rFont val="Consolas"/>
        <family val="3"/>
      </rPr>
      <t xml:space="preserve"> </t>
    </r>
    <r>
      <rPr>
        <b/>
        <sz val="10"/>
        <color rgb="FF0080FF"/>
        <rFont val="Consolas"/>
        <family val="3"/>
      </rPr>
      <t>EXISTS</t>
    </r>
    <r>
      <rPr>
        <b/>
        <sz val="10"/>
        <color theme="1"/>
        <rFont val="Consolas"/>
        <family val="3"/>
      </rPr>
      <t xml:space="preserve"> summit_approval_related_application </t>
    </r>
    <r>
      <rPr>
        <b/>
        <sz val="10"/>
        <color rgb="FF808080"/>
        <rFont val="Consolas"/>
        <family val="3"/>
      </rPr>
      <t>(</t>
    </r>
    <r>
      <rPr>
        <b/>
        <sz val="10"/>
        <color theme="1"/>
        <rFont val="Consolas"/>
        <family val="3"/>
      </rPr>
      <t xml:space="preserve"> </t>
    </r>
  </si>
  <si>
    <t>pk</t>
    <phoneticPr fontId="2"/>
  </si>
  <si>
    <t>申請書id</t>
    <phoneticPr fontId="2"/>
  </si>
  <si>
    <t>application_id</t>
  </si>
  <si>
    <r>
      <t xml:space="preserve">application_id </t>
    </r>
    <r>
      <rPr>
        <b/>
        <sz val="10"/>
        <color rgb="FF0080FF"/>
        <rFont val="Consolas"/>
        <family val="3"/>
      </rPr>
      <t>VARCHAR</t>
    </r>
    <r>
      <rPr>
        <b/>
        <sz val="10"/>
        <color rgb="FF808080"/>
        <rFont val="Consolas"/>
        <family val="3"/>
      </rPr>
      <t>(</t>
    </r>
    <r>
      <rPr>
        <b/>
        <sz val="10"/>
        <color rgb="FFFF2800"/>
        <rFont val="Consolas"/>
        <family val="3"/>
      </rPr>
      <t>48</t>
    </r>
    <r>
      <rPr>
        <b/>
        <sz val="10"/>
        <color rgb="FF808080"/>
        <rFont val="Consolas"/>
        <family val="3"/>
      </rPr>
      <t>),</t>
    </r>
  </si>
  <si>
    <t>外部連携id</t>
  </si>
  <si>
    <t>external_connection_id</t>
  </si>
  <si>
    <r>
      <t xml:space="preserve">external_connection_id </t>
    </r>
    <r>
      <rPr>
        <b/>
        <sz val="10"/>
        <color rgb="FF0080FF"/>
        <rFont val="Consolas"/>
        <family val="3"/>
      </rPr>
      <t>VARCHAR</t>
    </r>
    <r>
      <rPr>
        <b/>
        <sz val="10"/>
        <color rgb="FF808080"/>
        <rFont val="Consolas"/>
        <family val="3"/>
      </rPr>
      <t>(</t>
    </r>
    <r>
      <rPr>
        <b/>
        <sz val="10"/>
        <color rgb="FFFF2800"/>
        <rFont val="Consolas"/>
        <family val="3"/>
      </rPr>
      <t>48</t>
    </r>
    <r>
      <rPr>
        <b/>
        <sz val="10"/>
        <color rgb="FF808080"/>
        <rFont val="Consolas"/>
        <family val="3"/>
      </rPr>
      <t>),</t>
    </r>
  </si>
  <si>
    <t>関連通番</t>
  </si>
  <si>
    <t>related_serial_number</t>
  </si>
  <si>
    <r>
      <t xml:space="preserve">related_serial_number </t>
    </r>
    <r>
      <rPr>
        <b/>
        <sz val="10"/>
        <color rgb="FF0080FF"/>
        <rFont val="Consolas"/>
        <family val="3"/>
      </rPr>
      <t>DECIMAL</t>
    </r>
    <r>
      <rPr>
        <b/>
        <sz val="10"/>
        <color rgb="FF808080"/>
        <rFont val="Consolas"/>
        <family val="3"/>
      </rPr>
      <t>(</t>
    </r>
    <r>
      <rPr>
        <b/>
        <sz val="10"/>
        <color rgb="FFFF2800"/>
        <rFont val="Consolas"/>
        <family val="3"/>
      </rPr>
      <t>10</t>
    </r>
    <r>
      <rPr>
        <b/>
        <sz val="10"/>
        <color rgb="FF808080"/>
        <rFont val="Consolas"/>
        <family val="3"/>
      </rPr>
      <t>),</t>
    </r>
  </si>
  <si>
    <t>関連区分</t>
  </si>
  <si>
    <t>related_category</t>
  </si>
  <si>
    <r>
      <t xml:space="preserve">related_category </t>
    </r>
    <r>
      <rPr>
        <b/>
        <sz val="10"/>
        <color rgb="FF0080FF"/>
        <rFont val="Consolas"/>
        <family val="3"/>
      </rPr>
      <t>VARCHAR</t>
    </r>
    <r>
      <rPr>
        <b/>
        <sz val="10"/>
        <color rgb="FF808080"/>
        <rFont val="Consolas"/>
        <family val="3"/>
      </rPr>
      <t>(</t>
    </r>
    <r>
      <rPr>
        <b/>
        <sz val="10"/>
        <color rgb="FFFF2800"/>
        <rFont val="Consolas"/>
        <family val="3"/>
      </rPr>
      <t>3</t>
    </r>
    <r>
      <rPr>
        <b/>
        <sz val="10"/>
        <color rgb="FF808080"/>
        <rFont val="Consolas"/>
        <family val="3"/>
      </rPr>
      <t>),</t>
    </r>
  </si>
  <si>
    <t>関連id</t>
  </si>
  <si>
    <t>related_id</t>
  </si>
  <si>
    <r>
      <t xml:space="preserve">related_id </t>
    </r>
    <r>
      <rPr>
        <b/>
        <sz val="10"/>
        <color rgb="FF0080FF"/>
        <rFont val="Consolas"/>
        <family val="3"/>
      </rPr>
      <t>VARCHAR</t>
    </r>
    <r>
      <rPr>
        <b/>
        <sz val="10"/>
        <color rgb="FF808080"/>
        <rFont val="Consolas"/>
        <family val="3"/>
      </rPr>
      <t>(</t>
    </r>
    <r>
      <rPr>
        <b/>
        <sz val="10"/>
        <color rgb="FFFF2800"/>
        <rFont val="Consolas"/>
        <family val="3"/>
      </rPr>
      <t>54</t>
    </r>
    <r>
      <rPr>
        <b/>
        <sz val="10"/>
        <color rgb="FF808080"/>
        <rFont val="Consolas"/>
        <family val="3"/>
      </rPr>
      <t>),</t>
    </r>
  </si>
  <si>
    <t>更新日時</t>
  </si>
  <si>
    <t>update_date_and_time</t>
  </si>
  <si>
    <r>
      <t xml:space="preserve">update_date_and_time </t>
    </r>
    <r>
      <rPr>
        <b/>
        <sz val="10"/>
        <color rgb="FF0080FF"/>
        <rFont val="Consolas"/>
        <family val="3"/>
      </rPr>
      <t>VARCHAR</t>
    </r>
    <r>
      <rPr>
        <b/>
        <sz val="10"/>
        <color rgb="FF808080"/>
        <rFont val="Consolas"/>
        <family val="3"/>
      </rPr>
      <t>(</t>
    </r>
    <r>
      <rPr>
        <b/>
        <sz val="10"/>
        <color rgb="FFFF2800"/>
        <rFont val="Consolas"/>
        <family val="3"/>
      </rPr>
      <t>69</t>
    </r>
    <r>
      <rPr>
        <b/>
        <sz val="10"/>
        <color rgb="FF808080"/>
        <rFont val="Consolas"/>
        <family val="3"/>
      </rPr>
      <t>),</t>
    </r>
  </si>
  <si>
    <r>
      <t xml:space="preserve">updated_user </t>
    </r>
    <r>
      <rPr>
        <b/>
        <sz val="10"/>
        <color rgb="FF0080FF"/>
        <rFont val="Consolas"/>
        <family val="3"/>
      </rPr>
      <t>VARCHAR</t>
    </r>
    <r>
      <rPr>
        <b/>
        <sz val="10"/>
        <color rgb="FF808080"/>
        <rFont val="Consolas"/>
        <family val="3"/>
      </rPr>
      <t>(</t>
    </r>
    <r>
      <rPr>
        <b/>
        <sz val="10"/>
        <color rgb="FFFF2800"/>
        <rFont val="Consolas"/>
        <family val="3"/>
      </rPr>
      <t>63</t>
    </r>
    <r>
      <rPr>
        <b/>
        <sz val="10"/>
        <color rgb="FF808080"/>
        <rFont val="Consolas"/>
        <family val="3"/>
      </rPr>
      <t>),</t>
    </r>
  </si>
  <si>
    <t>レコード作成日時</t>
  </si>
  <si>
    <t>record_creation_date_and_time</t>
  </si>
  <si>
    <r>
      <t xml:space="preserve">record_creation_date_and_time </t>
    </r>
    <r>
      <rPr>
        <b/>
        <sz val="10"/>
        <color rgb="FF0080FF"/>
        <rFont val="Consolas"/>
        <family val="3"/>
      </rPr>
      <t>VARCHAR</t>
    </r>
    <r>
      <rPr>
        <b/>
        <sz val="10"/>
        <color rgb="FF808080"/>
        <rFont val="Consolas"/>
        <family val="3"/>
      </rPr>
      <t>(</t>
    </r>
    <r>
      <rPr>
        <b/>
        <sz val="10"/>
        <color rgb="FFFF2800"/>
        <rFont val="Consolas"/>
        <family val="3"/>
      </rPr>
      <t>69</t>
    </r>
    <r>
      <rPr>
        <b/>
        <sz val="10"/>
        <color rgb="FF808080"/>
        <rFont val="Consolas"/>
        <family val="3"/>
      </rPr>
      <t>),</t>
    </r>
  </si>
  <si>
    <t>レコード作成ユーザ</t>
  </si>
  <si>
    <t>record_creation_user</t>
  </si>
  <si>
    <r>
      <t xml:space="preserve">record_creation_user </t>
    </r>
    <r>
      <rPr>
        <b/>
        <sz val="10"/>
        <color rgb="FF0080FF"/>
        <rFont val="Consolas"/>
        <family val="3"/>
      </rPr>
      <t>VARCHAR</t>
    </r>
    <r>
      <rPr>
        <b/>
        <sz val="10"/>
        <color rgb="FF808080"/>
        <rFont val="Consolas"/>
        <family val="3"/>
      </rPr>
      <t>(</t>
    </r>
    <r>
      <rPr>
        <b/>
        <sz val="10"/>
        <color rgb="FFFF2800"/>
        <rFont val="Consolas"/>
        <family val="3"/>
      </rPr>
      <t>63</t>
    </r>
    <r>
      <rPr>
        <b/>
        <sz val="10"/>
        <color rgb="FF808080"/>
        <rFont val="Consolas"/>
        <family val="3"/>
      </rPr>
      <t>),</t>
    </r>
  </si>
  <si>
    <r>
      <t>CONSTRAINT</t>
    </r>
    <r>
      <rPr>
        <b/>
        <sz val="10"/>
        <color theme="1"/>
        <rFont val="Consolas"/>
        <family val="3"/>
      </rPr>
      <t xml:space="preserve"> pk_summit_approval_related_application </t>
    </r>
    <r>
      <rPr>
        <b/>
        <sz val="10"/>
        <color rgb="FF0080FF"/>
        <rFont val="Consolas"/>
        <family val="3"/>
      </rPr>
      <t>PRIMARY</t>
    </r>
    <r>
      <rPr>
        <b/>
        <sz val="10"/>
        <color theme="1"/>
        <rFont val="Consolas"/>
        <family val="3"/>
      </rPr>
      <t xml:space="preserve"> </t>
    </r>
    <r>
      <rPr>
        <b/>
        <sz val="10"/>
        <color rgb="FF0080FF"/>
        <rFont val="Consolas"/>
        <family val="3"/>
      </rPr>
      <t>KEY</t>
    </r>
    <r>
      <rPr>
        <b/>
        <sz val="10"/>
        <color theme="1"/>
        <rFont val="Consolas"/>
        <family val="3"/>
      </rPr>
      <t xml:space="preserve"> </t>
    </r>
    <r>
      <rPr>
        <b/>
        <sz val="10"/>
        <color rgb="FF808080"/>
        <rFont val="Consolas"/>
        <family val="3"/>
      </rPr>
      <t>(</t>
    </r>
    <r>
      <rPr>
        <b/>
        <sz val="10"/>
        <color theme="1"/>
        <rFont val="Consolas"/>
        <family val="3"/>
      </rPr>
      <t>id</t>
    </r>
    <r>
      <rPr>
        <b/>
        <sz val="10"/>
        <color rgb="FF808080"/>
        <rFont val="Consolas"/>
        <family val="3"/>
      </rPr>
      <t>));</t>
    </r>
    <r>
      <rPr>
        <b/>
        <sz val="10"/>
        <color theme="1"/>
        <rFont val="Consolas"/>
        <family val="3"/>
      </rPr>
      <t xml:space="preserve"> </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</si>
  <si>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TABLE</t>
    </r>
    <r>
      <rPr>
        <b/>
        <sz val="10"/>
        <color theme="1"/>
        <rFont val="Consolas"/>
        <family val="3"/>
      </rPr>
      <t xml:space="preserve"> summit_approval_related_application </t>
    </r>
    <r>
      <rPr>
        <b/>
        <sz val="10"/>
        <color rgb="FF0080FF"/>
        <rFont val="Consolas"/>
        <family val="3"/>
      </rPr>
      <t>IS</t>
    </r>
    <r>
      <rPr>
        <b/>
        <sz val="10"/>
        <color theme="1"/>
        <rFont val="Consolas"/>
        <family val="3"/>
      </rPr>
      <t xml:space="preserve"> </t>
    </r>
    <r>
      <rPr>
        <b/>
        <sz val="10"/>
        <color rgb="FFFF2800"/>
        <rFont val="Consolas"/>
        <family val="3"/>
      </rPr>
      <t>'b_hjn_smt_問い合わせツール_決裁_関連申請書'</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</si>
  <si>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summit_approval_related_application</t>
    </r>
    <r>
      <rPr>
        <b/>
        <sz val="10"/>
        <color rgb="FF808080"/>
        <rFont val="Consolas"/>
        <family val="3"/>
      </rPr>
      <t>.</t>
    </r>
    <r>
      <rPr>
        <b/>
        <sz val="10"/>
        <color theme="1"/>
        <rFont val="Consolas"/>
        <family val="3"/>
      </rPr>
      <t xml:space="preserve">id </t>
    </r>
    <r>
      <rPr>
        <b/>
        <sz val="10"/>
        <color rgb="FF0080FF"/>
        <rFont val="Consolas"/>
        <family val="3"/>
      </rPr>
      <t>IS</t>
    </r>
    <r>
      <rPr>
        <b/>
        <sz val="10"/>
        <color theme="1"/>
        <rFont val="Consolas"/>
        <family val="3"/>
      </rPr>
      <t xml:space="preserve"> </t>
    </r>
    <r>
      <rPr>
        <b/>
        <sz val="10"/>
        <color rgb="FFFF2800"/>
        <rFont val="Consolas"/>
        <family val="3"/>
      </rPr>
      <t>'id'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</si>
  <si>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summit_approval_related_application</t>
    </r>
    <r>
      <rPr>
        <b/>
        <sz val="10"/>
        <color rgb="FF808080"/>
        <rFont val="Consolas"/>
        <family val="3"/>
      </rPr>
      <t>.</t>
    </r>
    <r>
      <rPr>
        <b/>
        <sz val="10"/>
        <color theme="1"/>
        <rFont val="Consolas"/>
        <family val="3"/>
      </rPr>
      <t xml:space="preserve">application_id </t>
    </r>
    <r>
      <rPr>
        <b/>
        <sz val="10"/>
        <color rgb="FF0080FF"/>
        <rFont val="Consolas"/>
        <family val="3"/>
      </rPr>
      <t>IS</t>
    </r>
    <r>
      <rPr>
        <b/>
        <sz val="10"/>
        <color theme="1"/>
        <rFont val="Consolas"/>
        <family val="3"/>
      </rPr>
      <t xml:space="preserve"> </t>
    </r>
    <r>
      <rPr>
        <b/>
        <sz val="10"/>
        <color rgb="FFFF2800"/>
        <rFont val="Consolas"/>
        <family val="3"/>
      </rPr>
      <t>'申請書id'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</si>
  <si>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summit_approval_related_application</t>
    </r>
    <r>
      <rPr>
        <b/>
        <sz val="10"/>
        <color rgb="FF808080"/>
        <rFont val="Consolas"/>
        <family val="3"/>
      </rPr>
      <t>.</t>
    </r>
    <r>
      <rPr>
        <b/>
        <sz val="10"/>
        <color theme="1"/>
        <rFont val="Consolas"/>
        <family val="3"/>
      </rPr>
      <t xml:space="preserve">external_connection_id </t>
    </r>
    <r>
      <rPr>
        <b/>
        <sz val="10"/>
        <color rgb="FF0080FF"/>
        <rFont val="Consolas"/>
        <family val="3"/>
      </rPr>
      <t>IS</t>
    </r>
    <r>
      <rPr>
        <b/>
        <sz val="10"/>
        <color theme="1"/>
        <rFont val="Consolas"/>
        <family val="3"/>
      </rPr>
      <t xml:space="preserve"> </t>
    </r>
    <r>
      <rPr>
        <b/>
        <sz val="10"/>
        <color rgb="FFFF2800"/>
        <rFont val="Consolas"/>
        <family val="3"/>
      </rPr>
      <t>'外部連携id'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</si>
  <si>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summit_approval_related_application</t>
    </r>
    <r>
      <rPr>
        <b/>
        <sz val="10"/>
        <color rgb="FF808080"/>
        <rFont val="Consolas"/>
        <family val="3"/>
      </rPr>
      <t>.</t>
    </r>
    <r>
      <rPr>
        <b/>
        <sz val="10"/>
        <color theme="1"/>
        <rFont val="Consolas"/>
        <family val="3"/>
      </rPr>
      <t xml:space="preserve">related_serial_number </t>
    </r>
    <r>
      <rPr>
        <b/>
        <sz val="10"/>
        <color rgb="FF0080FF"/>
        <rFont val="Consolas"/>
        <family val="3"/>
      </rPr>
      <t>IS</t>
    </r>
    <r>
      <rPr>
        <b/>
        <sz val="10"/>
        <color theme="1"/>
        <rFont val="Consolas"/>
        <family val="3"/>
      </rPr>
      <t xml:space="preserve"> </t>
    </r>
    <r>
      <rPr>
        <b/>
        <sz val="10"/>
        <color rgb="FFFF2800"/>
        <rFont val="Consolas"/>
        <family val="3"/>
      </rPr>
      <t>'関連通番'</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</si>
  <si>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summit_approval_related_application</t>
    </r>
    <r>
      <rPr>
        <b/>
        <sz val="10"/>
        <color rgb="FF808080"/>
        <rFont val="Consolas"/>
        <family val="3"/>
      </rPr>
      <t>.</t>
    </r>
    <r>
      <rPr>
        <b/>
        <sz val="10"/>
        <color theme="1"/>
        <rFont val="Consolas"/>
        <family val="3"/>
      </rPr>
      <t xml:space="preserve">related_category </t>
    </r>
    <r>
      <rPr>
        <b/>
        <sz val="10"/>
        <color rgb="FF0080FF"/>
        <rFont val="Consolas"/>
        <family val="3"/>
      </rPr>
      <t>IS</t>
    </r>
    <r>
      <rPr>
        <b/>
        <sz val="10"/>
        <color theme="1"/>
        <rFont val="Consolas"/>
        <family val="3"/>
      </rPr>
      <t xml:space="preserve"> </t>
    </r>
    <r>
      <rPr>
        <b/>
        <sz val="10"/>
        <color rgb="FFFF2800"/>
        <rFont val="Consolas"/>
        <family val="3"/>
      </rPr>
      <t>'関連区分'</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</si>
  <si>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summit_approval_related_application</t>
    </r>
    <r>
      <rPr>
        <b/>
        <sz val="10"/>
        <color rgb="FF808080"/>
        <rFont val="Consolas"/>
        <family val="3"/>
      </rPr>
      <t>.</t>
    </r>
    <r>
      <rPr>
        <b/>
        <sz val="10"/>
        <color theme="1"/>
        <rFont val="Consolas"/>
        <family val="3"/>
      </rPr>
      <t xml:space="preserve">related_id </t>
    </r>
    <r>
      <rPr>
        <b/>
        <sz val="10"/>
        <color rgb="FF0080FF"/>
        <rFont val="Consolas"/>
        <family val="3"/>
      </rPr>
      <t>IS</t>
    </r>
    <r>
      <rPr>
        <b/>
        <sz val="10"/>
        <color theme="1"/>
        <rFont val="Consolas"/>
        <family val="3"/>
      </rPr>
      <t xml:space="preserve"> </t>
    </r>
    <r>
      <rPr>
        <b/>
        <sz val="10"/>
        <color rgb="FFFF2800"/>
        <rFont val="Consolas"/>
        <family val="3"/>
      </rPr>
      <t>'関連id'</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</si>
  <si>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summit_approval_related_application</t>
    </r>
    <r>
      <rPr>
        <b/>
        <sz val="10"/>
        <color rgb="FF808080"/>
        <rFont val="Consolas"/>
        <family val="3"/>
      </rPr>
      <t>.</t>
    </r>
    <r>
      <rPr>
        <b/>
        <sz val="10"/>
        <color theme="1"/>
        <rFont val="Consolas"/>
        <family val="3"/>
      </rPr>
      <t xml:space="preserve">update_date_and_time </t>
    </r>
    <r>
      <rPr>
        <b/>
        <sz val="10"/>
        <color rgb="FF0080FF"/>
        <rFont val="Consolas"/>
        <family val="3"/>
      </rPr>
      <t>IS</t>
    </r>
    <r>
      <rPr>
        <b/>
        <sz val="10"/>
        <color theme="1"/>
        <rFont val="Consolas"/>
        <family val="3"/>
      </rPr>
      <t xml:space="preserve"> </t>
    </r>
    <r>
      <rPr>
        <b/>
        <sz val="10"/>
        <color rgb="FFFF2800"/>
        <rFont val="Consolas"/>
        <family val="3"/>
      </rPr>
      <t>'更新日時'</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</si>
  <si>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summit_approval_related_application</t>
    </r>
    <r>
      <rPr>
        <b/>
        <sz val="10"/>
        <color rgb="FF808080"/>
        <rFont val="Consolas"/>
        <family val="3"/>
      </rPr>
      <t>.</t>
    </r>
    <r>
      <rPr>
        <b/>
        <sz val="10"/>
        <color theme="1"/>
        <rFont val="Consolas"/>
        <family val="3"/>
      </rPr>
      <t xml:space="preserve">updated_user </t>
    </r>
    <r>
      <rPr>
        <b/>
        <sz val="10"/>
        <color rgb="FF0080FF"/>
        <rFont val="Consolas"/>
        <family val="3"/>
      </rPr>
      <t>IS</t>
    </r>
    <r>
      <rPr>
        <b/>
        <sz val="10"/>
        <color theme="1"/>
        <rFont val="Consolas"/>
        <family val="3"/>
      </rPr>
      <t xml:space="preserve"> </t>
    </r>
    <r>
      <rPr>
        <b/>
        <sz val="10"/>
        <color rgb="FFFF2800"/>
        <rFont val="Consolas"/>
        <family val="3"/>
      </rPr>
      <t>'更新ユーザ'</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</si>
  <si>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summit_approval_related_application</t>
    </r>
    <r>
      <rPr>
        <b/>
        <sz val="10"/>
        <color rgb="FF808080"/>
        <rFont val="Consolas"/>
        <family val="3"/>
      </rPr>
      <t>.</t>
    </r>
    <r>
      <rPr>
        <b/>
        <sz val="10"/>
        <color theme="1"/>
        <rFont val="Consolas"/>
        <family val="3"/>
      </rPr>
      <t xml:space="preserve">record_creation_date_and_time </t>
    </r>
    <r>
      <rPr>
        <b/>
        <sz val="10"/>
        <color rgb="FF0080FF"/>
        <rFont val="Consolas"/>
        <family val="3"/>
      </rPr>
      <t>IS</t>
    </r>
    <r>
      <rPr>
        <b/>
        <sz val="10"/>
        <color theme="1"/>
        <rFont val="Consolas"/>
        <family val="3"/>
      </rPr>
      <t xml:space="preserve"> </t>
    </r>
    <r>
      <rPr>
        <b/>
        <sz val="10"/>
        <color rgb="FFFF2800"/>
        <rFont val="Consolas"/>
        <family val="3"/>
      </rPr>
      <t>'レコード作成日時'</t>
    </r>
    <r>
      <rPr>
        <b/>
        <sz val="10"/>
        <color rgb="FF808080"/>
        <rFont val="Consolas"/>
        <family val="3"/>
      </rPr>
      <t>;</t>
    </r>
  </si>
  <si>
    <r>
      <t>COMMENT</t>
    </r>
    <r>
      <rPr>
        <b/>
        <sz val="10"/>
        <color theme="1"/>
        <rFont val="Consolas"/>
        <family val="3"/>
      </rPr>
      <t xml:space="preserve"> </t>
    </r>
    <r>
      <rPr>
        <b/>
        <sz val="10"/>
        <color rgb="FF0080FF"/>
        <rFont val="Consolas"/>
        <family val="3"/>
      </rPr>
      <t>ON</t>
    </r>
    <r>
      <rPr>
        <b/>
        <sz val="10"/>
        <color theme="1"/>
        <rFont val="Consolas"/>
        <family val="3"/>
      </rPr>
      <t xml:space="preserve"> </t>
    </r>
    <r>
      <rPr>
        <b/>
        <sz val="10"/>
        <color rgb="FF0080FF"/>
        <rFont val="Consolas"/>
        <family val="3"/>
      </rPr>
      <t>COLUMN</t>
    </r>
    <r>
      <rPr>
        <b/>
        <sz val="10"/>
        <color theme="1"/>
        <rFont val="Consolas"/>
        <family val="3"/>
      </rPr>
      <t xml:space="preserve"> summit_approval_related_application</t>
    </r>
    <r>
      <rPr>
        <b/>
        <sz val="10"/>
        <color rgb="FF808080"/>
        <rFont val="Consolas"/>
        <family val="3"/>
      </rPr>
      <t>.</t>
    </r>
    <r>
      <rPr>
        <b/>
        <sz val="10"/>
        <color theme="1"/>
        <rFont val="Consolas"/>
        <family val="3"/>
      </rPr>
      <t xml:space="preserve">record_creation_user </t>
    </r>
    <r>
      <rPr>
        <b/>
        <sz val="10"/>
        <color rgb="FF0080FF"/>
        <rFont val="Consolas"/>
        <family val="3"/>
      </rPr>
      <t>IS</t>
    </r>
    <r>
      <rPr>
        <b/>
        <sz val="10"/>
        <color theme="1"/>
        <rFont val="Consolas"/>
        <family val="3"/>
      </rPr>
      <t xml:space="preserve"> </t>
    </r>
    <r>
      <rPr>
        <b/>
        <sz val="10"/>
        <color rgb="FFFF2800"/>
        <rFont val="Consolas"/>
        <family val="3"/>
      </rPr>
      <t>'レコード作成ユーザ'</t>
    </r>
    <r>
      <rPr>
        <b/>
        <sz val="10"/>
        <color rgb="FF808080"/>
        <rFont val="Consolas"/>
        <family val="3"/>
      </rPr>
      <t>;</t>
    </r>
  </si>
  <si>
    <t>b_hjn_com_営業決裁</t>
    <phoneticPr fontId="2"/>
  </si>
  <si>
    <t>V005120</t>
  </si>
  <si>
    <t>compass_sales_approval</t>
    <phoneticPr fontId="2"/>
  </si>
  <si>
    <t>(COMPASS)営業決裁</t>
  </si>
  <si>
    <t>COMPASSより連携される「営業決裁」を公開する</t>
  </si>
  <si>
    <t>ID</t>
  </si>
  <si>
    <t>id</t>
  </si>
  <si>
    <t>ステータス</t>
  </si>
  <si>
    <t>status</t>
  </si>
  <si>
    <t>YYYY-MM-DD HH24:MI:SS.mmm</t>
  </si>
  <si>
    <t>モバイル</t>
  </si>
  <si>
    <t>mobile_type</t>
  </si>
  <si>
    <t>音声</t>
  </si>
  <si>
    <t>voice_type</t>
  </si>
  <si>
    <t>音声(おとく光電話)</t>
  </si>
  <si>
    <t>voice_otoku_hikari_type</t>
  </si>
  <si>
    <t>ID(データ)</t>
  </si>
  <si>
    <t>id_data_type</t>
  </si>
  <si>
    <t>IS(NI・物販)</t>
  </si>
  <si>
    <t>is_ni_product_type</t>
  </si>
  <si>
    <t>PHS</t>
  </si>
  <si>
    <t>phs_type</t>
  </si>
  <si>
    <t>【共通】値引きなど</t>
  </si>
  <si>
    <t>common_discounts_etc</t>
  </si>
  <si>
    <t>【共通】法人まとめ請求</t>
  </si>
  <si>
    <t>common_corporate_consolidated_billing</t>
  </si>
  <si>
    <t>【共通】試験用回線</t>
  </si>
  <si>
    <t>common_test_lines</t>
  </si>
  <si>
    <t>【モバイル】決裁パターンA(試算シートの利益率判断)</t>
  </si>
  <si>
    <t>mobile_approval_pattern_a</t>
  </si>
  <si>
    <t>【モバイル】決裁パターンC(試算シートを必要としない減免)</t>
  </si>
  <si>
    <t>mobile_approval_pattern_c</t>
  </si>
  <si>
    <t>【モバイル】決裁パターンE</t>
  </si>
  <si>
    <t>mobile_approval_pattern_e</t>
  </si>
  <si>
    <t>【モバイル】インセンティブ調整(増減額)</t>
  </si>
  <si>
    <t>mobile_incentive_adjustment_increase</t>
  </si>
  <si>
    <t>【モバイル】再販又はレンタル事業者へのサービス提供</t>
  </si>
  <si>
    <t>mobile_resale_or_rental_companies</t>
  </si>
  <si>
    <t>【モバイル】預託金・連帯保証・与信緩和</t>
  </si>
  <si>
    <t>mobile_deposits_joint_guarantees_credit_relaxation</t>
  </si>
  <si>
    <t>【共通】QAレビュー実施案件</t>
  </si>
  <si>
    <t>common_qa_review_cases</t>
  </si>
  <si>
    <t>【共通】特殊な債権回収条件(支払いサイトの変更)</t>
  </si>
  <si>
    <t>special_debt_collection</t>
  </si>
  <si>
    <t>【共通】建設業法に関わる工事案件</t>
  </si>
  <si>
    <t>construction_industry_law</t>
  </si>
  <si>
    <t>水際処理・代理店コード変更</t>
  </si>
  <si>
    <t>agency_code_change</t>
  </si>
  <si>
    <t>料金調整・現金返還・料金減免</t>
  </si>
  <si>
    <t>refund_fee_reduction</t>
  </si>
  <si>
    <t>代理店契約</t>
  </si>
  <si>
    <t>agency_contract</t>
  </si>
  <si>
    <t>【ID(データ)】ODNコンシューマ仕様</t>
  </si>
  <si>
    <t>odn_consumer_specifications</t>
  </si>
  <si>
    <t>再販契約</t>
  </si>
  <si>
    <t>reseller_contract</t>
  </si>
  <si>
    <t>【ID(データ)】課金テーブル設定</t>
  </si>
  <si>
    <t>id_data_charging_table_settings</t>
  </si>
  <si>
    <t>料率・インセンティブ設定</t>
  </si>
  <si>
    <t>rate_incentive_settings</t>
  </si>
  <si>
    <t>損害補填目的での料金調整</t>
  </si>
  <si>
    <t>fee_adjustment_for_damage_compensation</t>
  </si>
  <si>
    <t>決裁特別施策(モバイル黒字)</t>
  </si>
  <si>
    <t>special_approval_measures_mobile_profit</t>
  </si>
  <si>
    <t>契約締結(提案決裁承認後)</t>
  </si>
  <si>
    <t>contract_conclusion_after_proposal_approval</t>
  </si>
  <si>
    <t>みなし法人</t>
  </si>
  <si>
    <t>deemed_corporation</t>
  </si>
  <si>
    <t>仕入れ販売(300万円以下＆黒字)</t>
  </si>
  <si>
    <t>under_3_million_yen_profit</t>
  </si>
  <si>
    <t>データ系再販(手数料型)</t>
  </si>
  <si>
    <t>data_resale_commission_type</t>
  </si>
  <si>
    <t>【共通】特殊値引(特別タリフ・個別タリフなど)</t>
  </si>
  <si>
    <t>common_special_discounts_special_tariffs_individual_tariffs</t>
  </si>
  <si>
    <t>【ID(データ)】再販(ID)</t>
  </si>
  <si>
    <t>id_data_resale_id</t>
  </si>
  <si>
    <t>【IS(NI・物販)】再販(IS)</t>
  </si>
  <si>
    <t>is_ni_product_sales_resale_is</t>
  </si>
  <si>
    <t>先行発注</t>
  </si>
  <si>
    <t>pre_order</t>
  </si>
  <si>
    <t>再販契約(データ)</t>
  </si>
  <si>
    <t>reseller_contract_data</t>
  </si>
  <si>
    <t>契約締結(単独)</t>
  </si>
  <si>
    <t>contract_conclusion_single</t>
  </si>
  <si>
    <t>社外文書提出</t>
  </si>
  <si>
    <t>external_document_submission</t>
  </si>
  <si>
    <t>NDA契約</t>
  </si>
  <si>
    <t>nda_agreement</t>
  </si>
  <si>
    <t>その他</t>
  </si>
  <si>
    <t>other_type</t>
  </si>
  <si>
    <t>originators_name</t>
  </si>
  <si>
    <t>起案者電話番号</t>
  </si>
  <si>
    <t>originators_phone_number</t>
  </si>
  <si>
    <t>起案者の所属組織情報一覧</t>
  </si>
  <si>
    <t>affiliated_org_address_list</t>
  </si>
  <si>
    <t>source_aggregation_sheet_info</t>
  </si>
  <si>
    <t>集約番号</t>
  </si>
  <si>
    <t>aggregation_number</t>
  </si>
  <si>
    <t>実行予定日（提案/処理依頼予定日)</t>
  </si>
  <si>
    <t>YYYY-MM-DD</t>
  </si>
  <si>
    <t>approval_document_period_months</t>
  </si>
  <si>
    <t>whether_credit_review</t>
  </si>
  <si>
    <t>与信審査依頼名（COMPASS）</t>
  </si>
  <si>
    <t>credit_review_request_name_compass</t>
  </si>
  <si>
    <t>与信審査依頼名（BFS）</t>
  </si>
  <si>
    <t>credit_review_request_name_bfs</t>
  </si>
  <si>
    <t>whether_legal_pre_review_conducted</t>
  </si>
  <si>
    <t>法務事前審査依頼番号</t>
  </si>
  <si>
    <t>legal_pre_review_request_number</t>
  </si>
  <si>
    <t>再決裁・起案フラグ</t>
  </si>
  <si>
    <t>決裁前事前承認フラグ</t>
  </si>
  <si>
    <t>pre_approval_flag</t>
  </si>
  <si>
    <t>申請者</t>
  </si>
  <si>
    <t>applicant</t>
  </si>
  <si>
    <t>承認ルートとして利用する組織（起案者の本務/兼務）</t>
  </si>
  <si>
    <t>orgl_route_proposers_duties</t>
  </si>
  <si>
    <t>承認ルートとして利用する組織（営業担当者の本務/兼務）</t>
  </si>
  <si>
    <t>orgl_route_sales_duties</t>
  </si>
  <si>
    <t>営業担当者の所属組織情報一覧</t>
  </si>
  <si>
    <t>sales_representatives_list</t>
  </si>
  <si>
    <t>包括決裁</t>
  </si>
  <si>
    <t>comprehensive_approval</t>
  </si>
  <si>
    <t>グループ包括決裁</t>
  </si>
  <si>
    <t>group_comprehensive_approval</t>
  </si>
  <si>
    <t>他案件で利用</t>
  </si>
  <si>
    <t>used_in_other_projects</t>
  </si>
  <si>
    <t>contact_name</t>
  </si>
  <si>
    <t>担当者電話番号</t>
  </si>
  <si>
    <t>contact_phone_number</t>
  </si>
  <si>
    <t>pre_confirmation</t>
  </si>
  <si>
    <t>決裁事前相談名</t>
  </si>
  <si>
    <t>pre_approval_consultation_name</t>
  </si>
  <si>
    <t>案件名</t>
  </si>
  <si>
    <t>project_name</t>
  </si>
  <si>
    <t>案件ID</t>
  </si>
  <si>
    <t>project_id</t>
  </si>
  <si>
    <t>統一企業コード</t>
  </si>
  <si>
    <t>TSR評点</t>
  </si>
  <si>
    <t>18,0</t>
  </si>
  <si>
    <t>契約期間（ヶ月）</t>
  </si>
  <si>
    <t>contract_period_months</t>
  </si>
  <si>
    <t>契約開始予定日</t>
  </si>
  <si>
    <t>SBTM直轄現調・開通立会い回線数</t>
    <phoneticPr fontId="2"/>
  </si>
  <si>
    <t>number_of_lines_attended_opening</t>
  </si>
  <si>
    <t>開通工事費無料</t>
  </si>
  <si>
    <t>activation_installation_fee</t>
  </si>
  <si>
    <t>番ポ工事費＋付加サービス_工事費無料</t>
  </si>
  <si>
    <t>free_installation_and_additional_service_fee</t>
  </si>
  <si>
    <t>負担内容1</t>
  </si>
  <si>
    <t>free_installation_fee</t>
  </si>
  <si>
    <t>負担費用　月額1（円）</t>
  </si>
  <si>
    <t>banner_installation_fee_additional_services</t>
  </si>
  <si>
    <t>負担費用　一時金1（円）</t>
  </si>
  <si>
    <t>cost_1</t>
  </si>
  <si>
    <t>負担内容2</t>
  </si>
  <si>
    <t>cost_monthly_per_yen1</t>
  </si>
  <si>
    <t>負担費用　月額2（円）</t>
  </si>
  <si>
    <t>cost_lump_sum_per_yen1</t>
  </si>
  <si>
    <t>負担費用　一時金2（円）</t>
  </si>
  <si>
    <t>cost_monthly_per_yen2</t>
  </si>
  <si>
    <t>負担内容3</t>
  </si>
  <si>
    <t>cost_lump_sum_per_yen2</t>
  </si>
  <si>
    <t>負担費用　月額3（円）</t>
  </si>
  <si>
    <t>cost_monthly_per_yen3</t>
  </si>
  <si>
    <t>負担費用　一時金3（円）</t>
  </si>
  <si>
    <t>cost_lump_sum_per_yen3</t>
  </si>
  <si>
    <t>案件概要①（要旨記述）</t>
  </si>
  <si>
    <t>project_summary_1_summary</t>
  </si>
  <si>
    <t>案件概要②（要旨記述・その他）</t>
  </si>
  <si>
    <t>project_summary_2_summary</t>
  </si>
  <si>
    <t>見込回線数（上限）</t>
  </si>
  <si>
    <t>other</t>
  </si>
  <si>
    <t>expected_number_of_lines_maximum</t>
  </si>
  <si>
    <t>割引率（％）</t>
  </si>
  <si>
    <t>applicable_platform_discount_rate_percent</t>
  </si>
  <si>
    <t>exemption_deduction</t>
  </si>
  <si>
    <t>減免額（円）</t>
  </si>
  <si>
    <t>exemption_amount_yen</t>
  </si>
  <si>
    <t>売上（円）</t>
  </si>
  <si>
    <t>sales_yen</t>
  </si>
  <si>
    <t>営業変動利益（円）</t>
  </si>
  <si>
    <t>variable_operating_profit_yen</t>
  </si>
  <si>
    <t>営業変動利益率（％）</t>
  </si>
  <si>
    <t>variable_operating_profit_margin_percent</t>
  </si>
  <si>
    <t>営業貢献利益（円）</t>
  </si>
  <si>
    <t>operating_contribution_margin_yen</t>
  </si>
  <si>
    <t>営業貢献利益率（％）</t>
  </si>
  <si>
    <t>operating_contribution_margin_margin_percent</t>
  </si>
  <si>
    <t>営業利益（円）</t>
  </si>
  <si>
    <t>operating_profit_yen</t>
  </si>
  <si>
    <t>営業利益率（％）</t>
  </si>
  <si>
    <t>operating_profit_margin_percent</t>
  </si>
  <si>
    <t>音声営業貢献利益（円）</t>
  </si>
  <si>
    <t>voice_sales_contribution_margin_yen</t>
  </si>
  <si>
    <t>音声営業貢献利益率（％）</t>
  </si>
  <si>
    <t>voice_sales_contribution_margin_margin_percent</t>
  </si>
  <si>
    <t>ID(データ)決裁基準利益（円）</t>
  </si>
  <si>
    <t>id_data_approval_base_profit_yen</t>
  </si>
  <si>
    <t>ID(データ)決裁基準利益率（％）</t>
  </si>
  <si>
    <t>id_data_approval_base_profit_margin_percent</t>
  </si>
  <si>
    <t>IS(NI・物販)決裁基準利益（円）</t>
  </si>
  <si>
    <t>is_ni_product_sales_approval_base_profit_yen</t>
  </si>
  <si>
    <t>IS(NI・物販)決裁基準利益率（％）</t>
  </si>
  <si>
    <t>is_ni_product_sales_approval_base_profit_margin_percent</t>
  </si>
  <si>
    <t>モバイル営業貢献利益（円）</t>
  </si>
  <si>
    <t>mobile_sales_contribution_margin_yen</t>
  </si>
  <si>
    <t>モバイル営業貢献利益率（％）</t>
  </si>
  <si>
    <t>mobile_sales_contribution_margin_margin_percent</t>
  </si>
  <si>
    <t>代理店情報手入力フラグ</t>
  </si>
  <si>
    <t>agency_information_manual_input_flag</t>
  </si>
  <si>
    <t>代理店名（参照）</t>
  </si>
  <si>
    <t>agency_name_reference</t>
  </si>
  <si>
    <t>代理店名（試算）</t>
  </si>
  <si>
    <t>agency_name_estimate</t>
  </si>
  <si>
    <t>手数料率（％）</t>
  </si>
  <si>
    <t>commission_rate_percent_incent</t>
  </si>
  <si>
    <t>インセンティブ額（円）</t>
  </si>
  <si>
    <t>incentive_amount_yen</t>
  </si>
  <si>
    <t>自動更新有無</t>
  </si>
  <si>
    <t>automatic_renewal</t>
  </si>
  <si>
    <t>SBM回線数（上限）</t>
  </si>
  <si>
    <t>sbm_line_count_upper</t>
  </si>
  <si>
    <t>SBM回線数（下限）</t>
  </si>
  <si>
    <t>sbm_line_count_lower</t>
  </si>
  <si>
    <t>ﾓﾊﾞｲﾙ(YM)回線数(上限)</t>
  </si>
  <si>
    <t>mobile_ym_line_count_upper</t>
  </si>
  <si>
    <t>ﾓﾊﾞｲﾙ(YM)回線数(下限）</t>
  </si>
  <si>
    <t>mobile_ym_line_count_lower</t>
  </si>
  <si>
    <t>外部支出総額・仕入額（円）</t>
  </si>
  <si>
    <t>total_external_expenses_purchases_yen</t>
  </si>
  <si>
    <t>音声(おとく光電話)営業貢献利益（円）</t>
  </si>
  <si>
    <t>voice_otoku_hikari_phone_sales_contribution_margin_yen</t>
  </si>
  <si>
    <t>音声(おとく光電話)営業貢献利益率（％）</t>
  </si>
  <si>
    <t>voice_otoku_hikari_phone_sales_contribution_margin_rate_percent</t>
  </si>
  <si>
    <t>減免・調整・返還・回収金額（円）</t>
  </si>
  <si>
    <t>deduction_adjustment_refund_recovery_amount_yen</t>
  </si>
  <si>
    <t>外部支出総額（円）</t>
  </si>
  <si>
    <t>total_external_expenses_yen</t>
  </si>
  <si>
    <t>売上総合計金額（円）</t>
  </si>
  <si>
    <t>total_sales_amount_yen</t>
  </si>
  <si>
    <t>invoice_reissue</t>
  </si>
  <si>
    <t>関連する決裁（COMPASS）</t>
  </si>
  <si>
    <t>related_approvals_compass</t>
  </si>
  <si>
    <t>稟議申請番号（COMPASS以外）</t>
  </si>
  <si>
    <t>approval_request_number_other_than_compass</t>
  </si>
  <si>
    <t>ソリューション販売管理システム見積番号</t>
  </si>
  <si>
    <t>solution_sales_management_system_quote_number</t>
  </si>
  <si>
    <t>アセットDB番号</t>
  </si>
  <si>
    <t>代理店申請書番号</t>
  </si>
  <si>
    <t>agency_application_number</t>
  </si>
  <si>
    <t>代理店申請書番号（SDWF）</t>
  </si>
  <si>
    <t>agency_application_number_sd_wf</t>
  </si>
  <si>
    <t>追加・変更内容</t>
  </si>
  <si>
    <t>additions_changes</t>
  </si>
  <si>
    <t>入力者</t>
  </si>
  <si>
    <t>inputter</t>
  </si>
  <si>
    <t>入力日</t>
  </si>
  <si>
    <t>input_date</t>
  </si>
  <si>
    <t>契約化必須条件1</t>
  </si>
  <si>
    <t>contractual_condition_1</t>
  </si>
  <si>
    <t>契約化必須条件2</t>
  </si>
  <si>
    <t>contractual_condition_2</t>
  </si>
  <si>
    <t>フローから子決裁作成フラグ</t>
  </si>
  <si>
    <t>create_sub_approval_from_flow_flag</t>
  </si>
  <si>
    <t>非公開フラグ</t>
  </si>
  <si>
    <t>private_flag</t>
  </si>
  <si>
    <t>承認日時</t>
  </si>
  <si>
    <t>有効期限</t>
  </si>
  <si>
    <t>expiration_date</t>
  </si>
  <si>
    <t>追加情報欄</t>
  </si>
  <si>
    <t>additional_information_field</t>
  </si>
  <si>
    <t>基となる提案決裁</t>
  </si>
  <si>
    <t>based_proposal_approval</t>
  </si>
  <si>
    <t>承認ルート基準</t>
  </si>
  <si>
    <t>approval_route_criteria</t>
  </si>
  <si>
    <t>仕入先与信</t>
  </si>
  <si>
    <t>supplier_credit</t>
  </si>
  <si>
    <t>有効</t>
  </si>
  <si>
    <t>valid_flg</t>
  </si>
  <si>
    <t>レコードID（数式）</t>
  </si>
  <si>
    <t>record_id_formula</t>
  </si>
  <si>
    <t>作成者ID</t>
  </si>
  <si>
    <t>creator_id</t>
  </si>
  <si>
    <t>creation_date</t>
  </si>
  <si>
    <t>削除</t>
  </si>
  <si>
    <t>deleted_flg</t>
  </si>
  <si>
    <t>最終更新者ID</t>
  </si>
  <si>
    <t>last_updated_by_id</t>
  </si>
  <si>
    <t>最終更新日</t>
  </si>
  <si>
    <t>last_updated_date</t>
  </si>
  <si>
    <t>最終参照日</t>
  </si>
  <si>
    <t>last_reference_date</t>
  </si>
  <si>
    <t>最終閲覧日</t>
  </si>
  <si>
    <t>last_viewed_date</t>
  </si>
  <si>
    <t>所有者ID</t>
  </si>
  <si>
    <t>owner_id</t>
  </si>
  <si>
    <t>レコードタイプID</t>
  </si>
  <si>
    <t>record_type_id</t>
  </si>
  <si>
    <t>SystemModstamp</t>
  </si>
  <si>
    <t>systemmodstamp</t>
  </si>
  <si>
    <t>SUMMITデータ移行フラグ</t>
  </si>
  <si>
    <t>summit_data_migration_flag</t>
  </si>
  <si>
    <t>与信審査依頼名（COMPASS）有無判定</t>
  </si>
  <si>
    <t>credit_review_request_name_compass_presence_absence</t>
  </si>
  <si>
    <t>試算シート有無</t>
  </si>
  <si>
    <t>estimate_sheet_presence_absence</t>
  </si>
  <si>
    <t>プロダクト事前相談</t>
  </si>
  <si>
    <t>product_pre_consultation</t>
  </si>
  <si>
    <t>モバイル相対相談承認条件</t>
  </si>
  <si>
    <t>mobile_p2p_consultation_approval_conditions</t>
  </si>
  <si>
    <t>事前相談承認条件</t>
  </si>
  <si>
    <t>pre_consultation_approval_conditions</t>
  </si>
  <si>
    <t>要旨補足（申請者専用）</t>
  </si>
  <si>
    <t>summary_supplement_applicant_only</t>
  </si>
  <si>
    <t>承認日時（UnixTime）</t>
  </si>
  <si>
    <t>approval_date_and_time_unixtime</t>
  </si>
  <si>
    <t>コメント１</t>
  </si>
  <si>
    <t>comment_1</t>
  </si>
  <si>
    <t>コメント２</t>
  </si>
  <si>
    <t>comment_2</t>
  </si>
  <si>
    <t>コメント３</t>
  </si>
  <si>
    <t>comment_3</t>
  </si>
  <si>
    <t>コメント４</t>
  </si>
  <si>
    <t>comment_4</t>
  </si>
  <si>
    <t>コメント５</t>
  </si>
  <si>
    <t>comment_5</t>
  </si>
  <si>
    <t>共有用メールアドレス①</t>
  </si>
  <si>
    <t>shared_email_address_1</t>
  </si>
  <si>
    <t>共有用メールアドレス②</t>
  </si>
  <si>
    <t>shared_email_address_2</t>
  </si>
  <si>
    <t>共有用メールアドレス③</t>
  </si>
  <si>
    <t>shared_email_address_3</t>
  </si>
  <si>
    <t>起案者共通社員番号</t>
  </si>
  <si>
    <t>proposers_common_employee_id</t>
  </si>
  <si>
    <t>起案者部署</t>
  </si>
  <si>
    <t>proposers_dept</t>
  </si>
  <si>
    <t>起案部署_組織コード(本部)</t>
  </si>
  <si>
    <t>proposal_dept_org_code_headquarters</t>
  </si>
  <si>
    <t>起案部署_組織コード(統括部)</t>
  </si>
  <si>
    <t>proposal_dept_org_general_affairs_dept</t>
  </si>
  <si>
    <t>起案部署_組織コード(部)</t>
  </si>
  <si>
    <t>proposal_dept_org_code_dept</t>
  </si>
  <si>
    <t>申請者（グループ名）</t>
  </si>
  <si>
    <t>applicants_group_name</t>
  </si>
  <si>
    <t>申請者（ユーザーID）</t>
  </si>
  <si>
    <t>applicants_user_id</t>
  </si>
  <si>
    <t>申請者（ユーザー名）</t>
  </si>
  <si>
    <t>applicants_user_name</t>
  </si>
  <si>
    <t>同意者（グループ名）</t>
  </si>
  <si>
    <t>consenters_group_name</t>
  </si>
  <si>
    <t>同意者（ユーザーID）</t>
  </si>
  <si>
    <t>consenters_user_id</t>
  </si>
  <si>
    <t>同意者（ユーザー名）</t>
  </si>
  <si>
    <t>consenters_user_name</t>
  </si>
  <si>
    <t>承認者のレイヤー</t>
  </si>
  <si>
    <t>approvers_layer</t>
  </si>
  <si>
    <t>承認者（グループ名）</t>
  </si>
  <si>
    <t>approvers_group_name</t>
  </si>
  <si>
    <t>承認者（ユーザーID）</t>
  </si>
  <si>
    <t>approvers_user_id</t>
  </si>
  <si>
    <t>承認者（ユーザー名）</t>
  </si>
  <si>
    <t>approvers_user_name</t>
  </si>
  <si>
    <t>last_processing_date_and_time</t>
  </si>
  <si>
    <t>承認履歴</t>
  </si>
  <si>
    <t>approval_history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</si>
</sst>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游ゴシック"/>
      <family val="2"/>
      <scheme val="minor"/>
    </font>
    <font>
      <u/>
      <sz val="11"/>
      <color theme="10"/>
      <name val="游ゴシック"/>
      <family val="2"/>
      <scheme val="minor"/>
    </font>
    <font>
      <sz val="6"/>
      <name val="游ゴシック"/>
      <family val="3"/>
      <charset val="128"/>
      <scheme val="minor"/>
    </font>
    <font>
      <b/>
      <sz val="9"/>
      <color rgb="FFFFFFFF"/>
      <name val="Noto Sans JP"/>
      <family val="3"/>
      <charset val="128"/>
    </font>
    <font>
      <sz val="9"/>
      <color theme="1"/>
      <name val="Noto Sans JP"/>
      <family val="3"/>
      <charset val="128"/>
    </font>
    <font>
      <b/>
      <sz val="6"/>
      <color rgb="FFFFFFFF"/>
      <name val="Noto Sans JP"/>
      <family val="3"/>
      <charset val="128"/>
    </font>
    <font>
      <sz val="6"/>
      <color theme="1"/>
      <name val="Noto Sans JP"/>
      <family val="3"/>
      <charset val="128"/>
    </font>
    <font>
      <b/>
      <sz val="11"/>
      <color theme="0"/>
      <name val="游ゴシック"/>
      <family val="3"/>
      <charset val="128"/>
      <scheme val="minor"/>
    </font>
    <font>
      <sz val="10"/>
      <color theme="1"/>
      <name val="Consolas"/>
      <family val="3"/>
    </font>
    <font>
      <sz val="10"/>
      <color rgb="FF0080FF"/>
      <name val="Consolas"/>
      <family val="3"/>
    </font>
    <font>
      <sz val="10"/>
      <color rgb="FF808080"/>
      <name val="Consolas"/>
      <family val="3"/>
    </font>
    <font>
      <sz val="10"/>
      <color rgb="FFFF2800"/>
      <name val="Consolas"/>
      <family val="3"/>
    </font>
    <font>
      <sz val="11"/>
      <color rgb="FFFF0000"/>
      <name val="游ゴシック"/>
      <family val="2"/>
      <scheme val="minor"/>
    </font>
    <font>
      <sz val="11"/>
      <color rgb="FFFF0000"/>
      <name val="游ゴシック"/>
      <family val="3"/>
      <charset val="128"/>
      <scheme val="minor"/>
    </font>
    <font>
      <b/>
      <sz val="10"/>
      <color rgb="FF0080FF"/>
      <name val="Consolas"/>
      <family val="3"/>
    </font>
    <font>
      <b/>
      <sz val="10"/>
      <color theme="1"/>
      <name val="Consolas"/>
      <family val="3"/>
    </font>
    <font>
      <b/>
      <sz val="10"/>
      <color rgb="FF808080"/>
      <name val="Consolas"/>
      <family val="3"/>
    </font>
    <font>
      <b/>
      <sz val="10"/>
      <color rgb="FFFF2800"/>
      <name val="Consolas"/>
      <family val="3"/>
    </font>
    <font>
      <sz val="11"/>
      <color rgb="FF569CD6"/>
      <name val="Consolas"/>
      <family val="3"/>
    </font>
  </fonts>
  <fills count="7">
    <fill>
      <patternFill patternType="none"/>
    </fill>
    <fill>
      <patternFill patternType="gray125"/>
    </fill>
    <fill>
      <patternFill patternType="solid">
        <fgColor rgb="FF000080"/>
        <bgColor indexed="64"/>
      </patternFill>
    </fill>
    <fill>
      <patternFill patternType="solid">
        <fgColor rgb="FFFFFFFF"/>
        <bgColor indexed="64"/>
      </patternFill>
    </fill>
    <fill>
      <patternFill patternType="solid">
        <fgColor rgb="FFF0F0F0"/>
        <bgColor indexed="64"/>
      </patternFill>
    </fill>
    <fill>
      <patternFill patternType="solid">
        <fgColor rgb="FF0070C0"/>
        <bgColor indexed="64"/>
      </patternFill>
    </fill>
    <fill>
      <patternFill patternType="solid">
        <fgColor rgb="FFFFFF00"/>
        <bgColor indexed="64"/>
      </patternFill>
    </fill>
  </fills>
  <borders count="1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2">
    <xf numFmtId="0" fontId="0" fillId="0" borderId="0"/>
    <xf numFmtId="0" fontId="1" fillId="0" borderId="0" applyNumberFormat="0" applyFill="0" applyBorder="0" applyAlignment="0" applyProtection="0"/>
  </cellStyleXfs>
  <cellXfs count="77">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3" fillId="2" borderId="1" xfId="0" applyFont="1" applyFill="1" applyBorder="1" applyAlignment="1">
      <alignment horizontal="center" vertical="center"/>
    </xf>
    <xf numFmtId="0" fontId="1" fillId="3" borderId="1" xfId="1" applyFill="1" applyBorder="1" applyAlignment="1">
      <alignment vertical="center" wrapText="1"/>
    </xf>
    <xf numFmtId="0" fontId="4" fillId="4" borderId="1" xfId="0" applyFont="1" applyFill="1" applyBorder="1" applyAlignment="1">
      <alignment vertical="center" wrapText="1"/>
    </xf>
    <xf numFmtId="0" fontId="4" fillId="4" borderId="1" xfId="0" applyFont="1" applyFill="1" applyBorder="1" applyAlignment="1">
      <alignment horizontal="center" vertical="center" wrapText="1"/>
    </xf>
    <xf numFmtId="0" fontId="1" fillId="4" borderId="1" xfId="1" applyFill="1" applyBorder="1" applyAlignment="1">
      <alignment vertical="center" wrapText="1"/>
    </xf>
    <xf numFmtId="0" fontId="5"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vertical="center" wrapText="1"/>
    </xf>
    <xf numFmtId="0" fontId="5" fillId="2" borderId="1" xfId="0" applyFont="1" applyFill="1" applyBorder="1" applyAlignment="1">
      <alignment horizontal="center" vertical="center"/>
    </xf>
    <xf numFmtId="0" fontId="6" fillId="4" borderId="1" xfId="0" applyFont="1" applyFill="1" applyBorder="1" applyAlignment="1">
      <alignment vertical="center" wrapText="1"/>
    </xf>
    <xf numFmtId="0" fontId="6" fillId="4" borderId="1" xfId="0" applyFont="1" applyFill="1" applyBorder="1" applyAlignment="1">
      <alignment horizontal="center" vertical="center" wrapText="1"/>
    </xf>
    <xf numFmtId="0" fontId="6" fillId="4" borderId="8" xfId="0" applyFont="1" applyFill="1" applyBorder="1" applyAlignment="1">
      <alignment vertical="center" wrapText="1"/>
    </xf>
    <xf numFmtId="0" fontId="6" fillId="4" borderId="9" xfId="0" applyFont="1" applyFill="1" applyBorder="1" applyAlignment="1">
      <alignment vertical="center" wrapText="1"/>
    </xf>
    <xf numFmtId="0" fontId="6" fillId="3" borderId="8" xfId="0" applyFont="1" applyFill="1" applyBorder="1" applyAlignment="1">
      <alignment vertical="center" wrapText="1"/>
    </xf>
    <xf numFmtId="0" fontId="6" fillId="3" borderId="10" xfId="0" applyFont="1" applyFill="1" applyBorder="1" applyAlignment="1">
      <alignment vertical="center" wrapText="1"/>
    </xf>
    <xf numFmtId="0" fontId="0" fillId="3" borderId="10" xfId="0" applyFill="1" applyBorder="1" applyAlignment="1">
      <alignment vertical="center" wrapText="1"/>
    </xf>
    <xf numFmtId="0" fontId="6" fillId="3" borderId="9" xfId="0" applyFont="1" applyFill="1" applyBorder="1" applyAlignment="1">
      <alignment vertical="center" wrapText="1"/>
    </xf>
    <xf numFmtId="0" fontId="6" fillId="4" borderId="10" xfId="0" applyFont="1" applyFill="1" applyBorder="1" applyAlignment="1">
      <alignment vertical="center" wrapText="1"/>
    </xf>
    <xf numFmtId="0" fontId="0" fillId="4" borderId="10" xfId="0" applyFill="1" applyBorder="1" applyAlignment="1">
      <alignment vertical="center" wrapText="1"/>
    </xf>
    <xf numFmtId="0" fontId="0" fillId="0" borderId="13" xfId="0" applyBorder="1"/>
    <xf numFmtId="0" fontId="0" fillId="0" borderId="13" xfId="0" applyBorder="1" applyAlignment="1">
      <alignment shrinkToFit="1"/>
    </xf>
    <xf numFmtId="0" fontId="0" fillId="0" borderId="0" xfId="0" applyAlignment="1">
      <alignment shrinkToFit="1"/>
    </xf>
    <xf numFmtId="0" fontId="7" fillId="5" borderId="13" xfId="0" applyFont="1" applyFill="1" applyBorder="1" applyAlignment="1">
      <alignment shrinkToFit="1"/>
    </xf>
    <xf numFmtId="0" fontId="7" fillId="5" borderId="13" xfId="0" applyFont="1" applyFill="1" applyBorder="1"/>
    <xf numFmtId="0" fontId="4" fillId="3" borderId="10" xfId="0" applyFont="1" applyFill="1" applyBorder="1" applyAlignment="1">
      <alignment vertical="center" wrapText="1"/>
    </xf>
    <xf numFmtId="0" fontId="9" fillId="0" borderId="0" xfId="0" applyFont="1" applyAlignment="1">
      <alignment vertical="center"/>
    </xf>
    <xf numFmtId="0" fontId="8" fillId="0" borderId="0" xfId="0" applyFont="1" applyAlignment="1">
      <alignment vertical="center"/>
    </xf>
    <xf numFmtId="0" fontId="12" fillId="6" borderId="0" xfId="0" applyFont="1" applyFill="1" applyAlignment="1">
      <alignment shrinkToFit="1"/>
    </xf>
    <xf numFmtId="0" fontId="13" fillId="6" borderId="0" xfId="0" applyFont="1" applyFill="1" applyAlignment="1">
      <alignment shrinkToFit="1"/>
    </xf>
    <xf numFmtId="0" fontId="14" fillId="0" borderId="0" xfId="0" applyFont="1" applyAlignment="1">
      <alignment vertical="center"/>
    </xf>
    <xf numFmtId="0" fontId="15" fillId="0" borderId="0" xfId="0" applyFont="1" applyAlignment="1">
      <alignment vertical="center"/>
    </xf>
    <xf numFmtId="0" fontId="3" fillId="2" borderId="8" xfId="0" applyFont="1" applyFill="1" applyBorder="1" applyAlignment="1">
      <alignment horizontal="center" vertical="center"/>
    </xf>
    <xf numFmtId="0" fontId="0" fillId="0" borderId="13" xfId="0" applyBorder="1" applyAlignment="1">
      <alignment vertical="center"/>
    </xf>
    <xf numFmtId="0" fontId="4" fillId="3" borderId="13" xfId="0" applyFont="1" applyFill="1" applyBorder="1" applyAlignment="1">
      <alignment vertical="center" wrapText="1"/>
    </xf>
    <xf numFmtId="0" fontId="0" fillId="0" borderId="15" xfId="0" applyBorder="1"/>
    <xf numFmtId="0" fontId="18" fillId="0" borderId="0" xfId="0" applyFont="1" applyAlignment="1">
      <alignment vertical="center"/>
    </xf>
    <xf numFmtId="0" fontId="18" fillId="0" borderId="14" xfId="0" applyFont="1" applyBorder="1" applyAlignment="1">
      <alignment vertical="center"/>
    </xf>
    <xf numFmtId="0" fontId="4" fillId="3" borderId="2" xfId="0" applyFont="1" applyFill="1" applyBorder="1" applyAlignment="1">
      <alignment vertical="center" wrapText="1"/>
    </xf>
    <xf numFmtId="0" fontId="4" fillId="3" borderId="3" xfId="0" applyFont="1" applyFill="1" applyBorder="1" applyAlignment="1">
      <alignment vertical="center" wrapText="1"/>
    </xf>
    <xf numFmtId="0" fontId="4" fillId="3" borderId="4" xfId="0" applyFont="1" applyFill="1" applyBorder="1" applyAlignment="1">
      <alignment vertical="center" wrapText="1"/>
    </xf>
    <xf numFmtId="0" fontId="4" fillId="3" borderId="5" xfId="0" applyFont="1" applyFill="1" applyBorder="1" applyAlignment="1">
      <alignment vertical="center" wrapText="1"/>
    </xf>
    <xf numFmtId="0" fontId="4" fillId="3" borderId="6" xfId="0" applyFont="1" applyFill="1" applyBorder="1" applyAlignment="1">
      <alignment vertical="center" wrapText="1"/>
    </xf>
    <xf numFmtId="0" fontId="4" fillId="3" borderId="7" xfId="0" applyFont="1" applyFill="1" applyBorder="1" applyAlignment="1">
      <alignment vertical="center" wrapText="1"/>
    </xf>
    <xf numFmtId="0" fontId="6" fillId="3" borderId="8" xfId="0" applyFont="1" applyFill="1" applyBorder="1" applyAlignment="1">
      <alignment vertical="center" wrapText="1"/>
    </xf>
    <xf numFmtId="0" fontId="6" fillId="3" borderId="9" xfId="0" applyFont="1" applyFill="1" applyBorder="1" applyAlignment="1">
      <alignment vertical="center" wrapText="1"/>
    </xf>
    <xf numFmtId="0" fontId="6" fillId="4" borderId="8"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1" fillId="4" borderId="8" xfId="1" applyFill="1" applyBorder="1" applyAlignment="1">
      <alignment vertical="center" wrapText="1"/>
    </xf>
    <xf numFmtId="0" fontId="1" fillId="4" borderId="10" xfId="1" applyFill="1" applyBorder="1" applyAlignment="1">
      <alignment vertical="center" wrapText="1"/>
    </xf>
    <xf numFmtId="0" fontId="1" fillId="4" borderId="9" xfId="1" applyFill="1" applyBorder="1" applyAlignment="1">
      <alignment vertical="center" wrapText="1"/>
    </xf>
    <xf numFmtId="0" fontId="6" fillId="4" borderId="8" xfId="0" applyFont="1" applyFill="1" applyBorder="1" applyAlignment="1">
      <alignment vertical="center" wrapText="1"/>
    </xf>
    <xf numFmtId="0" fontId="6" fillId="4" borderId="10" xfId="0" applyFont="1" applyFill="1" applyBorder="1" applyAlignment="1">
      <alignment vertical="center" wrapText="1"/>
    </xf>
    <xf numFmtId="0" fontId="6" fillId="4" borderId="9" xfId="0" applyFont="1" applyFill="1" applyBorder="1" applyAlignment="1">
      <alignment vertical="center" wrapText="1"/>
    </xf>
    <xf numFmtId="0" fontId="1" fillId="3" borderId="8" xfId="1" applyFill="1" applyBorder="1" applyAlignment="1">
      <alignment vertical="center" wrapText="1"/>
    </xf>
    <xf numFmtId="0" fontId="1" fillId="3" borderId="9" xfId="1" applyFill="1" applyBorder="1" applyAlignment="1">
      <alignment vertical="center" wrapText="1"/>
    </xf>
    <xf numFmtId="0" fontId="6" fillId="3" borderId="8"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2" xfId="0" applyFont="1" applyFill="1" applyBorder="1" applyAlignment="1">
      <alignment vertical="center" wrapText="1"/>
    </xf>
    <xf numFmtId="0" fontId="6" fillId="3" borderId="3" xfId="0" applyFont="1" applyFill="1" applyBorder="1" applyAlignment="1">
      <alignment vertical="center" wrapText="1"/>
    </xf>
    <xf numFmtId="0" fontId="6" fillId="3" borderId="4" xfId="0" applyFont="1" applyFill="1" applyBorder="1" applyAlignment="1">
      <alignment vertical="center" wrapText="1"/>
    </xf>
    <xf numFmtId="0" fontId="6" fillId="3" borderId="5" xfId="0" applyFont="1" applyFill="1" applyBorder="1" applyAlignment="1">
      <alignment vertical="center" wrapText="1"/>
    </xf>
    <xf numFmtId="0" fontId="6" fillId="3" borderId="6" xfId="0" applyFont="1" applyFill="1" applyBorder="1" applyAlignment="1">
      <alignment vertical="center" wrapText="1"/>
    </xf>
    <xf numFmtId="0" fontId="6" fillId="3" borderId="7" xfId="0" applyFont="1" applyFill="1" applyBorder="1" applyAlignment="1">
      <alignment vertical="center" wrapText="1"/>
    </xf>
    <xf numFmtId="0" fontId="6" fillId="3" borderId="10" xfId="0" applyFont="1" applyFill="1" applyBorder="1" applyAlignment="1">
      <alignment vertical="center" wrapText="1"/>
    </xf>
    <xf numFmtId="0" fontId="6" fillId="3" borderId="10" xfId="0" applyFont="1" applyFill="1" applyBorder="1" applyAlignment="1">
      <alignment horizontal="center" vertical="center" wrapText="1"/>
    </xf>
    <xf numFmtId="0" fontId="1" fillId="3" borderId="10" xfId="1" applyFill="1" applyBorder="1" applyAlignment="1">
      <alignment vertical="center" wrapText="1"/>
    </xf>
    <xf numFmtId="0" fontId="6" fillId="3" borderId="11" xfId="0" applyFont="1" applyFill="1" applyBorder="1" applyAlignment="1">
      <alignment vertical="center" wrapText="1"/>
    </xf>
    <xf numFmtId="0" fontId="6" fillId="3" borderId="0" xfId="0" applyFont="1" applyFill="1" applyAlignment="1">
      <alignment vertical="center" wrapText="1"/>
    </xf>
    <xf numFmtId="0" fontId="6" fillId="3" borderId="12" xfId="0" applyFont="1" applyFill="1" applyBorder="1" applyAlignment="1">
      <alignment vertical="center" wrapText="1"/>
    </xf>
    <xf numFmtId="0" fontId="0" fillId="3" borderId="11" xfId="0" applyFill="1" applyBorder="1" applyAlignment="1">
      <alignment vertical="center" wrapText="1"/>
    </xf>
    <xf numFmtId="0" fontId="0" fillId="3" borderId="0" xfId="0" applyFill="1" applyAlignment="1">
      <alignment vertical="center" wrapText="1"/>
    </xf>
    <xf numFmtId="0" fontId="0" fillId="3" borderId="12" xfId="0" applyFill="1" applyBorder="1" applyAlignment="1">
      <alignment vertical="center" wrapText="1"/>
    </xf>
  </cellXfs>
  <cellStyles count="2">
    <cellStyle name="ハイパーリンク" xfId="1" builtinId="8"/>
    <cellStyle name="標準" xfId="0" builtinId="0"/>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xdr:row>
      <xdr:rowOff>0</xdr:rowOff>
    </xdr:from>
    <xdr:to>
      <xdr:col>6</xdr:col>
      <xdr:colOff>651974</xdr:colOff>
      <xdr:row>32</xdr:row>
      <xdr:rowOff>107392</xdr:rowOff>
    </xdr:to>
    <xdr:pic>
      <xdr:nvPicPr>
        <xdr:cNvPr id="2" name="図 1">
          <a:extLst>
            <a:ext uri="{FF2B5EF4-FFF2-40B4-BE49-F238E27FC236}">
              <a16:creationId xmlns:a16="http://schemas.microsoft.com/office/drawing/2014/main" id="{F879EE39-676E-E5F7-3648-033A0ABF7E6D}"/>
            </a:ext>
          </a:extLst>
        </xdr:cNvPr>
        <xdr:cNvPicPr>
          <a:picLocks noChangeAspect="1"/>
        </xdr:cNvPicPr>
      </xdr:nvPicPr>
      <xdr:blipFill>
        <a:blip xmlns:r="http://schemas.openxmlformats.org/officeDocument/2006/relationships" r:embed="rId1"/>
        <a:stretch>
          <a:fillRect/>
        </a:stretch>
      </xdr:blipFill>
      <xdr:spPr>
        <a:xfrm>
          <a:off x="806824" y="4941794"/>
          <a:ext cx="6535062" cy="26959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17</xdr:col>
      <xdr:colOff>105364</xdr:colOff>
      <xdr:row>26</xdr:row>
      <xdr:rowOff>831</xdr:rowOff>
    </xdr:to>
    <xdr:pic>
      <xdr:nvPicPr>
        <xdr:cNvPr id="2" name="図 1">
          <a:extLst>
            <a:ext uri="{FF2B5EF4-FFF2-40B4-BE49-F238E27FC236}">
              <a16:creationId xmlns:a16="http://schemas.microsoft.com/office/drawing/2014/main" id="{78606CCA-6522-5A7C-F830-F356142888A7}"/>
            </a:ext>
          </a:extLst>
        </xdr:cNvPr>
        <xdr:cNvPicPr>
          <a:picLocks noChangeAspect="1"/>
        </xdr:cNvPicPr>
      </xdr:nvPicPr>
      <xdr:blipFill>
        <a:blip xmlns:r="http://schemas.openxmlformats.org/officeDocument/2006/relationships" r:embed="rId1"/>
        <a:stretch>
          <a:fillRect/>
        </a:stretch>
      </xdr:blipFill>
      <xdr:spPr>
        <a:xfrm>
          <a:off x="257175" y="238125"/>
          <a:ext cx="4220164" cy="595395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s://tools.l2.dwh.sb-sys.info/userhelp/data/komoku" TargetMode="External"/><Relationship Id="rId13" Type="http://schemas.openxmlformats.org/officeDocument/2006/relationships/hyperlink" Target="https://tools.l2.dwh.sb-sys.info/userhelp/data/komoku" TargetMode="External"/><Relationship Id="rId18" Type="http://schemas.openxmlformats.org/officeDocument/2006/relationships/hyperlink" Target="https://tools.l2.dwh.sb-sys.info/userhelp/data/komoku" TargetMode="External"/><Relationship Id="rId3" Type="http://schemas.openxmlformats.org/officeDocument/2006/relationships/hyperlink" Target="https://tools.l2.dwh.sb-sys.info/userhelp/data/komoku" TargetMode="External"/><Relationship Id="rId21" Type="http://schemas.openxmlformats.org/officeDocument/2006/relationships/hyperlink" Target="https://tools.l2.dwh.sb-sys.info/userhelp/data/komoku" TargetMode="External"/><Relationship Id="rId7" Type="http://schemas.openxmlformats.org/officeDocument/2006/relationships/hyperlink" Target="https://tools.l2.dwh.sb-sys.info/userhelp/data/komoku" TargetMode="External"/><Relationship Id="rId12" Type="http://schemas.openxmlformats.org/officeDocument/2006/relationships/hyperlink" Target="https://tools.l2.dwh.sb-sys.info/userhelp/data/komoku" TargetMode="External"/><Relationship Id="rId17" Type="http://schemas.openxmlformats.org/officeDocument/2006/relationships/hyperlink" Target="https://tools.l2.dwh.sb-sys.info/userhelp/data/komoku" TargetMode="External"/><Relationship Id="rId2" Type="http://schemas.openxmlformats.org/officeDocument/2006/relationships/hyperlink" Target="https://tools.l2.dwh.sb-sys.info/userhelp/data/komoku" TargetMode="External"/><Relationship Id="rId16" Type="http://schemas.openxmlformats.org/officeDocument/2006/relationships/hyperlink" Target="https://tools.l2.dwh.sb-sys.info/userhelp/data/komoku" TargetMode="External"/><Relationship Id="rId20" Type="http://schemas.openxmlformats.org/officeDocument/2006/relationships/hyperlink" Target="https://tools.l2.dwh.sb-sys.info/userhelp/data/komoku" TargetMode="External"/><Relationship Id="rId1" Type="http://schemas.openxmlformats.org/officeDocument/2006/relationships/hyperlink" Target="https://tools.l2.dwh.sb-sys.info/userhelp/data/komoku" TargetMode="External"/><Relationship Id="rId6" Type="http://schemas.openxmlformats.org/officeDocument/2006/relationships/hyperlink" Target="https://tools.l2.dwh.sb-sys.info/userhelp/data/komoku" TargetMode="External"/><Relationship Id="rId11" Type="http://schemas.openxmlformats.org/officeDocument/2006/relationships/hyperlink" Target="https://tools.l2.dwh.sb-sys.info/userhelp/data/komoku" TargetMode="External"/><Relationship Id="rId5" Type="http://schemas.openxmlformats.org/officeDocument/2006/relationships/hyperlink" Target="https://tools.l2.dwh.sb-sys.info/userhelp/data/komoku" TargetMode="External"/><Relationship Id="rId15" Type="http://schemas.openxmlformats.org/officeDocument/2006/relationships/hyperlink" Target="https://tools.l2.dwh.sb-sys.info/userhelp/data/komoku" TargetMode="External"/><Relationship Id="rId23" Type="http://schemas.openxmlformats.org/officeDocument/2006/relationships/printerSettings" Target="../printerSettings/printerSettings1.bin"/><Relationship Id="rId10" Type="http://schemas.openxmlformats.org/officeDocument/2006/relationships/hyperlink" Target="https://tools.l2.dwh.sb-sys.info/userhelp/data/komoku" TargetMode="External"/><Relationship Id="rId19" Type="http://schemas.openxmlformats.org/officeDocument/2006/relationships/hyperlink" Target="https://tools.l2.dwh.sb-sys.info/userhelp/data/komoku" TargetMode="External"/><Relationship Id="rId4" Type="http://schemas.openxmlformats.org/officeDocument/2006/relationships/hyperlink" Target="https://tools.l2.dwh.sb-sys.info/userhelp/data/komoku" TargetMode="External"/><Relationship Id="rId9" Type="http://schemas.openxmlformats.org/officeDocument/2006/relationships/hyperlink" Target="https://tools.l2.dwh.sb-sys.info/userhelp/data/komoku" TargetMode="External"/><Relationship Id="rId14" Type="http://schemas.openxmlformats.org/officeDocument/2006/relationships/hyperlink" Target="https://tools.l2.dwh.sb-sys.info/userhelp/data/komoku" TargetMode="External"/><Relationship Id="rId22" Type="http://schemas.openxmlformats.org/officeDocument/2006/relationships/hyperlink" Target="https://tools.l2.dwh.sb-sys.info/userhelp/data/komoku"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tools.l2.dwh.sb-sys.info/userhelp/data/komoku" TargetMode="External"/><Relationship Id="rId299" Type="http://schemas.openxmlformats.org/officeDocument/2006/relationships/hyperlink" Target="https://tools.l2.dwh.sb-sys.info/userhelp/data/komoku" TargetMode="External"/><Relationship Id="rId21" Type="http://schemas.openxmlformats.org/officeDocument/2006/relationships/hyperlink" Target="https://tools.l2.dwh.sb-sys.info/userhelp/data/komoku" TargetMode="External"/><Relationship Id="rId63" Type="http://schemas.openxmlformats.org/officeDocument/2006/relationships/hyperlink" Target="https://tools.l2.dwh.sb-sys.info/userhelp/data/komoku" TargetMode="External"/><Relationship Id="rId159" Type="http://schemas.openxmlformats.org/officeDocument/2006/relationships/hyperlink" Target="https://tools.l2.dwh.sb-sys.info/userhelp/data/komoku" TargetMode="External"/><Relationship Id="rId324" Type="http://schemas.openxmlformats.org/officeDocument/2006/relationships/hyperlink" Target="https://tools.l2.dwh.sb-sys.info/userhelp/data/komoku" TargetMode="External"/><Relationship Id="rId366" Type="http://schemas.openxmlformats.org/officeDocument/2006/relationships/hyperlink" Target="https://tools.l2.dwh.sb-sys.info/userhelp/data/komoku" TargetMode="External"/><Relationship Id="rId170" Type="http://schemas.openxmlformats.org/officeDocument/2006/relationships/hyperlink" Target="https://tools.l2.dwh.sb-sys.info/userhelp/data/komoku" TargetMode="External"/><Relationship Id="rId226" Type="http://schemas.openxmlformats.org/officeDocument/2006/relationships/hyperlink" Target="https://tools.l2.dwh.sb-sys.info/userhelp/data/komoku" TargetMode="External"/><Relationship Id="rId433" Type="http://schemas.openxmlformats.org/officeDocument/2006/relationships/hyperlink" Target="https://tools.l2.dwh.sb-sys.info/userhelp/data/komoku" TargetMode="External"/><Relationship Id="rId268" Type="http://schemas.openxmlformats.org/officeDocument/2006/relationships/hyperlink" Target="https://tools.l2.dwh.sb-sys.info/userhelp/data/komoku" TargetMode="External"/><Relationship Id="rId475" Type="http://schemas.openxmlformats.org/officeDocument/2006/relationships/hyperlink" Target="https://tools.l2.dwh.sb-sys.info/userhelp/data/komoku" TargetMode="External"/><Relationship Id="rId32" Type="http://schemas.openxmlformats.org/officeDocument/2006/relationships/hyperlink" Target="https://tools.l2.dwh.sb-sys.info/userhelp/data/komoku" TargetMode="External"/><Relationship Id="rId74" Type="http://schemas.openxmlformats.org/officeDocument/2006/relationships/hyperlink" Target="https://tools.l2.dwh.sb-sys.info/userhelp/data/komoku" TargetMode="External"/><Relationship Id="rId128" Type="http://schemas.openxmlformats.org/officeDocument/2006/relationships/hyperlink" Target="https://tools.l2.dwh.sb-sys.info/userhelp/data/komoku" TargetMode="External"/><Relationship Id="rId335" Type="http://schemas.openxmlformats.org/officeDocument/2006/relationships/hyperlink" Target="https://tools.l2.dwh.sb-sys.info/userhelp/data/komoku" TargetMode="External"/><Relationship Id="rId377" Type="http://schemas.openxmlformats.org/officeDocument/2006/relationships/hyperlink" Target="https://tools.l2.dwh.sb-sys.info/userhelp/data/komoku" TargetMode="External"/><Relationship Id="rId500" Type="http://schemas.openxmlformats.org/officeDocument/2006/relationships/hyperlink" Target="https://tools.l2.dwh.sb-sys.info/userhelp/data/komoku" TargetMode="External"/><Relationship Id="rId5" Type="http://schemas.openxmlformats.org/officeDocument/2006/relationships/hyperlink" Target="https://tools.l2.dwh.sb-sys.info/userhelp/data/komoku" TargetMode="External"/><Relationship Id="rId181" Type="http://schemas.openxmlformats.org/officeDocument/2006/relationships/hyperlink" Target="https://tools.l2.dwh.sb-sys.info/userhelp/data/komoku" TargetMode="External"/><Relationship Id="rId237" Type="http://schemas.openxmlformats.org/officeDocument/2006/relationships/hyperlink" Target="https://tools.l2.dwh.sb-sys.info/userhelp/data/komoku" TargetMode="External"/><Relationship Id="rId402" Type="http://schemas.openxmlformats.org/officeDocument/2006/relationships/hyperlink" Target="https://tools.l2.dwh.sb-sys.info/userhelp/data/komoku" TargetMode="External"/><Relationship Id="rId279" Type="http://schemas.openxmlformats.org/officeDocument/2006/relationships/hyperlink" Target="https://tools.l2.dwh.sb-sys.info/userhelp/data/komoku" TargetMode="External"/><Relationship Id="rId444" Type="http://schemas.openxmlformats.org/officeDocument/2006/relationships/hyperlink" Target="https://tools.l2.dwh.sb-sys.info/userhelp/data/komoku" TargetMode="External"/><Relationship Id="rId486" Type="http://schemas.openxmlformats.org/officeDocument/2006/relationships/hyperlink" Target="https://tools.l2.dwh.sb-sys.info/userhelp/data/komoku" TargetMode="External"/><Relationship Id="rId43" Type="http://schemas.openxmlformats.org/officeDocument/2006/relationships/hyperlink" Target="https://tools.l2.dwh.sb-sys.info/userhelp/data/komoku" TargetMode="External"/><Relationship Id="rId139" Type="http://schemas.openxmlformats.org/officeDocument/2006/relationships/hyperlink" Target="https://tools.l2.dwh.sb-sys.info/userhelp/data/komoku" TargetMode="External"/><Relationship Id="rId290" Type="http://schemas.openxmlformats.org/officeDocument/2006/relationships/hyperlink" Target="https://tools.l2.dwh.sb-sys.info/userhelp/data/komoku" TargetMode="External"/><Relationship Id="rId304" Type="http://schemas.openxmlformats.org/officeDocument/2006/relationships/hyperlink" Target="https://tools.l2.dwh.sb-sys.info/userhelp/data/komoku" TargetMode="External"/><Relationship Id="rId346" Type="http://schemas.openxmlformats.org/officeDocument/2006/relationships/hyperlink" Target="https://tools.l2.dwh.sb-sys.info/userhelp/data/komoku" TargetMode="External"/><Relationship Id="rId388" Type="http://schemas.openxmlformats.org/officeDocument/2006/relationships/hyperlink" Target="https://tools.l2.dwh.sb-sys.info/userhelp/data/komoku" TargetMode="External"/><Relationship Id="rId85" Type="http://schemas.openxmlformats.org/officeDocument/2006/relationships/hyperlink" Target="https://tools.l2.dwh.sb-sys.info/userhelp/data/komoku" TargetMode="External"/><Relationship Id="rId150" Type="http://schemas.openxmlformats.org/officeDocument/2006/relationships/hyperlink" Target="https://tools.l2.dwh.sb-sys.info/userhelp/data/komoku" TargetMode="External"/><Relationship Id="rId192" Type="http://schemas.openxmlformats.org/officeDocument/2006/relationships/hyperlink" Target="https://tools.l2.dwh.sb-sys.info/userhelp/data/komoku" TargetMode="External"/><Relationship Id="rId206" Type="http://schemas.openxmlformats.org/officeDocument/2006/relationships/hyperlink" Target="https://tools.l2.dwh.sb-sys.info/userhelp/data/komoku" TargetMode="External"/><Relationship Id="rId413" Type="http://schemas.openxmlformats.org/officeDocument/2006/relationships/hyperlink" Target="https://tools.l2.dwh.sb-sys.info/userhelp/data/komoku" TargetMode="External"/><Relationship Id="rId248" Type="http://schemas.openxmlformats.org/officeDocument/2006/relationships/hyperlink" Target="https://tools.l2.dwh.sb-sys.info/userhelp/data/komoku" TargetMode="External"/><Relationship Id="rId455" Type="http://schemas.openxmlformats.org/officeDocument/2006/relationships/hyperlink" Target="https://tools.l2.dwh.sb-sys.info/userhelp/data/komoku" TargetMode="External"/><Relationship Id="rId497" Type="http://schemas.openxmlformats.org/officeDocument/2006/relationships/hyperlink" Target="https://tools.l2.dwh.sb-sys.info/userhelp/data/komoku" TargetMode="External"/><Relationship Id="rId12" Type="http://schemas.openxmlformats.org/officeDocument/2006/relationships/hyperlink" Target="https://tools.l2.dwh.sb-sys.info/userhelp/data/komoku" TargetMode="External"/><Relationship Id="rId108" Type="http://schemas.openxmlformats.org/officeDocument/2006/relationships/hyperlink" Target="https://tools.l2.dwh.sb-sys.info/userhelp/data/komoku" TargetMode="External"/><Relationship Id="rId315" Type="http://schemas.openxmlformats.org/officeDocument/2006/relationships/hyperlink" Target="https://tools.l2.dwh.sb-sys.info/userhelp/data/komoku" TargetMode="External"/><Relationship Id="rId357" Type="http://schemas.openxmlformats.org/officeDocument/2006/relationships/hyperlink" Target="https://tools.l2.dwh.sb-sys.info/userhelp/data/komoku" TargetMode="External"/><Relationship Id="rId54" Type="http://schemas.openxmlformats.org/officeDocument/2006/relationships/hyperlink" Target="https://tools.l2.dwh.sb-sys.info/userhelp/data/komoku" TargetMode="External"/><Relationship Id="rId96" Type="http://schemas.openxmlformats.org/officeDocument/2006/relationships/hyperlink" Target="https://tools.l2.dwh.sb-sys.info/userhelp/data/komoku" TargetMode="External"/><Relationship Id="rId161" Type="http://schemas.openxmlformats.org/officeDocument/2006/relationships/hyperlink" Target="https://tools.l2.dwh.sb-sys.info/userhelp/data/komoku" TargetMode="External"/><Relationship Id="rId217" Type="http://schemas.openxmlformats.org/officeDocument/2006/relationships/hyperlink" Target="https://tools.l2.dwh.sb-sys.info/userhelp/data/komoku" TargetMode="External"/><Relationship Id="rId399" Type="http://schemas.openxmlformats.org/officeDocument/2006/relationships/hyperlink" Target="https://tools.l2.dwh.sb-sys.info/userhelp/data/komoku" TargetMode="External"/><Relationship Id="rId259" Type="http://schemas.openxmlformats.org/officeDocument/2006/relationships/hyperlink" Target="https://tools.l2.dwh.sb-sys.info/userhelp/data/komoku" TargetMode="External"/><Relationship Id="rId424" Type="http://schemas.openxmlformats.org/officeDocument/2006/relationships/hyperlink" Target="https://tools.l2.dwh.sb-sys.info/userhelp/data/komoku" TargetMode="External"/><Relationship Id="rId466" Type="http://schemas.openxmlformats.org/officeDocument/2006/relationships/hyperlink" Target="https://tools.l2.dwh.sb-sys.info/userhelp/data/komoku" TargetMode="External"/><Relationship Id="rId23" Type="http://schemas.openxmlformats.org/officeDocument/2006/relationships/hyperlink" Target="https://tools.l2.dwh.sb-sys.info/userhelp/data/komoku" TargetMode="External"/><Relationship Id="rId119" Type="http://schemas.openxmlformats.org/officeDocument/2006/relationships/hyperlink" Target="https://tools.l2.dwh.sb-sys.info/userhelp/data/komoku" TargetMode="External"/><Relationship Id="rId270" Type="http://schemas.openxmlformats.org/officeDocument/2006/relationships/hyperlink" Target="https://tools.l2.dwh.sb-sys.info/userhelp/data/komoku" TargetMode="External"/><Relationship Id="rId326" Type="http://schemas.openxmlformats.org/officeDocument/2006/relationships/hyperlink" Target="https://tools.l2.dwh.sb-sys.info/userhelp/data/komoku" TargetMode="External"/><Relationship Id="rId65" Type="http://schemas.openxmlformats.org/officeDocument/2006/relationships/hyperlink" Target="https://tools.l2.dwh.sb-sys.info/userhelp/data/komoku" TargetMode="External"/><Relationship Id="rId130" Type="http://schemas.openxmlformats.org/officeDocument/2006/relationships/hyperlink" Target="https://tools.l2.dwh.sb-sys.info/userhelp/data/komoku" TargetMode="External"/><Relationship Id="rId368" Type="http://schemas.openxmlformats.org/officeDocument/2006/relationships/hyperlink" Target="https://tools.l2.dwh.sb-sys.info/userhelp/data/komoku" TargetMode="External"/><Relationship Id="rId172" Type="http://schemas.openxmlformats.org/officeDocument/2006/relationships/hyperlink" Target="https://tools.l2.dwh.sb-sys.info/userhelp/data/komoku" TargetMode="External"/><Relationship Id="rId228" Type="http://schemas.openxmlformats.org/officeDocument/2006/relationships/hyperlink" Target="https://tools.l2.dwh.sb-sys.info/userhelp/data/komoku" TargetMode="External"/><Relationship Id="rId435" Type="http://schemas.openxmlformats.org/officeDocument/2006/relationships/hyperlink" Target="https://tools.l2.dwh.sb-sys.info/userhelp/data/komoku" TargetMode="External"/><Relationship Id="rId477" Type="http://schemas.openxmlformats.org/officeDocument/2006/relationships/hyperlink" Target="https://tools.l2.dwh.sb-sys.info/userhelp/data/komoku" TargetMode="External"/><Relationship Id="rId281" Type="http://schemas.openxmlformats.org/officeDocument/2006/relationships/hyperlink" Target="https://tools.l2.dwh.sb-sys.info/userhelp/data/komoku" TargetMode="External"/><Relationship Id="rId337" Type="http://schemas.openxmlformats.org/officeDocument/2006/relationships/hyperlink" Target="https://tools.l2.dwh.sb-sys.info/userhelp/data/komoku" TargetMode="External"/><Relationship Id="rId502" Type="http://schemas.openxmlformats.org/officeDocument/2006/relationships/hyperlink" Target="https://tools.l2.dwh.sb-sys.info/userhelp/data/komoku" TargetMode="External"/><Relationship Id="rId34" Type="http://schemas.openxmlformats.org/officeDocument/2006/relationships/hyperlink" Target="https://tools.l2.dwh.sb-sys.info/userhelp/data/komoku" TargetMode="External"/><Relationship Id="rId76" Type="http://schemas.openxmlformats.org/officeDocument/2006/relationships/hyperlink" Target="https://tools.l2.dwh.sb-sys.info/userhelp/data/komoku" TargetMode="External"/><Relationship Id="rId141" Type="http://schemas.openxmlformats.org/officeDocument/2006/relationships/hyperlink" Target="https://tools.l2.dwh.sb-sys.info/userhelp/data/komoku" TargetMode="External"/><Relationship Id="rId379" Type="http://schemas.openxmlformats.org/officeDocument/2006/relationships/hyperlink" Target="https://tools.l2.dwh.sb-sys.info/userhelp/data/komoku" TargetMode="External"/><Relationship Id="rId7" Type="http://schemas.openxmlformats.org/officeDocument/2006/relationships/hyperlink" Target="https://tools.l2.dwh.sb-sys.info/userhelp/data/komoku" TargetMode="External"/><Relationship Id="rId183" Type="http://schemas.openxmlformats.org/officeDocument/2006/relationships/hyperlink" Target="https://tools.l2.dwh.sb-sys.info/userhelp/data/komoku" TargetMode="External"/><Relationship Id="rId239" Type="http://schemas.openxmlformats.org/officeDocument/2006/relationships/hyperlink" Target="https://tools.l2.dwh.sb-sys.info/userhelp/data/komoku" TargetMode="External"/><Relationship Id="rId390" Type="http://schemas.openxmlformats.org/officeDocument/2006/relationships/hyperlink" Target="https://tools.l2.dwh.sb-sys.info/userhelp/data/komoku" TargetMode="External"/><Relationship Id="rId404" Type="http://schemas.openxmlformats.org/officeDocument/2006/relationships/hyperlink" Target="https://tools.l2.dwh.sb-sys.info/userhelp/data/komoku" TargetMode="External"/><Relationship Id="rId446" Type="http://schemas.openxmlformats.org/officeDocument/2006/relationships/hyperlink" Target="https://tools.l2.dwh.sb-sys.info/userhelp/data/komoku" TargetMode="External"/><Relationship Id="rId250" Type="http://schemas.openxmlformats.org/officeDocument/2006/relationships/hyperlink" Target="https://tools.l2.dwh.sb-sys.info/userhelp/data/komoku" TargetMode="External"/><Relationship Id="rId292" Type="http://schemas.openxmlformats.org/officeDocument/2006/relationships/hyperlink" Target="https://tools.l2.dwh.sb-sys.info/userhelp/data/komoku" TargetMode="External"/><Relationship Id="rId306" Type="http://schemas.openxmlformats.org/officeDocument/2006/relationships/hyperlink" Target="https://tools.l2.dwh.sb-sys.info/userhelp/data/komoku" TargetMode="External"/><Relationship Id="rId488" Type="http://schemas.openxmlformats.org/officeDocument/2006/relationships/hyperlink" Target="https://tools.l2.dwh.sb-sys.info/userhelp/data/komoku" TargetMode="External"/><Relationship Id="rId45" Type="http://schemas.openxmlformats.org/officeDocument/2006/relationships/hyperlink" Target="https://tools.l2.dwh.sb-sys.info/userhelp/data/komoku" TargetMode="External"/><Relationship Id="rId87" Type="http://schemas.openxmlformats.org/officeDocument/2006/relationships/hyperlink" Target="https://tools.l2.dwh.sb-sys.info/userhelp/data/komoku" TargetMode="External"/><Relationship Id="rId110" Type="http://schemas.openxmlformats.org/officeDocument/2006/relationships/hyperlink" Target="https://tools.l2.dwh.sb-sys.info/userhelp/data/komoku" TargetMode="External"/><Relationship Id="rId348" Type="http://schemas.openxmlformats.org/officeDocument/2006/relationships/hyperlink" Target="https://tools.l2.dwh.sb-sys.info/userhelp/data/komoku" TargetMode="External"/><Relationship Id="rId152" Type="http://schemas.openxmlformats.org/officeDocument/2006/relationships/hyperlink" Target="https://tools.l2.dwh.sb-sys.info/userhelp/data/komoku" TargetMode="External"/><Relationship Id="rId194" Type="http://schemas.openxmlformats.org/officeDocument/2006/relationships/hyperlink" Target="https://tools.l2.dwh.sb-sys.info/userhelp/data/komoku" TargetMode="External"/><Relationship Id="rId208" Type="http://schemas.openxmlformats.org/officeDocument/2006/relationships/hyperlink" Target="https://tools.l2.dwh.sb-sys.info/userhelp/data/komoku" TargetMode="External"/><Relationship Id="rId415" Type="http://schemas.openxmlformats.org/officeDocument/2006/relationships/hyperlink" Target="https://tools.l2.dwh.sb-sys.info/userhelp/data/komoku" TargetMode="External"/><Relationship Id="rId457" Type="http://schemas.openxmlformats.org/officeDocument/2006/relationships/hyperlink" Target="https://tools.l2.dwh.sb-sys.info/userhelp/data/komoku" TargetMode="External"/><Relationship Id="rId261" Type="http://schemas.openxmlformats.org/officeDocument/2006/relationships/hyperlink" Target="https://tools.l2.dwh.sb-sys.info/userhelp/data/komoku" TargetMode="External"/><Relationship Id="rId499" Type="http://schemas.openxmlformats.org/officeDocument/2006/relationships/hyperlink" Target="https://tools.l2.dwh.sb-sys.info/userhelp/data/komoku" TargetMode="External"/><Relationship Id="rId14" Type="http://schemas.openxmlformats.org/officeDocument/2006/relationships/hyperlink" Target="https://tools.l2.dwh.sb-sys.info/userhelp/data/komoku" TargetMode="External"/><Relationship Id="rId56" Type="http://schemas.openxmlformats.org/officeDocument/2006/relationships/hyperlink" Target="https://tools.l2.dwh.sb-sys.info/userhelp/data/komoku" TargetMode="External"/><Relationship Id="rId317" Type="http://schemas.openxmlformats.org/officeDocument/2006/relationships/hyperlink" Target="https://tools.l2.dwh.sb-sys.info/userhelp/data/komoku" TargetMode="External"/><Relationship Id="rId359" Type="http://schemas.openxmlformats.org/officeDocument/2006/relationships/hyperlink" Target="https://tools.l2.dwh.sb-sys.info/userhelp/data/komoku" TargetMode="External"/><Relationship Id="rId98" Type="http://schemas.openxmlformats.org/officeDocument/2006/relationships/hyperlink" Target="https://tools.l2.dwh.sb-sys.info/userhelp/data/komoku" TargetMode="External"/><Relationship Id="rId121" Type="http://schemas.openxmlformats.org/officeDocument/2006/relationships/hyperlink" Target="https://tools.l2.dwh.sb-sys.info/userhelp/data/komoku" TargetMode="External"/><Relationship Id="rId163" Type="http://schemas.openxmlformats.org/officeDocument/2006/relationships/hyperlink" Target="https://tools.l2.dwh.sb-sys.info/userhelp/data/komoku" TargetMode="External"/><Relationship Id="rId219" Type="http://schemas.openxmlformats.org/officeDocument/2006/relationships/hyperlink" Target="https://tools.l2.dwh.sb-sys.info/userhelp/data/komoku" TargetMode="External"/><Relationship Id="rId370" Type="http://schemas.openxmlformats.org/officeDocument/2006/relationships/hyperlink" Target="https://tools.l2.dwh.sb-sys.info/userhelp/data/komoku" TargetMode="External"/><Relationship Id="rId426" Type="http://schemas.openxmlformats.org/officeDocument/2006/relationships/hyperlink" Target="https://tools.l2.dwh.sb-sys.info/userhelp/data/komoku" TargetMode="External"/><Relationship Id="rId230" Type="http://schemas.openxmlformats.org/officeDocument/2006/relationships/hyperlink" Target="https://tools.l2.dwh.sb-sys.info/userhelp/data/komoku" TargetMode="External"/><Relationship Id="rId468" Type="http://schemas.openxmlformats.org/officeDocument/2006/relationships/hyperlink" Target="https://tools.l2.dwh.sb-sys.info/userhelp/data/komoku" TargetMode="External"/><Relationship Id="rId25" Type="http://schemas.openxmlformats.org/officeDocument/2006/relationships/hyperlink" Target="https://tools.l2.dwh.sb-sys.info/userhelp/data/komoku" TargetMode="External"/><Relationship Id="rId67" Type="http://schemas.openxmlformats.org/officeDocument/2006/relationships/hyperlink" Target="https://tools.l2.dwh.sb-sys.info/userhelp/data/komoku" TargetMode="External"/><Relationship Id="rId272" Type="http://schemas.openxmlformats.org/officeDocument/2006/relationships/hyperlink" Target="https://tools.l2.dwh.sb-sys.info/userhelp/data/komoku" TargetMode="External"/><Relationship Id="rId328" Type="http://schemas.openxmlformats.org/officeDocument/2006/relationships/hyperlink" Target="https://tools.l2.dwh.sb-sys.info/userhelp/data/komoku" TargetMode="External"/><Relationship Id="rId132" Type="http://schemas.openxmlformats.org/officeDocument/2006/relationships/hyperlink" Target="https://tools.l2.dwh.sb-sys.info/userhelp/data/komoku" TargetMode="External"/><Relationship Id="rId174" Type="http://schemas.openxmlformats.org/officeDocument/2006/relationships/hyperlink" Target="https://tools.l2.dwh.sb-sys.info/userhelp/data/komoku" TargetMode="External"/><Relationship Id="rId381" Type="http://schemas.openxmlformats.org/officeDocument/2006/relationships/hyperlink" Target="https://tools.l2.dwh.sb-sys.info/userhelp/data/komoku" TargetMode="External"/><Relationship Id="rId241" Type="http://schemas.openxmlformats.org/officeDocument/2006/relationships/hyperlink" Target="https://tools.l2.dwh.sb-sys.info/userhelp/data/komoku" TargetMode="External"/><Relationship Id="rId437" Type="http://schemas.openxmlformats.org/officeDocument/2006/relationships/hyperlink" Target="https://tools.l2.dwh.sb-sys.info/userhelp/data/komoku" TargetMode="External"/><Relationship Id="rId479" Type="http://schemas.openxmlformats.org/officeDocument/2006/relationships/hyperlink" Target="https://tools.l2.dwh.sb-sys.info/userhelp/data/komoku" TargetMode="External"/><Relationship Id="rId36" Type="http://schemas.openxmlformats.org/officeDocument/2006/relationships/hyperlink" Target="https://tools.l2.dwh.sb-sys.info/userhelp/data/komoku" TargetMode="External"/><Relationship Id="rId283" Type="http://schemas.openxmlformats.org/officeDocument/2006/relationships/hyperlink" Target="https://tools.l2.dwh.sb-sys.info/userhelp/data/komoku" TargetMode="External"/><Relationship Id="rId339" Type="http://schemas.openxmlformats.org/officeDocument/2006/relationships/hyperlink" Target="https://tools.l2.dwh.sb-sys.info/userhelp/data/komoku" TargetMode="External"/><Relationship Id="rId490" Type="http://schemas.openxmlformats.org/officeDocument/2006/relationships/hyperlink" Target="https://tools.l2.dwh.sb-sys.info/userhelp/data/komoku" TargetMode="External"/><Relationship Id="rId504" Type="http://schemas.openxmlformats.org/officeDocument/2006/relationships/hyperlink" Target="https://tools.l2.dwh.sb-sys.info/userhelp/data/komoku" TargetMode="External"/><Relationship Id="rId78" Type="http://schemas.openxmlformats.org/officeDocument/2006/relationships/hyperlink" Target="https://tools.l2.dwh.sb-sys.info/userhelp/data/komoku" TargetMode="External"/><Relationship Id="rId101" Type="http://schemas.openxmlformats.org/officeDocument/2006/relationships/hyperlink" Target="https://tools.l2.dwh.sb-sys.info/userhelp/data/komoku" TargetMode="External"/><Relationship Id="rId143" Type="http://schemas.openxmlformats.org/officeDocument/2006/relationships/hyperlink" Target="https://tools.l2.dwh.sb-sys.info/userhelp/data/komoku" TargetMode="External"/><Relationship Id="rId185" Type="http://schemas.openxmlformats.org/officeDocument/2006/relationships/hyperlink" Target="https://tools.l2.dwh.sb-sys.info/userhelp/data/komoku" TargetMode="External"/><Relationship Id="rId350" Type="http://schemas.openxmlformats.org/officeDocument/2006/relationships/hyperlink" Target="https://tools.l2.dwh.sb-sys.info/userhelp/data/komoku" TargetMode="External"/><Relationship Id="rId406" Type="http://schemas.openxmlformats.org/officeDocument/2006/relationships/hyperlink" Target="https://tools.l2.dwh.sb-sys.info/userhelp/data/komoku" TargetMode="External"/><Relationship Id="rId9" Type="http://schemas.openxmlformats.org/officeDocument/2006/relationships/hyperlink" Target="https://tools.l2.dwh.sb-sys.info/userhelp/data/komoku" TargetMode="External"/><Relationship Id="rId210" Type="http://schemas.openxmlformats.org/officeDocument/2006/relationships/hyperlink" Target="https://tools.l2.dwh.sb-sys.info/userhelp/data/komoku" TargetMode="External"/><Relationship Id="rId392" Type="http://schemas.openxmlformats.org/officeDocument/2006/relationships/hyperlink" Target="https://tools.l2.dwh.sb-sys.info/userhelp/data/komoku" TargetMode="External"/><Relationship Id="rId448" Type="http://schemas.openxmlformats.org/officeDocument/2006/relationships/hyperlink" Target="https://tools.l2.dwh.sb-sys.info/userhelp/data/komoku" TargetMode="External"/><Relationship Id="rId252" Type="http://schemas.openxmlformats.org/officeDocument/2006/relationships/hyperlink" Target="https://tools.l2.dwh.sb-sys.info/userhelp/data/komoku" TargetMode="External"/><Relationship Id="rId294" Type="http://schemas.openxmlformats.org/officeDocument/2006/relationships/hyperlink" Target="https://tools.l2.dwh.sb-sys.info/userhelp/data/komoku" TargetMode="External"/><Relationship Id="rId308" Type="http://schemas.openxmlformats.org/officeDocument/2006/relationships/hyperlink" Target="https://tools.l2.dwh.sb-sys.info/userhelp/data/komoku" TargetMode="External"/><Relationship Id="rId47" Type="http://schemas.openxmlformats.org/officeDocument/2006/relationships/hyperlink" Target="https://tools.l2.dwh.sb-sys.info/userhelp/data/komoku" TargetMode="External"/><Relationship Id="rId89" Type="http://schemas.openxmlformats.org/officeDocument/2006/relationships/hyperlink" Target="https://tools.l2.dwh.sb-sys.info/userhelp/data/komoku" TargetMode="External"/><Relationship Id="rId112" Type="http://schemas.openxmlformats.org/officeDocument/2006/relationships/hyperlink" Target="https://tools.l2.dwh.sb-sys.info/userhelp/data/komoku" TargetMode="External"/><Relationship Id="rId154" Type="http://schemas.openxmlformats.org/officeDocument/2006/relationships/hyperlink" Target="https://tools.l2.dwh.sb-sys.info/userhelp/data/komoku" TargetMode="External"/><Relationship Id="rId361" Type="http://schemas.openxmlformats.org/officeDocument/2006/relationships/hyperlink" Target="https://tools.l2.dwh.sb-sys.info/userhelp/data/komoku" TargetMode="External"/><Relationship Id="rId196" Type="http://schemas.openxmlformats.org/officeDocument/2006/relationships/hyperlink" Target="https://tools.l2.dwh.sb-sys.info/userhelp/data/komoku" TargetMode="External"/><Relationship Id="rId417" Type="http://schemas.openxmlformats.org/officeDocument/2006/relationships/hyperlink" Target="https://tools.l2.dwh.sb-sys.info/userhelp/data/komoku" TargetMode="External"/><Relationship Id="rId459" Type="http://schemas.openxmlformats.org/officeDocument/2006/relationships/hyperlink" Target="https://tools.l2.dwh.sb-sys.info/userhelp/data/komoku" TargetMode="External"/><Relationship Id="rId16" Type="http://schemas.openxmlformats.org/officeDocument/2006/relationships/hyperlink" Target="https://tools.l2.dwh.sb-sys.info/userhelp/data/komoku" TargetMode="External"/><Relationship Id="rId221" Type="http://schemas.openxmlformats.org/officeDocument/2006/relationships/hyperlink" Target="https://tools.l2.dwh.sb-sys.info/userhelp/data/komoku" TargetMode="External"/><Relationship Id="rId263" Type="http://schemas.openxmlformats.org/officeDocument/2006/relationships/hyperlink" Target="https://tools.l2.dwh.sb-sys.info/userhelp/data/komoku" TargetMode="External"/><Relationship Id="rId319" Type="http://schemas.openxmlformats.org/officeDocument/2006/relationships/hyperlink" Target="https://tools.l2.dwh.sb-sys.info/userhelp/data/komoku" TargetMode="External"/><Relationship Id="rId470" Type="http://schemas.openxmlformats.org/officeDocument/2006/relationships/hyperlink" Target="https://tools.l2.dwh.sb-sys.info/userhelp/data/komoku" TargetMode="External"/><Relationship Id="rId58" Type="http://schemas.openxmlformats.org/officeDocument/2006/relationships/hyperlink" Target="https://tools.l2.dwh.sb-sys.info/userhelp/data/komoku" TargetMode="External"/><Relationship Id="rId123" Type="http://schemas.openxmlformats.org/officeDocument/2006/relationships/hyperlink" Target="https://tools.l2.dwh.sb-sys.info/userhelp/data/komoku" TargetMode="External"/><Relationship Id="rId330" Type="http://schemas.openxmlformats.org/officeDocument/2006/relationships/hyperlink" Target="https://tools.l2.dwh.sb-sys.info/userhelp/data/komoku" TargetMode="External"/><Relationship Id="rId165" Type="http://schemas.openxmlformats.org/officeDocument/2006/relationships/hyperlink" Target="https://tools.l2.dwh.sb-sys.info/userhelp/data/komoku" TargetMode="External"/><Relationship Id="rId372" Type="http://schemas.openxmlformats.org/officeDocument/2006/relationships/hyperlink" Target="https://tools.l2.dwh.sb-sys.info/userhelp/data/komoku" TargetMode="External"/><Relationship Id="rId428" Type="http://schemas.openxmlformats.org/officeDocument/2006/relationships/hyperlink" Target="https://tools.l2.dwh.sb-sys.info/userhelp/data/komoku" TargetMode="External"/><Relationship Id="rId232" Type="http://schemas.openxmlformats.org/officeDocument/2006/relationships/hyperlink" Target="https://tools.l2.dwh.sb-sys.info/userhelp/data/komoku" TargetMode="External"/><Relationship Id="rId274" Type="http://schemas.openxmlformats.org/officeDocument/2006/relationships/hyperlink" Target="https://tools.l2.dwh.sb-sys.info/userhelp/data/komoku" TargetMode="External"/><Relationship Id="rId481" Type="http://schemas.openxmlformats.org/officeDocument/2006/relationships/hyperlink" Target="https://tools.l2.dwh.sb-sys.info/userhelp/data/komoku" TargetMode="External"/><Relationship Id="rId27" Type="http://schemas.openxmlformats.org/officeDocument/2006/relationships/hyperlink" Target="https://tools.l2.dwh.sb-sys.info/userhelp/data/komoku" TargetMode="External"/><Relationship Id="rId69" Type="http://schemas.openxmlformats.org/officeDocument/2006/relationships/hyperlink" Target="https://tools.l2.dwh.sb-sys.info/userhelp/data/komoku" TargetMode="External"/><Relationship Id="rId134" Type="http://schemas.openxmlformats.org/officeDocument/2006/relationships/hyperlink" Target="https://tools.l2.dwh.sb-sys.info/userhelp/data/komoku" TargetMode="External"/><Relationship Id="rId80" Type="http://schemas.openxmlformats.org/officeDocument/2006/relationships/hyperlink" Target="https://tools.l2.dwh.sb-sys.info/userhelp/data/komoku" TargetMode="External"/><Relationship Id="rId176" Type="http://schemas.openxmlformats.org/officeDocument/2006/relationships/hyperlink" Target="https://tools.l2.dwh.sb-sys.info/userhelp/data/komoku" TargetMode="External"/><Relationship Id="rId341" Type="http://schemas.openxmlformats.org/officeDocument/2006/relationships/hyperlink" Target="https://tools.l2.dwh.sb-sys.info/userhelp/data/komoku" TargetMode="External"/><Relationship Id="rId383" Type="http://schemas.openxmlformats.org/officeDocument/2006/relationships/hyperlink" Target="https://tools.l2.dwh.sb-sys.info/userhelp/data/komoku" TargetMode="External"/><Relationship Id="rId439" Type="http://schemas.openxmlformats.org/officeDocument/2006/relationships/hyperlink" Target="https://tools.l2.dwh.sb-sys.info/userhelp/data/komoku" TargetMode="External"/><Relationship Id="rId201" Type="http://schemas.openxmlformats.org/officeDocument/2006/relationships/hyperlink" Target="https://tools.l2.dwh.sb-sys.info/userhelp/data/komoku" TargetMode="External"/><Relationship Id="rId243" Type="http://schemas.openxmlformats.org/officeDocument/2006/relationships/hyperlink" Target="https://tools.l2.dwh.sb-sys.info/userhelp/data/komoku" TargetMode="External"/><Relationship Id="rId285" Type="http://schemas.openxmlformats.org/officeDocument/2006/relationships/hyperlink" Target="https://tools.l2.dwh.sb-sys.info/userhelp/data/komoku" TargetMode="External"/><Relationship Id="rId450" Type="http://schemas.openxmlformats.org/officeDocument/2006/relationships/hyperlink" Target="https://tools.l2.dwh.sb-sys.info/userhelp/data/komoku" TargetMode="External"/><Relationship Id="rId38" Type="http://schemas.openxmlformats.org/officeDocument/2006/relationships/hyperlink" Target="https://tools.l2.dwh.sb-sys.info/userhelp/data/komoku" TargetMode="External"/><Relationship Id="rId103" Type="http://schemas.openxmlformats.org/officeDocument/2006/relationships/hyperlink" Target="https://tools.l2.dwh.sb-sys.info/userhelp/data/komoku" TargetMode="External"/><Relationship Id="rId310" Type="http://schemas.openxmlformats.org/officeDocument/2006/relationships/hyperlink" Target="https://tools.l2.dwh.sb-sys.info/userhelp/data/komoku" TargetMode="External"/><Relationship Id="rId492" Type="http://schemas.openxmlformats.org/officeDocument/2006/relationships/hyperlink" Target="https://tools.l2.dwh.sb-sys.info/userhelp/data/komoku" TargetMode="External"/><Relationship Id="rId91" Type="http://schemas.openxmlformats.org/officeDocument/2006/relationships/hyperlink" Target="https://tools.l2.dwh.sb-sys.info/userhelp/data/komoku" TargetMode="External"/><Relationship Id="rId145" Type="http://schemas.openxmlformats.org/officeDocument/2006/relationships/hyperlink" Target="https://tools.l2.dwh.sb-sys.info/userhelp/data/komoku" TargetMode="External"/><Relationship Id="rId187" Type="http://schemas.openxmlformats.org/officeDocument/2006/relationships/hyperlink" Target="https://tools.l2.dwh.sb-sys.info/userhelp/data/komoku" TargetMode="External"/><Relationship Id="rId352" Type="http://schemas.openxmlformats.org/officeDocument/2006/relationships/hyperlink" Target="https://tools.l2.dwh.sb-sys.info/userhelp/data/komoku" TargetMode="External"/><Relationship Id="rId394" Type="http://schemas.openxmlformats.org/officeDocument/2006/relationships/hyperlink" Target="https://tools.l2.dwh.sb-sys.info/userhelp/data/komoku" TargetMode="External"/><Relationship Id="rId408" Type="http://schemas.openxmlformats.org/officeDocument/2006/relationships/hyperlink" Target="https://tools.l2.dwh.sb-sys.info/userhelp/data/komoku" TargetMode="External"/><Relationship Id="rId212" Type="http://schemas.openxmlformats.org/officeDocument/2006/relationships/hyperlink" Target="https://tools.l2.dwh.sb-sys.info/userhelp/data/komoku" TargetMode="External"/><Relationship Id="rId254" Type="http://schemas.openxmlformats.org/officeDocument/2006/relationships/hyperlink" Target="https://tools.l2.dwh.sb-sys.info/userhelp/data/komoku" TargetMode="External"/><Relationship Id="rId49" Type="http://schemas.openxmlformats.org/officeDocument/2006/relationships/hyperlink" Target="https://tools.l2.dwh.sb-sys.info/userhelp/data/komoku" TargetMode="External"/><Relationship Id="rId114" Type="http://schemas.openxmlformats.org/officeDocument/2006/relationships/hyperlink" Target="https://tools.l2.dwh.sb-sys.info/userhelp/data/komoku" TargetMode="External"/><Relationship Id="rId296" Type="http://schemas.openxmlformats.org/officeDocument/2006/relationships/hyperlink" Target="https://tools.l2.dwh.sb-sys.info/userhelp/data/komoku" TargetMode="External"/><Relationship Id="rId461" Type="http://schemas.openxmlformats.org/officeDocument/2006/relationships/hyperlink" Target="https://tools.l2.dwh.sb-sys.info/userhelp/data/komoku" TargetMode="External"/><Relationship Id="rId60" Type="http://schemas.openxmlformats.org/officeDocument/2006/relationships/hyperlink" Target="https://tools.l2.dwh.sb-sys.info/userhelp/data/komoku" TargetMode="External"/><Relationship Id="rId156" Type="http://schemas.openxmlformats.org/officeDocument/2006/relationships/hyperlink" Target="https://tools.l2.dwh.sb-sys.info/userhelp/data/komoku" TargetMode="External"/><Relationship Id="rId198" Type="http://schemas.openxmlformats.org/officeDocument/2006/relationships/hyperlink" Target="https://tools.l2.dwh.sb-sys.info/userhelp/data/komoku" TargetMode="External"/><Relationship Id="rId321" Type="http://schemas.openxmlformats.org/officeDocument/2006/relationships/hyperlink" Target="https://tools.l2.dwh.sb-sys.info/userhelp/data/komoku" TargetMode="External"/><Relationship Id="rId363" Type="http://schemas.openxmlformats.org/officeDocument/2006/relationships/hyperlink" Target="https://tools.l2.dwh.sb-sys.info/userhelp/data/komoku" TargetMode="External"/><Relationship Id="rId419" Type="http://schemas.openxmlformats.org/officeDocument/2006/relationships/hyperlink" Target="https://tools.l2.dwh.sb-sys.info/userhelp/data/komoku" TargetMode="External"/><Relationship Id="rId223" Type="http://schemas.openxmlformats.org/officeDocument/2006/relationships/hyperlink" Target="https://tools.l2.dwh.sb-sys.info/userhelp/data/komoku" TargetMode="External"/><Relationship Id="rId430" Type="http://schemas.openxmlformats.org/officeDocument/2006/relationships/hyperlink" Target="https://tools.l2.dwh.sb-sys.info/userhelp/data/komoku" TargetMode="External"/><Relationship Id="rId18" Type="http://schemas.openxmlformats.org/officeDocument/2006/relationships/hyperlink" Target="https://tools.l2.dwh.sb-sys.info/userhelp/data/komoku" TargetMode="External"/><Relationship Id="rId265" Type="http://schemas.openxmlformats.org/officeDocument/2006/relationships/hyperlink" Target="https://tools.l2.dwh.sb-sys.info/userhelp/data/komoku" TargetMode="External"/><Relationship Id="rId472" Type="http://schemas.openxmlformats.org/officeDocument/2006/relationships/hyperlink" Target="https://tools.l2.dwh.sb-sys.info/userhelp/data/komoku" TargetMode="External"/><Relationship Id="rId125" Type="http://schemas.openxmlformats.org/officeDocument/2006/relationships/hyperlink" Target="https://tools.l2.dwh.sb-sys.info/userhelp/data/komoku" TargetMode="External"/><Relationship Id="rId167" Type="http://schemas.openxmlformats.org/officeDocument/2006/relationships/hyperlink" Target="https://tools.l2.dwh.sb-sys.info/userhelp/data/komoku" TargetMode="External"/><Relationship Id="rId332" Type="http://schemas.openxmlformats.org/officeDocument/2006/relationships/hyperlink" Target="https://tools.l2.dwh.sb-sys.info/userhelp/data/komoku" TargetMode="External"/><Relationship Id="rId374" Type="http://schemas.openxmlformats.org/officeDocument/2006/relationships/hyperlink" Target="https://tools.l2.dwh.sb-sys.info/userhelp/data/komoku" TargetMode="External"/><Relationship Id="rId71" Type="http://schemas.openxmlformats.org/officeDocument/2006/relationships/hyperlink" Target="https://tools.l2.dwh.sb-sys.info/userhelp/data/komoku" TargetMode="External"/><Relationship Id="rId234" Type="http://schemas.openxmlformats.org/officeDocument/2006/relationships/hyperlink" Target="https://tools.l2.dwh.sb-sys.info/userhelp/data/komoku" TargetMode="External"/><Relationship Id="rId2" Type="http://schemas.openxmlformats.org/officeDocument/2006/relationships/hyperlink" Target="https://tools.l2.dwh.sb-sys.info/userhelp/data/komoku" TargetMode="External"/><Relationship Id="rId29" Type="http://schemas.openxmlformats.org/officeDocument/2006/relationships/hyperlink" Target="https://tools.l2.dwh.sb-sys.info/userhelp/data/komoku" TargetMode="External"/><Relationship Id="rId276" Type="http://schemas.openxmlformats.org/officeDocument/2006/relationships/hyperlink" Target="https://tools.l2.dwh.sb-sys.info/userhelp/data/komoku" TargetMode="External"/><Relationship Id="rId441" Type="http://schemas.openxmlformats.org/officeDocument/2006/relationships/hyperlink" Target="https://tools.l2.dwh.sb-sys.info/userhelp/data/komoku" TargetMode="External"/><Relationship Id="rId483" Type="http://schemas.openxmlformats.org/officeDocument/2006/relationships/hyperlink" Target="https://tools.l2.dwh.sb-sys.info/userhelp/data/komoku" TargetMode="External"/><Relationship Id="rId40" Type="http://schemas.openxmlformats.org/officeDocument/2006/relationships/hyperlink" Target="https://tools.l2.dwh.sb-sys.info/userhelp/data/komoku" TargetMode="External"/><Relationship Id="rId136" Type="http://schemas.openxmlformats.org/officeDocument/2006/relationships/hyperlink" Target="https://tools.l2.dwh.sb-sys.info/userhelp/data/komoku" TargetMode="External"/><Relationship Id="rId178" Type="http://schemas.openxmlformats.org/officeDocument/2006/relationships/hyperlink" Target="https://tools.l2.dwh.sb-sys.info/userhelp/data/komoku" TargetMode="External"/><Relationship Id="rId301" Type="http://schemas.openxmlformats.org/officeDocument/2006/relationships/hyperlink" Target="https://tools.l2.dwh.sb-sys.info/userhelp/data/komoku" TargetMode="External"/><Relationship Id="rId343" Type="http://schemas.openxmlformats.org/officeDocument/2006/relationships/hyperlink" Target="https://tools.l2.dwh.sb-sys.info/userhelp/data/komoku" TargetMode="External"/><Relationship Id="rId82" Type="http://schemas.openxmlformats.org/officeDocument/2006/relationships/hyperlink" Target="https://tools.l2.dwh.sb-sys.info/userhelp/data/komoku" TargetMode="External"/><Relationship Id="rId203" Type="http://schemas.openxmlformats.org/officeDocument/2006/relationships/hyperlink" Target="https://tools.l2.dwh.sb-sys.info/userhelp/data/komoku" TargetMode="External"/><Relationship Id="rId385" Type="http://schemas.openxmlformats.org/officeDocument/2006/relationships/hyperlink" Target="https://tools.l2.dwh.sb-sys.info/userhelp/data/komoku" TargetMode="External"/><Relationship Id="rId245" Type="http://schemas.openxmlformats.org/officeDocument/2006/relationships/hyperlink" Target="https://tools.l2.dwh.sb-sys.info/userhelp/data/komoku" TargetMode="External"/><Relationship Id="rId287" Type="http://schemas.openxmlformats.org/officeDocument/2006/relationships/hyperlink" Target="https://tools.l2.dwh.sb-sys.info/userhelp/data/komoku" TargetMode="External"/><Relationship Id="rId410" Type="http://schemas.openxmlformats.org/officeDocument/2006/relationships/hyperlink" Target="https://tools.l2.dwh.sb-sys.info/userhelp/data/komoku" TargetMode="External"/><Relationship Id="rId452" Type="http://schemas.openxmlformats.org/officeDocument/2006/relationships/hyperlink" Target="https://tools.l2.dwh.sb-sys.info/userhelp/data/komoku" TargetMode="External"/><Relationship Id="rId494" Type="http://schemas.openxmlformats.org/officeDocument/2006/relationships/hyperlink" Target="https://tools.l2.dwh.sb-sys.info/userhelp/data/komoku" TargetMode="External"/><Relationship Id="rId105" Type="http://schemas.openxmlformats.org/officeDocument/2006/relationships/hyperlink" Target="https://tools.l2.dwh.sb-sys.info/userhelp/data/komoku" TargetMode="External"/><Relationship Id="rId147" Type="http://schemas.openxmlformats.org/officeDocument/2006/relationships/hyperlink" Target="https://tools.l2.dwh.sb-sys.info/userhelp/data/komoku" TargetMode="External"/><Relationship Id="rId312" Type="http://schemas.openxmlformats.org/officeDocument/2006/relationships/hyperlink" Target="https://tools.l2.dwh.sb-sys.info/userhelp/data/komoku" TargetMode="External"/><Relationship Id="rId354" Type="http://schemas.openxmlformats.org/officeDocument/2006/relationships/hyperlink" Target="https://tools.l2.dwh.sb-sys.info/userhelp/data/komoku" TargetMode="External"/><Relationship Id="rId51" Type="http://schemas.openxmlformats.org/officeDocument/2006/relationships/hyperlink" Target="https://tools.l2.dwh.sb-sys.info/userhelp/data/komoku" TargetMode="External"/><Relationship Id="rId93" Type="http://schemas.openxmlformats.org/officeDocument/2006/relationships/hyperlink" Target="https://tools.l2.dwh.sb-sys.info/userhelp/data/komoku" TargetMode="External"/><Relationship Id="rId189" Type="http://schemas.openxmlformats.org/officeDocument/2006/relationships/hyperlink" Target="https://tools.l2.dwh.sb-sys.info/userhelp/data/komoku" TargetMode="External"/><Relationship Id="rId396" Type="http://schemas.openxmlformats.org/officeDocument/2006/relationships/hyperlink" Target="https://tools.l2.dwh.sb-sys.info/userhelp/data/komoku" TargetMode="External"/><Relationship Id="rId214" Type="http://schemas.openxmlformats.org/officeDocument/2006/relationships/hyperlink" Target="https://tools.l2.dwh.sb-sys.info/userhelp/data/komoku" TargetMode="External"/><Relationship Id="rId256" Type="http://schemas.openxmlformats.org/officeDocument/2006/relationships/hyperlink" Target="https://tools.l2.dwh.sb-sys.info/userhelp/data/komoku" TargetMode="External"/><Relationship Id="rId298" Type="http://schemas.openxmlformats.org/officeDocument/2006/relationships/hyperlink" Target="https://tools.l2.dwh.sb-sys.info/userhelp/data/komoku" TargetMode="External"/><Relationship Id="rId421" Type="http://schemas.openxmlformats.org/officeDocument/2006/relationships/hyperlink" Target="https://tools.l2.dwh.sb-sys.info/userhelp/data/komoku" TargetMode="External"/><Relationship Id="rId463" Type="http://schemas.openxmlformats.org/officeDocument/2006/relationships/hyperlink" Target="https://tools.l2.dwh.sb-sys.info/userhelp/data/komoku" TargetMode="External"/><Relationship Id="rId116" Type="http://schemas.openxmlformats.org/officeDocument/2006/relationships/hyperlink" Target="https://tools.l2.dwh.sb-sys.info/userhelp/data/komoku" TargetMode="External"/><Relationship Id="rId158" Type="http://schemas.openxmlformats.org/officeDocument/2006/relationships/hyperlink" Target="https://tools.l2.dwh.sb-sys.info/userhelp/data/komoku" TargetMode="External"/><Relationship Id="rId323" Type="http://schemas.openxmlformats.org/officeDocument/2006/relationships/hyperlink" Target="https://tools.l2.dwh.sb-sys.info/userhelp/data/komoku" TargetMode="External"/><Relationship Id="rId20" Type="http://schemas.openxmlformats.org/officeDocument/2006/relationships/hyperlink" Target="https://tools.l2.dwh.sb-sys.info/userhelp/data/komoku" TargetMode="External"/><Relationship Id="rId62" Type="http://schemas.openxmlformats.org/officeDocument/2006/relationships/hyperlink" Target="https://tools.l2.dwh.sb-sys.info/userhelp/data/komoku" TargetMode="External"/><Relationship Id="rId365" Type="http://schemas.openxmlformats.org/officeDocument/2006/relationships/hyperlink" Target="https://tools.l2.dwh.sb-sys.info/userhelp/data/komoku" TargetMode="External"/><Relationship Id="rId225" Type="http://schemas.openxmlformats.org/officeDocument/2006/relationships/hyperlink" Target="https://tools.l2.dwh.sb-sys.info/userhelp/data/komoku" TargetMode="External"/><Relationship Id="rId267" Type="http://schemas.openxmlformats.org/officeDocument/2006/relationships/hyperlink" Target="https://tools.l2.dwh.sb-sys.info/userhelp/data/komoku" TargetMode="External"/><Relationship Id="rId432" Type="http://schemas.openxmlformats.org/officeDocument/2006/relationships/hyperlink" Target="https://tools.l2.dwh.sb-sys.info/userhelp/data/komoku" TargetMode="External"/><Relationship Id="rId474" Type="http://schemas.openxmlformats.org/officeDocument/2006/relationships/hyperlink" Target="https://tools.l2.dwh.sb-sys.info/userhelp/data/komoku" TargetMode="External"/><Relationship Id="rId127" Type="http://schemas.openxmlformats.org/officeDocument/2006/relationships/hyperlink" Target="https://tools.l2.dwh.sb-sys.info/userhelp/data/komoku" TargetMode="External"/><Relationship Id="rId31" Type="http://schemas.openxmlformats.org/officeDocument/2006/relationships/hyperlink" Target="https://tools.l2.dwh.sb-sys.info/userhelp/data/komoku" TargetMode="External"/><Relationship Id="rId73" Type="http://schemas.openxmlformats.org/officeDocument/2006/relationships/hyperlink" Target="https://tools.l2.dwh.sb-sys.info/userhelp/data/komoku" TargetMode="External"/><Relationship Id="rId169" Type="http://schemas.openxmlformats.org/officeDocument/2006/relationships/hyperlink" Target="https://tools.l2.dwh.sb-sys.info/userhelp/data/komoku" TargetMode="External"/><Relationship Id="rId334" Type="http://schemas.openxmlformats.org/officeDocument/2006/relationships/hyperlink" Target="https://tools.l2.dwh.sb-sys.info/userhelp/data/komoku" TargetMode="External"/><Relationship Id="rId376" Type="http://schemas.openxmlformats.org/officeDocument/2006/relationships/hyperlink" Target="https://tools.l2.dwh.sb-sys.info/userhelp/data/komoku" TargetMode="External"/><Relationship Id="rId4" Type="http://schemas.openxmlformats.org/officeDocument/2006/relationships/hyperlink" Target="https://tools.l2.dwh.sb-sys.info/userhelp/data/komoku" TargetMode="External"/><Relationship Id="rId180" Type="http://schemas.openxmlformats.org/officeDocument/2006/relationships/hyperlink" Target="https://tools.l2.dwh.sb-sys.info/userhelp/data/komoku" TargetMode="External"/><Relationship Id="rId215" Type="http://schemas.openxmlformats.org/officeDocument/2006/relationships/hyperlink" Target="https://tools.l2.dwh.sb-sys.info/userhelp/data/komoku" TargetMode="External"/><Relationship Id="rId236" Type="http://schemas.openxmlformats.org/officeDocument/2006/relationships/hyperlink" Target="https://tools.l2.dwh.sb-sys.info/userhelp/data/komoku" TargetMode="External"/><Relationship Id="rId257" Type="http://schemas.openxmlformats.org/officeDocument/2006/relationships/hyperlink" Target="https://tools.l2.dwh.sb-sys.info/userhelp/data/komoku" TargetMode="External"/><Relationship Id="rId278" Type="http://schemas.openxmlformats.org/officeDocument/2006/relationships/hyperlink" Target="https://tools.l2.dwh.sb-sys.info/userhelp/data/komoku" TargetMode="External"/><Relationship Id="rId401" Type="http://schemas.openxmlformats.org/officeDocument/2006/relationships/hyperlink" Target="https://tools.l2.dwh.sb-sys.info/userhelp/data/komoku" TargetMode="External"/><Relationship Id="rId422" Type="http://schemas.openxmlformats.org/officeDocument/2006/relationships/hyperlink" Target="https://tools.l2.dwh.sb-sys.info/userhelp/data/komoku" TargetMode="External"/><Relationship Id="rId443" Type="http://schemas.openxmlformats.org/officeDocument/2006/relationships/hyperlink" Target="https://tools.l2.dwh.sb-sys.info/userhelp/data/komoku" TargetMode="External"/><Relationship Id="rId464" Type="http://schemas.openxmlformats.org/officeDocument/2006/relationships/hyperlink" Target="https://tools.l2.dwh.sb-sys.info/userhelp/data/komoku" TargetMode="External"/><Relationship Id="rId303" Type="http://schemas.openxmlformats.org/officeDocument/2006/relationships/hyperlink" Target="https://tools.l2.dwh.sb-sys.info/userhelp/data/komoku" TargetMode="External"/><Relationship Id="rId485" Type="http://schemas.openxmlformats.org/officeDocument/2006/relationships/hyperlink" Target="https://tools.l2.dwh.sb-sys.info/userhelp/data/komoku" TargetMode="External"/><Relationship Id="rId42" Type="http://schemas.openxmlformats.org/officeDocument/2006/relationships/hyperlink" Target="https://tools.l2.dwh.sb-sys.info/userhelp/data/komoku" TargetMode="External"/><Relationship Id="rId84" Type="http://schemas.openxmlformats.org/officeDocument/2006/relationships/hyperlink" Target="https://tools.l2.dwh.sb-sys.info/userhelp/data/komoku" TargetMode="External"/><Relationship Id="rId138" Type="http://schemas.openxmlformats.org/officeDocument/2006/relationships/hyperlink" Target="https://tools.l2.dwh.sb-sys.info/userhelp/data/komoku" TargetMode="External"/><Relationship Id="rId345" Type="http://schemas.openxmlformats.org/officeDocument/2006/relationships/hyperlink" Target="https://tools.l2.dwh.sb-sys.info/userhelp/data/komoku" TargetMode="External"/><Relationship Id="rId387" Type="http://schemas.openxmlformats.org/officeDocument/2006/relationships/hyperlink" Target="https://tools.l2.dwh.sb-sys.info/userhelp/data/komoku" TargetMode="External"/><Relationship Id="rId191" Type="http://schemas.openxmlformats.org/officeDocument/2006/relationships/hyperlink" Target="https://tools.l2.dwh.sb-sys.info/userhelp/data/komoku" TargetMode="External"/><Relationship Id="rId205" Type="http://schemas.openxmlformats.org/officeDocument/2006/relationships/hyperlink" Target="https://tools.l2.dwh.sb-sys.info/userhelp/data/komoku" TargetMode="External"/><Relationship Id="rId247" Type="http://schemas.openxmlformats.org/officeDocument/2006/relationships/hyperlink" Target="https://tools.l2.dwh.sb-sys.info/userhelp/data/komoku" TargetMode="External"/><Relationship Id="rId412" Type="http://schemas.openxmlformats.org/officeDocument/2006/relationships/hyperlink" Target="https://tools.l2.dwh.sb-sys.info/userhelp/data/komoku" TargetMode="External"/><Relationship Id="rId107" Type="http://schemas.openxmlformats.org/officeDocument/2006/relationships/hyperlink" Target="https://tools.l2.dwh.sb-sys.info/userhelp/data/komoku" TargetMode="External"/><Relationship Id="rId289" Type="http://schemas.openxmlformats.org/officeDocument/2006/relationships/hyperlink" Target="https://tools.l2.dwh.sb-sys.info/userhelp/data/komoku" TargetMode="External"/><Relationship Id="rId454" Type="http://schemas.openxmlformats.org/officeDocument/2006/relationships/hyperlink" Target="https://tools.l2.dwh.sb-sys.info/userhelp/data/komoku" TargetMode="External"/><Relationship Id="rId496" Type="http://schemas.openxmlformats.org/officeDocument/2006/relationships/hyperlink" Target="https://tools.l2.dwh.sb-sys.info/userhelp/data/komoku" TargetMode="External"/><Relationship Id="rId11" Type="http://schemas.openxmlformats.org/officeDocument/2006/relationships/hyperlink" Target="https://tools.l2.dwh.sb-sys.info/userhelp/data/komoku" TargetMode="External"/><Relationship Id="rId53" Type="http://schemas.openxmlformats.org/officeDocument/2006/relationships/hyperlink" Target="https://tools.l2.dwh.sb-sys.info/userhelp/data/komoku" TargetMode="External"/><Relationship Id="rId149" Type="http://schemas.openxmlformats.org/officeDocument/2006/relationships/hyperlink" Target="https://tools.l2.dwh.sb-sys.info/userhelp/data/komoku" TargetMode="External"/><Relationship Id="rId314" Type="http://schemas.openxmlformats.org/officeDocument/2006/relationships/hyperlink" Target="https://tools.l2.dwh.sb-sys.info/userhelp/data/komoku" TargetMode="External"/><Relationship Id="rId356" Type="http://schemas.openxmlformats.org/officeDocument/2006/relationships/hyperlink" Target="https://tools.l2.dwh.sb-sys.info/userhelp/data/komoku" TargetMode="External"/><Relationship Id="rId398" Type="http://schemas.openxmlformats.org/officeDocument/2006/relationships/hyperlink" Target="https://tools.l2.dwh.sb-sys.info/userhelp/data/komoku" TargetMode="External"/><Relationship Id="rId95" Type="http://schemas.openxmlformats.org/officeDocument/2006/relationships/hyperlink" Target="https://tools.l2.dwh.sb-sys.info/userhelp/data/komoku" TargetMode="External"/><Relationship Id="rId160" Type="http://schemas.openxmlformats.org/officeDocument/2006/relationships/hyperlink" Target="https://tools.l2.dwh.sb-sys.info/userhelp/data/komoku" TargetMode="External"/><Relationship Id="rId216" Type="http://schemas.openxmlformats.org/officeDocument/2006/relationships/hyperlink" Target="https://tools.l2.dwh.sb-sys.info/userhelp/data/komoku" TargetMode="External"/><Relationship Id="rId423" Type="http://schemas.openxmlformats.org/officeDocument/2006/relationships/hyperlink" Target="https://tools.l2.dwh.sb-sys.info/userhelp/data/komoku" TargetMode="External"/><Relationship Id="rId258" Type="http://schemas.openxmlformats.org/officeDocument/2006/relationships/hyperlink" Target="https://tools.l2.dwh.sb-sys.info/userhelp/data/komoku" TargetMode="External"/><Relationship Id="rId465" Type="http://schemas.openxmlformats.org/officeDocument/2006/relationships/hyperlink" Target="https://tools.l2.dwh.sb-sys.info/userhelp/data/komoku" TargetMode="External"/><Relationship Id="rId22" Type="http://schemas.openxmlformats.org/officeDocument/2006/relationships/hyperlink" Target="https://tools.l2.dwh.sb-sys.info/userhelp/data/komoku" TargetMode="External"/><Relationship Id="rId64" Type="http://schemas.openxmlformats.org/officeDocument/2006/relationships/hyperlink" Target="https://tools.l2.dwh.sb-sys.info/userhelp/data/komoku" TargetMode="External"/><Relationship Id="rId118" Type="http://schemas.openxmlformats.org/officeDocument/2006/relationships/hyperlink" Target="https://tools.l2.dwh.sb-sys.info/userhelp/data/komoku" TargetMode="External"/><Relationship Id="rId325" Type="http://schemas.openxmlformats.org/officeDocument/2006/relationships/hyperlink" Target="https://tools.l2.dwh.sb-sys.info/userhelp/data/komoku" TargetMode="External"/><Relationship Id="rId367" Type="http://schemas.openxmlformats.org/officeDocument/2006/relationships/hyperlink" Target="https://tools.l2.dwh.sb-sys.info/userhelp/data/komoku" TargetMode="External"/><Relationship Id="rId171" Type="http://schemas.openxmlformats.org/officeDocument/2006/relationships/hyperlink" Target="https://tools.l2.dwh.sb-sys.info/userhelp/data/komoku" TargetMode="External"/><Relationship Id="rId227" Type="http://schemas.openxmlformats.org/officeDocument/2006/relationships/hyperlink" Target="https://tools.l2.dwh.sb-sys.info/userhelp/data/komoku" TargetMode="External"/><Relationship Id="rId269" Type="http://schemas.openxmlformats.org/officeDocument/2006/relationships/hyperlink" Target="https://tools.l2.dwh.sb-sys.info/userhelp/data/komoku" TargetMode="External"/><Relationship Id="rId434" Type="http://schemas.openxmlformats.org/officeDocument/2006/relationships/hyperlink" Target="https://tools.l2.dwh.sb-sys.info/userhelp/data/komoku" TargetMode="External"/><Relationship Id="rId476" Type="http://schemas.openxmlformats.org/officeDocument/2006/relationships/hyperlink" Target="https://tools.l2.dwh.sb-sys.info/userhelp/data/komoku" TargetMode="External"/><Relationship Id="rId33" Type="http://schemas.openxmlformats.org/officeDocument/2006/relationships/hyperlink" Target="https://tools.l2.dwh.sb-sys.info/userhelp/data/komoku" TargetMode="External"/><Relationship Id="rId129" Type="http://schemas.openxmlformats.org/officeDocument/2006/relationships/hyperlink" Target="https://tools.l2.dwh.sb-sys.info/userhelp/data/komoku" TargetMode="External"/><Relationship Id="rId280" Type="http://schemas.openxmlformats.org/officeDocument/2006/relationships/hyperlink" Target="https://tools.l2.dwh.sb-sys.info/userhelp/data/komoku" TargetMode="External"/><Relationship Id="rId336" Type="http://schemas.openxmlformats.org/officeDocument/2006/relationships/hyperlink" Target="https://tools.l2.dwh.sb-sys.info/userhelp/data/komoku" TargetMode="External"/><Relationship Id="rId501" Type="http://schemas.openxmlformats.org/officeDocument/2006/relationships/hyperlink" Target="https://tools.l2.dwh.sb-sys.info/userhelp/data/komoku" TargetMode="External"/><Relationship Id="rId75" Type="http://schemas.openxmlformats.org/officeDocument/2006/relationships/hyperlink" Target="https://tools.l2.dwh.sb-sys.info/userhelp/data/komoku" TargetMode="External"/><Relationship Id="rId140" Type="http://schemas.openxmlformats.org/officeDocument/2006/relationships/hyperlink" Target="https://tools.l2.dwh.sb-sys.info/userhelp/data/komoku" TargetMode="External"/><Relationship Id="rId182" Type="http://schemas.openxmlformats.org/officeDocument/2006/relationships/hyperlink" Target="https://tools.l2.dwh.sb-sys.info/userhelp/data/komoku" TargetMode="External"/><Relationship Id="rId378" Type="http://schemas.openxmlformats.org/officeDocument/2006/relationships/hyperlink" Target="https://tools.l2.dwh.sb-sys.info/userhelp/data/komoku" TargetMode="External"/><Relationship Id="rId403" Type="http://schemas.openxmlformats.org/officeDocument/2006/relationships/hyperlink" Target="https://tools.l2.dwh.sb-sys.info/userhelp/data/komoku" TargetMode="External"/><Relationship Id="rId6" Type="http://schemas.openxmlformats.org/officeDocument/2006/relationships/hyperlink" Target="https://tools.l2.dwh.sb-sys.info/userhelp/data/komoku" TargetMode="External"/><Relationship Id="rId238" Type="http://schemas.openxmlformats.org/officeDocument/2006/relationships/hyperlink" Target="https://tools.l2.dwh.sb-sys.info/userhelp/data/komoku" TargetMode="External"/><Relationship Id="rId445" Type="http://schemas.openxmlformats.org/officeDocument/2006/relationships/hyperlink" Target="https://tools.l2.dwh.sb-sys.info/userhelp/data/komoku" TargetMode="External"/><Relationship Id="rId487" Type="http://schemas.openxmlformats.org/officeDocument/2006/relationships/hyperlink" Target="https://tools.l2.dwh.sb-sys.info/userhelp/data/komoku" TargetMode="External"/><Relationship Id="rId291" Type="http://schemas.openxmlformats.org/officeDocument/2006/relationships/hyperlink" Target="https://tools.l2.dwh.sb-sys.info/userhelp/data/komoku" TargetMode="External"/><Relationship Id="rId305" Type="http://schemas.openxmlformats.org/officeDocument/2006/relationships/hyperlink" Target="https://tools.l2.dwh.sb-sys.info/userhelp/data/komoku" TargetMode="External"/><Relationship Id="rId347" Type="http://schemas.openxmlformats.org/officeDocument/2006/relationships/hyperlink" Target="https://tools.l2.dwh.sb-sys.info/userhelp/data/komoku" TargetMode="External"/><Relationship Id="rId44" Type="http://schemas.openxmlformats.org/officeDocument/2006/relationships/hyperlink" Target="https://tools.l2.dwh.sb-sys.info/userhelp/data/komoku" TargetMode="External"/><Relationship Id="rId86" Type="http://schemas.openxmlformats.org/officeDocument/2006/relationships/hyperlink" Target="https://tools.l2.dwh.sb-sys.info/userhelp/data/komoku" TargetMode="External"/><Relationship Id="rId151" Type="http://schemas.openxmlformats.org/officeDocument/2006/relationships/hyperlink" Target="https://tools.l2.dwh.sb-sys.info/userhelp/data/komoku" TargetMode="External"/><Relationship Id="rId389" Type="http://schemas.openxmlformats.org/officeDocument/2006/relationships/hyperlink" Target="https://tools.l2.dwh.sb-sys.info/userhelp/data/komoku" TargetMode="External"/><Relationship Id="rId193" Type="http://schemas.openxmlformats.org/officeDocument/2006/relationships/hyperlink" Target="https://tools.l2.dwh.sb-sys.info/userhelp/data/komoku" TargetMode="External"/><Relationship Id="rId207" Type="http://schemas.openxmlformats.org/officeDocument/2006/relationships/hyperlink" Target="https://tools.l2.dwh.sb-sys.info/userhelp/data/komoku" TargetMode="External"/><Relationship Id="rId249" Type="http://schemas.openxmlformats.org/officeDocument/2006/relationships/hyperlink" Target="https://tools.l2.dwh.sb-sys.info/userhelp/data/komoku" TargetMode="External"/><Relationship Id="rId414" Type="http://schemas.openxmlformats.org/officeDocument/2006/relationships/hyperlink" Target="https://tools.l2.dwh.sb-sys.info/userhelp/data/komoku" TargetMode="External"/><Relationship Id="rId456" Type="http://schemas.openxmlformats.org/officeDocument/2006/relationships/hyperlink" Target="https://tools.l2.dwh.sb-sys.info/userhelp/data/komoku" TargetMode="External"/><Relationship Id="rId498" Type="http://schemas.openxmlformats.org/officeDocument/2006/relationships/hyperlink" Target="https://tools.l2.dwh.sb-sys.info/userhelp/data/komoku" TargetMode="External"/><Relationship Id="rId13" Type="http://schemas.openxmlformats.org/officeDocument/2006/relationships/hyperlink" Target="https://tools.l2.dwh.sb-sys.info/userhelp/data/komoku" TargetMode="External"/><Relationship Id="rId109" Type="http://schemas.openxmlformats.org/officeDocument/2006/relationships/hyperlink" Target="https://tools.l2.dwh.sb-sys.info/userhelp/data/komoku" TargetMode="External"/><Relationship Id="rId260" Type="http://schemas.openxmlformats.org/officeDocument/2006/relationships/hyperlink" Target="https://tools.l2.dwh.sb-sys.info/userhelp/data/komoku" TargetMode="External"/><Relationship Id="rId316" Type="http://schemas.openxmlformats.org/officeDocument/2006/relationships/hyperlink" Target="https://tools.l2.dwh.sb-sys.info/userhelp/data/komoku" TargetMode="External"/><Relationship Id="rId55" Type="http://schemas.openxmlformats.org/officeDocument/2006/relationships/hyperlink" Target="https://tools.l2.dwh.sb-sys.info/userhelp/data/komoku" TargetMode="External"/><Relationship Id="rId97" Type="http://schemas.openxmlformats.org/officeDocument/2006/relationships/hyperlink" Target="https://tools.l2.dwh.sb-sys.info/userhelp/data/komoku" TargetMode="External"/><Relationship Id="rId120" Type="http://schemas.openxmlformats.org/officeDocument/2006/relationships/hyperlink" Target="https://tools.l2.dwh.sb-sys.info/userhelp/data/komoku" TargetMode="External"/><Relationship Id="rId358" Type="http://schemas.openxmlformats.org/officeDocument/2006/relationships/hyperlink" Target="https://tools.l2.dwh.sb-sys.info/userhelp/data/komoku" TargetMode="External"/><Relationship Id="rId162" Type="http://schemas.openxmlformats.org/officeDocument/2006/relationships/hyperlink" Target="https://tools.l2.dwh.sb-sys.info/userhelp/data/komoku" TargetMode="External"/><Relationship Id="rId218" Type="http://schemas.openxmlformats.org/officeDocument/2006/relationships/hyperlink" Target="https://tools.l2.dwh.sb-sys.info/userhelp/data/komoku" TargetMode="External"/><Relationship Id="rId425" Type="http://schemas.openxmlformats.org/officeDocument/2006/relationships/hyperlink" Target="https://tools.l2.dwh.sb-sys.info/userhelp/data/komoku" TargetMode="External"/><Relationship Id="rId467" Type="http://schemas.openxmlformats.org/officeDocument/2006/relationships/hyperlink" Target="https://tools.l2.dwh.sb-sys.info/userhelp/data/komoku" TargetMode="External"/><Relationship Id="rId271" Type="http://schemas.openxmlformats.org/officeDocument/2006/relationships/hyperlink" Target="https://tools.l2.dwh.sb-sys.info/userhelp/data/komoku" TargetMode="External"/><Relationship Id="rId24" Type="http://schemas.openxmlformats.org/officeDocument/2006/relationships/hyperlink" Target="https://tools.l2.dwh.sb-sys.info/userhelp/data/komoku" TargetMode="External"/><Relationship Id="rId66" Type="http://schemas.openxmlformats.org/officeDocument/2006/relationships/hyperlink" Target="https://tools.l2.dwh.sb-sys.info/userhelp/data/komoku" TargetMode="External"/><Relationship Id="rId131" Type="http://schemas.openxmlformats.org/officeDocument/2006/relationships/hyperlink" Target="https://tools.l2.dwh.sb-sys.info/userhelp/data/komoku" TargetMode="External"/><Relationship Id="rId327" Type="http://schemas.openxmlformats.org/officeDocument/2006/relationships/hyperlink" Target="https://tools.l2.dwh.sb-sys.info/userhelp/data/komoku" TargetMode="External"/><Relationship Id="rId369" Type="http://schemas.openxmlformats.org/officeDocument/2006/relationships/hyperlink" Target="https://tools.l2.dwh.sb-sys.info/userhelp/data/komoku" TargetMode="External"/><Relationship Id="rId173" Type="http://schemas.openxmlformats.org/officeDocument/2006/relationships/hyperlink" Target="https://tools.l2.dwh.sb-sys.info/userhelp/data/komoku" TargetMode="External"/><Relationship Id="rId229" Type="http://schemas.openxmlformats.org/officeDocument/2006/relationships/hyperlink" Target="https://tools.l2.dwh.sb-sys.info/userhelp/data/komoku" TargetMode="External"/><Relationship Id="rId380" Type="http://schemas.openxmlformats.org/officeDocument/2006/relationships/hyperlink" Target="https://tools.l2.dwh.sb-sys.info/userhelp/data/komoku" TargetMode="External"/><Relationship Id="rId436" Type="http://schemas.openxmlformats.org/officeDocument/2006/relationships/hyperlink" Target="https://tools.l2.dwh.sb-sys.info/userhelp/data/komoku" TargetMode="External"/><Relationship Id="rId240" Type="http://schemas.openxmlformats.org/officeDocument/2006/relationships/hyperlink" Target="https://tools.l2.dwh.sb-sys.info/userhelp/data/komoku" TargetMode="External"/><Relationship Id="rId478" Type="http://schemas.openxmlformats.org/officeDocument/2006/relationships/hyperlink" Target="https://tools.l2.dwh.sb-sys.info/userhelp/data/komoku" TargetMode="External"/><Relationship Id="rId35" Type="http://schemas.openxmlformats.org/officeDocument/2006/relationships/hyperlink" Target="https://tools.l2.dwh.sb-sys.info/userhelp/data/komoku" TargetMode="External"/><Relationship Id="rId77" Type="http://schemas.openxmlformats.org/officeDocument/2006/relationships/hyperlink" Target="https://tools.l2.dwh.sb-sys.info/userhelp/data/komoku" TargetMode="External"/><Relationship Id="rId100" Type="http://schemas.openxmlformats.org/officeDocument/2006/relationships/hyperlink" Target="https://tools.l2.dwh.sb-sys.info/userhelp/data/komoku" TargetMode="External"/><Relationship Id="rId282" Type="http://schemas.openxmlformats.org/officeDocument/2006/relationships/hyperlink" Target="https://tools.l2.dwh.sb-sys.info/userhelp/data/komoku" TargetMode="External"/><Relationship Id="rId338" Type="http://schemas.openxmlformats.org/officeDocument/2006/relationships/hyperlink" Target="https://tools.l2.dwh.sb-sys.info/userhelp/data/komoku" TargetMode="External"/><Relationship Id="rId503" Type="http://schemas.openxmlformats.org/officeDocument/2006/relationships/hyperlink" Target="https://tools.l2.dwh.sb-sys.info/userhelp/data/komoku" TargetMode="External"/><Relationship Id="rId8" Type="http://schemas.openxmlformats.org/officeDocument/2006/relationships/hyperlink" Target="https://tools.l2.dwh.sb-sys.info/userhelp/data/komoku" TargetMode="External"/><Relationship Id="rId142" Type="http://schemas.openxmlformats.org/officeDocument/2006/relationships/hyperlink" Target="https://tools.l2.dwh.sb-sys.info/userhelp/data/komoku" TargetMode="External"/><Relationship Id="rId184" Type="http://schemas.openxmlformats.org/officeDocument/2006/relationships/hyperlink" Target="https://tools.l2.dwh.sb-sys.info/userhelp/data/komoku" TargetMode="External"/><Relationship Id="rId391" Type="http://schemas.openxmlformats.org/officeDocument/2006/relationships/hyperlink" Target="https://tools.l2.dwh.sb-sys.info/userhelp/data/komoku" TargetMode="External"/><Relationship Id="rId405" Type="http://schemas.openxmlformats.org/officeDocument/2006/relationships/hyperlink" Target="https://tools.l2.dwh.sb-sys.info/userhelp/data/komoku" TargetMode="External"/><Relationship Id="rId447" Type="http://schemas.openxmlformats.org/officeDocument/2006/relationships/hyperlink" Target="https://tools.l2.dwh.sb-sys.info/userhelp/data/komoku" TargetMode="External"/><Relationship Id="rId251" Type="http://schemas.openxmlformats.org/officeDocument/2006/relationships/hyperlink" Target="https://tools.l2.dwh.sb-sys.info/userhelp/data/komoku" TargetMode="External"/><Relationship Id="rId489" Type="http://schemas.openxmlformats.org/officeDocument/2006/relationships/hyperlink" Target="https://tools.l2.dwh.sb-sys.info/userhelp/data/komoku" TargetMode="External"/><Relationship Id="rId46" Type="http://schemas.openxmlformats.org/officeDocument/2006/relationships/hyperlink" Target="https://tools.l2.dwh.sb-sys.info/userhelp/data/komoku" TargetMode="External"/><Relationship Id="rId293" Type="http://schemas.openxmlformats.org/officeDocument/2006/relationships/hyperlink" Target="https://tools.l2.dwh.sb-sys.info/userhelp/data/komoku" TargetMode="External"/><Relationship Id="rId307" Type="http://schemas.openxmlformats.org/officeDocument/2006/relationships/hyperlink" Target="https://tools.l2.dwh.sb-sys.info/userhelp/data/komoku" TargetMode="External"/><Relationship Id="rId349" Type="http://schemas.openxmlformats.org/officeDocument/2006/relationships/hyperlink" Target="https://tools.l2.dwh.sb-sys.info/userhelp/data/komoku" TargetMode="External"/><Relationship Id="rId88" Type="http://schemas.openxmlformats.org/officeDocument/2006/relationships/hyperlink" Target="https://tools.l2.dwh.sb-sys.info/userhelp/data/komoku" TargetMode="External"/><Relationship Id="rId111" Type="http://schemas.openxmlformats.org/officeDocument/2006/relationships/hyperlink" Target="https://tools.l2.dwh.sb-sys.info/userhelp/data/komoku" TargetMode="External"/><Relationship Id="rId153" Type="http://schemas.openxmlformats.org/officeDocument/2006/relationships/hyperlink" Target="https://tools.l2.dwh.sb-sys.info/userhelp/data/komoku" TargetMode="External"/><Relationship Id="rId195" Type="http://schemas.openxmlformats.org/officeDocument/2006/relationships/hyperlink" Target="https://tools.l2.dwh.sb-sys.info/userhelp/data/komoku" TargetMode="External"/><Relationship Id="rId209" Type="http://schemas.openxmlformats.org/officeDocument/2006/relationships/hyperlink" Target="https://tools.l2.dwh.sb-sys.info/userhelp/data/komoku" TargetMode="External"/><Relationship Id="rId360" Type="http://schemas.openxmlformats.org/officeDocument/2006/relationships/hyperlink" Target="https://tools.l2.dwh.sb-sys.info/userhelp/data/komoku" TargetMode="External"/><Relationship Id="rId416" Type="http://schemas.openxmlformats.org/officeDocument/2006/relationships/hyperlink" Target="https://tools.l2.dwh.sb-sys.info/userhelp/data/komoku" TargetMode="External"/><Relationship Id="rId220" Type="http://schemas.openxmlformats.org/officeDocument/2006/relationships/hyperlink" Target="https://tools.l2.dwh.sb-sys.info/userhelp/data/komoku" TargetMode="External"/><Relationship Id="rId458" Type="http://schemas.openxmlformats.org/officeDocument/2006/relationships/hyperlink" Target="https://tools.l2.dwh.sb-sys.info/userhelp/data/komoku" TargetMode="External"/><Relationship Id="rId15" Type="http://schemas.openxmlformats.org/officeDocument/2006/relationships/hyperlink" Target="https://tools.l2.dwh.sb-sys.info/userhelp/data/komoku" TargetMode="External"/><Relationship Id="rId57" Type="http://schemas.openxmlformats.org/officeDocument/2006/relationships/hyperlink" Target="https://tools.l2.dwh.sb-sys.info/userhelp/data/komoku" TargetMode="External"/><Relationship Id="rId262" Type="http://schemas.openxmlformats.org/officeDocument/2006/relationships/hyperlink" Target="https://tools.l2.dwh.sb-sys.info/userhelp/data/komoku" TargetMode="External"/><Relationship Id="rId318" Type="http://schemas.openxmlformats.org/officeDocument/2006/relationships/hyperlink" Target="https://tools.l2.dwh.sb-sys.info/userhelp/data/komoku" TargetMode="External"/><Relationship Id="rId99" Type="http://schemas.openxmlformats.org/officeDocument/2006/relationships/hyperlink" Target="https://tools.l2.dwh.sb-sys.info/userhelp/data/komoku" TargetMode="External"/><Relationship Id="rId122" Type="http://schemas.openxmlformats.org/officeDocument/2006/relationships/hyperlink" Target="https://tools.l2.dwh.sb-sys.info/userhelp/data/komoku" TargetMode="External"/><Relationship Id="rId164" Type="http://schemas.openxmlformats.org/officeDocument/2006/relationships/hyperlink" Target="https://tools.l2.dwh.sb-sys.info/userhelp/data/komoku" TargetMode="External"/><Relationship Id="rId371" Type="http://schemas.openxmlformats.org/officeDocument/2006/relationships/hyperlink" Target="https://tools.l2.dwh.sb-sys.info/userhelp/data/komoku" TargetMode="External"/><Relationship Id="rId427" Type="http://schemas.openxmlformats.org/officeDocument/2006/relationships/hyperlink" Target="https://tools.l2.dwh.sb-sys.info/userhelp/data/komoku" TargetMode="External"/><Relationship Id="rId469" Type="http://schemas.openxmlformats.org/officeDocument/2006/relationships/hyperlink" Target="https://tools.l2.dwh.sb-sys.info/userhelp/data/komoku" TargetMode="External"/><Relationship Id="rId26" Type="http://schemas.openxmlformats.org/officeDocument/2006/relationships/hyperlink" Target="https://tools.l2.dwh.sb-sys.info/userhelp/data/komoku" TargetMode="External"/><Relationship Id="rId231" Type="http://schemas.openxmlformats.org/officeDocument/2006/relationships/hyperlink" Target="https://tools.l2.dwh.sb-sys.info/userhelp/data/komoku" TargetMode="External"/><Relationship Id="rId273" Type="http://schemas.openxmlformats.org/officeDocument/2006/relationships/hyperlink" Target="https://tools.l2.dwh.sb-sys.info/userhelp/data/komoku" TargetMode="External"/><Relationship Id="rId329" Type="http://schemas.openxmlformats.org/officeDocument/2006/relationships/hyperlink" Target="https://tools.l2.dwh.sb-sys.info/userhelp/data/komoku" TargetMode="External"/><Relationship Id="rId480" Type="http://schemas.openxmlformats.org/officeDocument/2006/relationships/hyperlink" Target="https://tools.l2.dwh.sb-sys.info/userhelp/data/komoku" TargetMode="External"/><Relationship Id="rId68" Type="http://schemas.openxmlformats.org/officeDocument/2006/relationships/hyperlink" Target="https://tools.l2.dwh.sb-sys.info/userhelp/data/komoku" TargetMode="External"/><Relationship Id="rId133" Type="http://schemas.openxmlformats.org/officeDocument/2006/relationships/hyperlink" Target="https://tools.l2.dwh.sb-sys.info/userhelp/data/komoku" TargetMode="External"/><Relationship Id="rId175" Type="http://schemas.openxmlformats.org/officeDocument/2006/relationships/hyperlink" Target="https://tools.l2.dwh.sb-sys.info/userhelp/data/komoku" TargetMode="External"/><Relationship Id="rId340" Type="http://schemas.openxmlformats.org/officeDocument/2006/relationships/hyperlink" Target="https://tools.l2.dwh.sb-sys.info/userhelp/data/komoku" TargetMode="External"/><Relationship Id="rId200" Type="http://schemas.openxmlformats.org/officeDocument/2006/relationships/hyperlink" Target="https://tools.l2.dwh.sb-sys.info/userhelp/data/komoku" TargetMode="External"/><Relationship Id="rId382" Type="http://schemas.openxmlformats.org/officeDocument/2006/relationships/hyperlink" Target="https://tools.l2.dwh.sb-sys.info/userhelp/data/komoku" TargetMode="External"/><Relationship Id="rId438" Type="http://schemas.openxmlformats.org/officeDocument/2006/relationships/hyperlink" Target="https://tools.l2.dwh.sb-sys.info/userhelp/data/komoku" TargetMode="External"/><Relationship Id="rId242" Type="http://schemas.openxmlformats.org/officeDocument/2006/relationships/hyperlink" Target="https://tools.l2.dwh.sb-sys.info/userhelp/data/komoku" TargetMode="External"/><Relationship Id="rId284" Type="http://schemas.openxmlformats.org/officeDocument/2006/relationships/hyperlink" Target="https://tools.l2.dwh.sb-sys.info/userhelp/data/komoku" TargetMode="External"/><Relationship Id="rId491" Type="http://schemas.openxmlformats.org/officeDocument/2006/relationships/hyperlink" Target="https://tools.l2.dwh.sb-sys.info/userhelp/data/komoku" TargetMode="External"/><Relationship Id="rId505" Type="http://schemas.openxmlformats.org/officeDocument/2006/relationships/printerSettings" Target="../printerSettings/printerSettings2.bin"/><Relationship Id="rId37" Type="http://schemas.openxmlformats.org/officeDocument/2006/relationships/hyperlink" Target="https://tools.l2.dwh.sb-sys.info/userhelp/data/komoku" TargetMode="External"/><Relationship Id="rId79" Type="http://schemas.openxmlformats.org/officeDocument/2006/relationships/hyperlink" Target="https://tools.l2.dwh.sb-sys.info/userhelp/data/komoku" TargetMode="External"/><Relationship Id="rId102" Type="http://schemas.openxmlformats.org/officeDocument/2006/relationships/hyperlink" Target="https://tools.l2.dwh.sb-sys.info/userhelp/data/komoku" TargetMode="External"/><Relationship Id="rId144" Type="http://schemas.openxmlformats.org/officeDocument/2006/relationships/hyperlink" Target="https://tools.l2.dwh.sb-sys.info/userhelp/data/komoku" TargetMode="External"/><Relationship Id="rId90" Type="http://schemas.openxmlformats.org/officeDocument/2006/relationships/hyperlink" Target="https://tools.l2.dwh.sb-sys.info/userhelp/data/komoku" TargetMode="External"/><Relationship Id="rId186" Type="http://schemas.openxmlformats.org/officeDocument/2006/relationships/hyperlink" Target="https://tools.l2.dwh.sb-sys.info/userhelp/data/komoku" TargetMode="External"/><Relationship Id="rId351" Type="http://schemas.openxmlformats.org/officeDocument/2006/relationships/hyperlink" Target="https://tools.l2.dwh.sb-sys.info/userhelp/data/komoku" TargetMode="External"/><Relationship Id="rId393" Type="http://schemas.openxmlformats.org/officeDocument/2006/relationships/hyperlink" Target="https://tools.l2.dwh.sb-sys.info/userhelp/data/komoku" TargetMode="External"/><Relationship Id="rId407" Type="http://schemas.openxmlformats.org/officeDocument/2006/relationships/hyperlink" Target="https://tools.l2.dwh.sb-sys.info/userhelp/data/komoku" TargetMode="External"/><Relationship Id="rId449" Type="http://schemas.openxmlformats.org/officeDocument/2006/relationships/hyperlink" Target="https://tools.l2.dwh.sb-sys.info/userhelp/data/komoku" TargetMode="External"/><Relationship Id="rId211" Type="http://schemas.openxmlformats.org/officeDocument/2006/relationships/hyperlink" Target="https://tools.l2.dwh.sb-sys.info/userhelp/data/komoku" TargetMode="External"/><Relationship Id="rId253" Type="http://schemas.openxmlformats.org/officeDocument/2006/relationships/hyperlink" Target="https://tools.l2.dwh.sb-sys.info/userhelp/data/komoku" TargetMode="External"/><Relationship Id="rId295" Type="http://schemas.openxmlformats.org/officeDocument/2006/relationships/hyperlink" Target="https://tools.l2.dwh.sb-sys.info/userhelp/data/komoku" TargetMode="External"/><Relationship Id="rId309" Type="http://schemas.openxmlformats.org/officeDocument/2006/relationships/hyperlink" Target="https://tools.l2.dwh.sb-sys.info/userhelp/data/komoku" TargetMode="External"/><Relationship Id="rId460" Type="http://schemas.openxmlformats.org/officeDocument/2006/relationships/hyperlink" Target="https://tools.l2.dwh.sb-sys.info/userhelp/data/komoku" TargetMode="External"/><Relationship Id="rId48" Type="http://schemas.openxmlformats.org/officeDocument/2006/relationships/hyperlink" Target="https://tools.l2.dwh.sb-sys.info/userhelp/data/komoku" TargetMode="External"/><Relationship Id="rId113" Type="http://schemas.openxmlformats.org/officeDocument/2006/relationships/hyperlink" Target="https://tools.l2.dwh.sb-sys.info/userhelp/data/komoku" TargetMode="External"/><Relationship Id="rId320" Type="http://schemas.openxmlformats.org/officeDocument/2006/relationships/hyperlink" Target="https://tools.l2.dwh.sb-sys.info/userhelp/data/komoku" TargetMode="External"/><Relationship Id="rId155" Type="http://schemas.openxmlformats.org/officeDocument/2006/relationships/hyperlink" Target="https://tools.l2.dwh.sb-sys.info/userhelp/data/komoku" TargetMode="External"/><Relationship Id="rId197" Type="http://schemas.openxmlformats.org/officeDocument/2006/relationships/hyperlink" Target="https://tools.l2.dwh.sb-sys.info/userhelp/data/komoku" TargetMode="External"/><Relationship Id="rId362" Type="http://schemas.openxmlformats.org/officeDocument/2006/relationships/hyperlink" Target="https://tools.l2.dwh.sb-sys.info/userhelp/data/komoku" TargetMode="External"/><Relationship Id="rId418" Type="http://schemas.openxmlformats.org/officeDocument/2006/relationships/hyperlink" Target="https://tools.l2.dwh.sb-sys.info/userhelp/data/komoku" TargetMode="External"/><Relationship Id="rId222" Type="http://schemas.openxmlformats.org/officeDocument/2006/relationships/hyperlink" Target="https://tools.l2.dwh.sb-sys.info/userhelp/data/komoku" TargetMode="External"/><Relationship Id="rId264" Type="http://schemas.openxmlformats.org/officeDocument/2006/relationships/hyperlink" Target="https://tools.l2.dwh.sb-sys.info/userhelp/data/komoku" TargetMode="External"/><Relationship Id="rId471" Type="http://schemas.openxmlformats.org/officeDocument/2006/relationships/hyperlink" Target="https://tools.l2.dwh.sb-sys.info/userhelp/data/komoku" TargetMode="External"/><Relationship Id="rId17" Type="http://schemas.openxmlformats.org/officeDocument/2006/relationships/hyperlink" Target="https://tools.l2.dwh.sb-sys.info/userhelp/data/komoku" TargetMode="External"/><Relationship Id="rId59" Type="http://schemas.openxmlformats.org/officeDocument/2006/relationships/hyperlink" Target="https://tools.l2.dwh.sb-sys.info/userhelp/data/komoku" TargetMode="External"/><Relationship Id="rId124" Type="http://schemas.openxmlformats.org/officeDocument/2006/relationships/hyperlink" Target="https://tools.l2.dwh.sb-sys.info/userhelp/data/komoku" TargetMode="External"/><Relationship Id="rId70" Type="http://schemas.openxmlformats.org/officeDocument/2006/relationships/hyperlink" Target="https://tools.l2.dwh.sb-sys.info/userhelp/data/komoku" TargetMode="External"/><Relationship Id="rId166" Type="http://schemas.openxmlformats.org/officeDocument/2006/relationships/hyperlink" Target="https://tools.l2.dwh.sb-sys.info/userhelp/data/komoku" TargetMode="External"/><Relationship Id="rId331" Type="http://schemas.openxmlformats.org/officeDocument/2006/relationships/hyperlink" Target="https://tools.l2.dwh.sb-sys.info/userhelp/data/komoku" TargetMode="External"/><Relationship Id="rId373" Type="http://schemas.openxmlformats.org/officeDocument/2006/relationships/hyperlink" Target="https://tools.l2.dwh.sb-sys.info/userhelp/data/komoku" TargetMode="External"/><Relationship Id="rId429" Type="http://schemas.openxmlformats.org/officeDocument/2006/relationships/hyperlink" Target="https://tools.l2.dwh.sb-sys.info/userhelp/data/komoku" TargetMode="External"/><Relationship Id="rId1" Type="http://schemas.openxmlformats.org/officeDocument/2006/relationships/hyperlink" Target="https://tools.l2.dwh.sb-sys.info/userhelp/data/komoku" TargetMode="External"/><Relationship Id="rId233" Type="http://schemas.openxmlformats.org/officeDocument/2006/relationships/hyperlink" Target="https://tools.l2.dwh.sb-sys.info/userhelp/data/komoku" TargetMode="External"/><Relationship Id="rId440" Type="http://schemas.openxmlformats.org/officeDocument/2006/relationships/hyperlink" Target="https://tools.l2.dwh.sb-sys.info/userhelp/data/komoku" TargetMode="External"/><Relationship Id="rId28" Type="http://schemas.openxmlformats.org/officeDocument/2006/relationships/hyperlink" Target="https://tools.l2.dwh.sb-sys.info/userhelp/data/komoku" TargetMode="External"/><Relationship Id="rId275" Type="http://schemas.openxmlformats.org/officeDocument/2006/relationships/hyperlink" Target="https://tools.l2.dwh.sb-sys.info/userhelp/data/komoku" TargetMode="External"/><Relationship Id="rId300" Type="http://schemas.openxmlformats.org/officeDocument/2006/relationships/hyperlink" Target="https://tools.l2.dwh.sb-sys.info/userhelp/data/komoku" TargetMode="External"/><Relationship Id="rId482" Type="http://schemas.openxmlformats.org/officeDocument/2006/relationships/hyperlink" Target="https://tools.l2.dwh.sb-sys.info/userhelp/data/komoku" TargetMode="External"/><Relationship Id="rId81" Type="http://schemas.openxmlformats.org/officeDocument/2006/relationships/hyperlink" Target="https://tools.l2.dwh.sb-sys.info/userhelp/data/komoku" TargetMode="External"/><Relationship Id="rId135" Type="http://schemas.openxmlformats.org/officeDocument/2006/relationships/hyperlink" Target="https://tools.l2.dwh.sb-sys.info/userhelp/data/komoku" TargetMode="External"/><Relationship Id="rId177" Type="http://schemas.openxmlformats.org/officeDocument/2006/relationships/hyperlink" Target="https://tools.l2.dwh.sb-sys.info/userhelp/data/komoku" TargetMode="External"/><Relationship Id="rId342" Type="http://schemas.openxmlformats.org/officeDocument/2006/relationships/hyperlink" Target="https://tools.l2.dwh.sb-sys.info/userhelp/data/komoku" TargetMode="External"/><Relationship Id="rId384" Type="http://schemas.openxmlformats.org/officeDocument/2006/relationships/hyperlink" Target="https://tools.l2.dwh.sb-sys.info/userhelp/data/komoku" TargetMode="External"/><Relationship Id="rId202" Type="http://schemas.openxmlformats.org/officeDocument/2006/relationships/hyperlink" Target="https://tools.l2.dwh.sb-sys.info/userhelp/data/komoku" TargetMode="External"/><Relationship Id="rId244" Type="http://schemas.openxmlformats.org/officeDocument/2006/relationships/hyperlink" Target="https://tools.l2.dwh.sb-sys.info/userhelp/data/komoku" TargetMode="External"/><Relationship Id="rId39" Type="http://schemas.openxmlformats.org/officeDocument/2006/relationships/hyperlink" Target="https://tools.l2.dwh.sb-sys.info/userhelp/data/komoku" TargetMode="External"/><Relationship Id="rId286" Type="http://schemas.openxmlformats.org/officeDocument/2006/relationships/hyperlink" Target="https://tools.l2.dwh.sb-sys.info/userhelp/data/komoku" TargetMode="External"/><Relationship Id="rId451" Type="http://schemas.openxmlformats.org/officeDocument/2006/relationships/hyperlink" Target="https://tools.l2.dwh.sb-sys.info/userhelp/data/komoku" TargetMode="External"/><Relationship Id="rId493" Type="http://schemas.openxmlformats.org/officeDocument/2006/relationships/hyperlink" Target="https://tools.l2.dwh.sb-sys.info/userhelp/data/komoku" TargetMode="External"/><Relationship Id="rId50" Type="http://schemas.openxmlformats.org/officeDocument/2006/relationships/hyperlink" Target="https://tools.l2.dwh.sb-sys.info/userhelp/data/komoku" TargetMode="External"/><Relationship Id="rId104" Type="http://schemas.openxmlformats.org/officeDocument/2006/relationships/hyperlink" Target="https://tools.l2.dwh.sb-sys.info/userhelp/data/komoku" TargetMode="External"/><Relationship Id="rId146" Type="http://schemas.openxmlformats.org/officeDocument/2006/relationships/hyperlink" Target="https://tools.l2.dwh.sb-sys.info/userhelp/data/komoku" TargetMode="External"/><Relationship Id="rId188" Type="http://schemas.openxmlformats.org/officeDocument/2006/relationships/hyperlink" Target="https://tools.l2.dwh.sb-sys.info/userhelp/data/komoku" TargetMode="External"/><Relationship Id="rId311" Type="http://schemas.openxmlformats.org/officeDocument/2006/relationships/hyperlink" Target="https://tools.l2.dwh.sb-sys.info/userhelp/data/komoku" TargetMode="External"/><Relationship Id="rId353" Type="http://schemas.openxmlformats.org/officeDocument/2006/relationships/hyperlink" Target="https://tools.l2.dwh.sb-sys.info/userhelp/data/komoku" TargetMode="External"/><Relationship Id="rId395" Type="http://schemas.openxmlformats.org/officeDocument/2006/relationships/hyperlink" Target="https://tools.l2.dwh.sb-sys.info/userhelp/data/komoku" TargetMode="External"/><Relationship Id="rId409" Type="http://schemas.openxmlformats.org/officeDocument/2006/relationships/hyperlink" Target="https://tools.l2.dwh.sb-sys.info/userhelp/data/komoku" TargetMode="External"/><Relationship Id="rId92" Type="http://schemas.openxmlformats.org/officeDocument/2006/relationships/hyperlink" Target="https://tools.l2.dwh.sb-sys.info/userhelp/data/komoku" TargetMode="External"/><Relationship Id="rId213" Type="http://schemas.openxmlformats.org/officeDocument/2006/relationships/hyperlink" Target="https://tools.l2.dwh.sb-sys.info/userhelp/data/komoku" TargetMode="External"/><Relationship Id="rId420" Type="http://schemas.openxmlformats.org/officeDocument/2006/relationships/hyperlink" Target="https://tools.l2.dwh.sb-sys.info/userhelp/data/komoku" TargetMode="External"/><Relationship Id="rId255" Type="http://schemas.openxmlformats.org/officeDocument/2006/relationships/hyperlink" Target="https://tools.l2.dwh.sb-sys.info/userhelp/data/komoku" TargetMode="External"/><Relationship Id="rId297" Type="http://schemas.openxmlformats.org/officeDocument/2006/relationships/hyperlink" Target="https://tools.l2.dwh.sb-sys.info/userhelp/data/komoku" TargetMode="External"/><Relationship Id="rId462" Type="http://schemas.openxmlformats.org/officeDocument/2006/relationships/hyperlink" Target="https://tools.l2.dwh.sb-sys.info/userhelp/data/komoku" TargetMode="External"/><Relationship Id="rId115" Type="http://schemas.openxmlformats.org/officeDocument/2006/relationships/hyperlink" Target="https://tools.l2.dwh.sb-sys.info/userhelp/data/komoku" TargetMode="External"/><Relationship Id="rId157" Type="http://schemas.openxmlformats.org/officeDocument/2006/relationships/hyperlink" Target="https://tools.l2.dwh.sb-sys.info/userhelp/data/komoku" TargetMode="External"/><Relationship Id="rId322" Type="http://schemas.openxmlformats.org/officeDocument/2006/relationships/hyperlink" Target="https://tools.l2.dwh.sb-sys.info/userhelp/data/komoku" TargetMode="External"/><Relationship Id="rId364" Type="http://schemas.openxmlformats.org/officeDocument/2006/relationships/hyperlink" Target="https://tools.l2.dwh.sb-sys.info/userhelp/data/komoku" TargetMode="External"/><Relationship Id="rId61" Type="http://schemas.openxmlformats.org/officeDocument/2006/relationships/hyperlink" Target="https://tools.l2.dwh.sb-sys.info/userhelp/data/komoku" TargetMode="External"/><Relationship Id="rId199" Type="http://schemas.openxmlformats.org/officeDocument/2006/relationships/hyperlink" Target="https://tools.l2.dwh.sb-sys.info/userhelp/data/komoku" TargetMode="External"/><Relationship Id="rId19" Type="http://schemas.openxmlformats.org/officeDocument/2006/relationships/hyperlink" Target="https://tools.l2.dwh.sb-sys.info/userhelp/data/komoku" TargetMode="External"/><Relationship Id="rId224" Type="http://schemas.openxmlformats.org/officeDocument/2006/relationships/hyperlink" Target="https://tools.l2.dwh.sb-sys.info/userhelp/data/komoku" TargetMode="External"/><Relationship Id="rId266" Type="http://schemas.openxmlformats.org/officeDocument/2006/relationships/hyperlink" Target="https://tools.l2.dwh.sb-sys.info/userhelp/data/komoku" TargetMode="External"/><Relationship Id="rId431" Type="http://schemas.openxmlformats.org/officeDocument/2006/relationships/hyperlink" Target="https://tools.l2.dwh.sb-sys.info/userhelp/data/komoku" TargetMode="External"/><Relationship Id="rId473" Type="http://schemas.openxmlformats.org/officeDocument/2006/relationships/hyperlink" Target="https://tools.l2.dwh.sb-sys.info/userhelp/data/komoku" TargetMode="External"/><Relationship Id="rId30" Type="http://schemas.openxmlformats.org/officeDocument/2006/relationships/hyperlink" Target="https://tools.l2.dwh.sb-sys.info/userhelp/data/komoku" TargetMode="External"/><Relationship Id="rId126" Type="http://schemas.openxmlformats.org/officeDocument/2006/relationships/hyperlink" Target="https://tools.l2.dwh.sb-sys.info/userhelp/data/komoku" TargetMode="External"/><Relationship Id="rId168" Type="http://schemas.openxmlformats.org/officeDocument/2006/relationships/hyperlink" Target="https://tools.l2.dwh.sb-sys.info/userhelp/data/komoku" TargetMode="External"/><Relationship Id="rId333" Type="http://schemas.openxmlformats.org/officeDocument/2006/relationships/hyperlink" Target="https://tools.l2.dwh.sb-sys.info/userhelp/data/komoku" TargetMode="External"/><Relationship Id="rId72" Type="http://schemas.openxmlformats.org/officeDocument/2006/relationships/hyperlink" Target="https://tools.l2.dwh.sb-sys.info/userhelp/data/komoku" TargetMode="External"/><Relationship Id="rId375" Type="http://schemas.openxmlformats.org/officeDocument/2006/relationships/hyperlink" Target="https://tools.l2.dwh.sb-sys.info/userhelp/data/komoku" TargetMode="External"/><Relationship Id="rId3" Type="http://schemas.openxmlformats.org/officeDocument/2006/relationships/hyperlink" Target="https://tools.l2.dwh.sb-sys.info/userhelp/data/komoku" TargetMode="External"/><Relationship Id="rId235" Type="http://schemas.openxmlformats.org/officeDocument/2006/relationships/hyperlink" Target="https://tools.l2.dwh.sb-sys.info/userhelp/data/komoku" TargetMode="External"/><Relationship Id="rId277" Type="http://schemas.openxmlformats.org/officeDocument/2006/relationships/hyperlink" Target="https://tools.l2.dwh.sb-sys.info/userhelp/data/komoku" TargetMode="External"/><Relationship Id="rId400" Type="http://schemas.openxmlformats.org/officeDocument/2006/relationships/hyperlink" Target="https://tools.l2.dwh.sb-sys.info/userhelp/data/komoku" TargetMode="External"/><Relationship Id="rId442" Type="http://schemas.openxmlformats.org/officeDocument/2006/relationships/hyperlink" Target="https://tools.l2.dwh.sb-sys.info/userhelp/data/komoku" TargetMode="External"/><Relationship Id="rId484" Type="http://schemas.openxmlformats.org/officeDocument/2006/relationships/hyperlink" Target="https://tools.l2.dwh.sb-sys.info/userhelp/data/komoku" TargetMode="External"/><Relationship Id="rId137" Type="http://schemas.openxmlformats.org/officeDocument/2006/relationships/hyperlink" Target="https://tools.l2.dwh.sb-sys.info/userhelp/data/komoku" TargetMode="External"/><Relationship Id="rId302" Type="http://schemas.openxmlformats.org/officeDocument/2006/relationships/hyperlink" Target="https://tools.l2.dwh.sb-sys.info/userhelp/data/komoku" TargetMode="External"/><Relationship Id="rId344" Type="http://schemas.openxmlformats.org/officeDocument/2006/relationships/hyperlink" Target="https://tools.l2.dwh.sb-sys.info/userhelp/data/komoku" TargetMode="External"/><Relationship Id="rId41" Type="http://schemas.openxmlformats.org/officeDocument/2006/relationships/hyperlink" Target="https://tools.l2.dwh.sb-sys.info/userhelp/data/komoku" TargetMode="External"/><Relationship Id="rId83" Type="http://schemas.openxmlformats.org/officeDocument/2006/relationships/hyperlink" Target="https://tools.l2.dwh.sb-sys.info/userhelp/data/komoku" TargetMode="External"/><Relationship Id="rId179" Type="http://schemas.openxmlformats.org/officeDocument/2006/relationships/hyperlink" Target="https://tools.l2.dwh.sb-sys.info/userhelp/data/komoku" TargetMode="External"/><Relationship Id="rId386" Type="http://schemas.openxmlformats.org/officeDocument/2006/relationships/hyperlink" Target="https://tools.l2.dwh.sb-sys.info/userhelp/data/komoku" TargetMode="External"/><Relationship Id="rId190" Type="http://schemas.openxmlformats.org/officeDocument/2006/relationships/hyperlink" Target="https://tools.l2.dwh.sb-sys.info/userhelp/data/komoku" TargetMode="External"/><Relationship Id="rId204" Type="http://schemas.openxmlformats.org/officeDocument/2006/relationships/hyperlink" Target="https://tools.l2.dwh.sb-sys.info/userhelp/data/komoku" TargetMode="External"/><Relationship Id="rId246" Type="http://schemas.openxmlformats.org/officeDocument/2006/relationships/hyperlink" Target="https://tools.l2.dwh.sb-sys.info/userhelp/data/komoku" TargetMode="External"/><Relationship Id="rId288" Type="http://schemas.openxmlformats.org/officeDocument/2006/relationships/hyperlink" Target="https://tools.l2.dwh.sb-sys.info/userhelp/data/komoku" TargetMode="External"/><Relationship Id="rId411" Type="http://schemas.openxmlformats.org/officeDocument/2006/relationships/hyperlink" Target="https://tools.l2.dwh.sb-sys.info/userhelp/data/komoku" TargetMode="External"/><Relationship Id="rId453" Type="http://schemas.openxmlformats.org/officeDocument/2006/relationships/hyperlink" Target="https://tools.l2.dwh.sb-sys.info/userhelp/data/komoku" TargetMode="External"/><Relationship Id="rId106" Type="http://schemas.openxmlformats.org/officeDocument/2006/relationships/hyperlink" Target="https://tools.l2.dwh.sb-sys.info/userhelp/data/komoku" TargetMode="External"/><Relationship Id="rId313" Type="http://schemas.openxmlformats.org/officeDocument/2006/relationships/hyperlink" Target="https://tools.l2.dwh.sb-sys.info/userhelp/data/komoku" TargetMode="External"/><Relationship Id="rId495" Type="http://schemas.openxmlformats.org/officeDocument/2006/relationships/hyperlink" Target="https://tools.l2.dwh.sb-sys.info/userhelp/data/komoku" TargetMode="External"/><Relationship Id="rId10" Type="http://schemas.openxmlformats.org/officeDocument/2006/relationships/hyperlink" Target="https://tools.l2.dwh.sb-sys.info/userhelp/data/komoku" TargetMode="External"/><Relationship Id="rId52" Type="http://schemas.openxmlformats.org/officeDocument/2006/relationships/hyperlink" Target="https://tools.l2.dwh.sb-sys.info/userhelp/data/komoku" TargetMode="External"/><Relationship Id="rId94" Type="http://schemas.openxmlformats.org/officeDocument/2006/relationships/hyperlink" Target="https://tools.l2.dwh.sb-sys.info/userhelp/data/komoku" TargetMode="External"/><Relationship Id="rId148" Type="http://schemas.openxmlformats.org/officeDocument/2006/relationships/hyperlink" Target="https://tools.l2.dwh.sb-sys.info/userhelp/data/komoku" TargetMode="External"/><Relationship Id="rId355" Type="http://schemas.openxmlformats.org/officeDocument/2006/relationships/hyperlink" Target="https://tools.l2.dwh.sb-sys.info/userhelp/data/komoku" TargetMode="External"/><Relationship Id="rId397" Type="http://schemas.openxmlformats.org/officeDocument/2006/relationships/hyperlink" Target="https://tools.l2.dwh.sb-sys.info/userhelp/data/komoku"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tools.l2.dwh.sb-sys.info/userhelp/data/komoku" TargetMode="External"/><Relationship Id="rId21" Type="http://schemas.openxmlformats.org/officeDocument/2006/relationships/hyperlink" Target="https://tools.l2.dwh.sb-sys.info/userhelp/data/komoku" TargetMode="External"/><Relationship Id="rId42" Type="http://schemas.openxmlformats.org/officeDocument/2006/relationships/hyperlink" Target="https://tools.l2.dwh.sb-sys.info/userhelp/data/komoku" TargetMode="External"/><Relationship Id="rId63" Type="http://schemas.openxmlformats.org/officeDocument/2006/relationships/hyperlink" Target="https://tools.l2.dwh.sb-sys.info/userhelp/data/komoku" TargetMode="External"/><Relationship Id="rId84" Type="http://schemas.openxmlformats.org/officeDocument/2006/relationships/hyperlink" Target="https://tools.l2.dwh.sb-sys.info/userhelp/data/komoku" TargetMode="External"/><Relationship Id="rId138" Type="http://schemas.openxmlformats.org/officeDocument/2006/relationships/hyperlink" Target="https://tools.l2.dwh.sb-sys.info/userhelp/data/komoku" TargetMode="External"/><Relationship Id="rId159" Type="http://schemas.openxmlformats.org/officeDocument/2006/relationships/hyperlink" Target="https://tools.l2.dwh.sb-sys.info/userhelp/data/komoku" TargetMode="External"/><Relationship Id="rId170" Type="http://schemas.openxmlformats.org/officeDocument/2006/relationships/hyperlink" Target="https://tools.l2.dwh.sb-sys.info/userhelp/data/komoku" TargetMode="External"/><Relationship Id="rId191" Type="http://schemas.openxmlformats.org/officeDocument/2006/relationships/hyperlink" Target="https://tools.l2.dwh.sb-sys.info/userhelp/data/komoku" TargetMode="External"/><Relationship Id="rId205" Type="http://schemas.openxmlformats.org/officeDocument/2006/relationships/hyperlink" Target="https://tools.l2.dwh.sb-sys.info/userhelp/data/komoku" TargetMode="External"/><Relationship Id="rId107" Type="http://schemas.openxmlformats.org/officeDocument/2006/relationships/hyperlink" Target="https://tools.l2.dwh.sb-sys.info/userhelp/data/komoku" TargetMode="External"/><Relationship Id="rId11" Type="http://schemas.openxmlformats.org/officeDocument/2006/relationships/hyperlink" Target="https://tools.l2.dwh.sb-sys.info/userhelp/data/komoku" TargetMode="External"/><Relationship Id="rId32" Type="http://schemas.openxmlformats.org/officeDocument/2006/relationships/hyperlink" Target="https://tools.l2.dwh.sb-sys.info/userhelp/data/komoku" TargetMode="External"/><Relationship Id="rId53" Type="http://schemas.openxmlformats.org/officeDocument/2006/relationships/hyperlink" Target="https://tools.l2.dwh.sb-sys.info/userhelp/data/komoku" TargetMode="External"/><Relationship Id="rId74" Type="http://schemas.openxmlformats.org/officeDocument/2006/relationships/hyperlink" Target="https://tools.l2.dwh.sb-sys.info/userhelp/data/komoku" TargetMode="External"/><Relationship Id="rId128" Type="http://schemas.openxmlformats.org/officeDocument/2006/relationships/hyperlink" Target="https://tools.l2.dwh.sb-sys.info/userhelp/data/komoku" TargetMode="External"/><Relationship Id="rId149" Type="http://schemas.openxmlformats.org/officeDocument/2006/relationships/hyperlink" Target="https://tools.l2.dwh.sb-sys.info/userhelp/data/komoku" TargetMode="External"/><Relationship Id="rId5" Type="http://schemas.openxmlformats.org/officeDocument/2006/relationships/hyperlink" Target="https://tools.l2.dwh.sb-sys.info/userhelp/data/komoku" TargetMode="External"/><Relationship Id="rId95" Type="http://schemas.openxmlformats.org/officeDocument/2006/relationships/hyperlink" Target="https://tools.l2.dwh.sb-sys.info/userhelp/data/komoku" TargetMode="External"/><Relationship Id="rId160" Type="http://schemas.openxmlformats.org/officeDocument/2006/relationships/hyperlink" Target="https://tools.l2.dwh.sb-sys.info/userhelp/data/komoku" TargetMode="External"/><Relationship Id="rId181" Type="http://schemas.openxmlformats.org/officeDocument/2006/relationships/hyperlink" Target="https://tools.l2.dwh.sb-sys.info/userhelp/data/komoku" TargetMode="External"/><Relationship Id="rId216" Type="http://schemas.openxmlformats.org/officeDocument/2006/relationships/hyperlink" Target="https://tools.l2.dwh.sb-sys.info/userhelp/data/komoku" TargetMode="External"/><Relationship Id="rId22" Type="http://schemas.openxmlformats.org/officeDocument/2006/relationships/hyperlink" Target="https://tools.l2.dwh.sb-sys.info/userhelp/data/komoku" TargetMode="External"/><Relationship Id="rId43" Type="http://schemas.openxmlformats.org/officeDocument/2006/relationships/hyperlink" Target="https://tools.l2.dwh.sb-sys.info/userhelp/data/komoku" TargetMode="External"/><Relationship Id="rId64" Type="http://schemas.openxmlformats.org/officeDocument/2006/relationships/hyperlink" Target="https://tools.l2.dwh.sb-sys.info/userhelp/data/komoku" TargetMode="External"/><Relationship Id="rId118" Type="http://schemas.openxmlformats.org/officeDocument/2006/relationships/hyperlink" Target="https://tools.l2.dwh.sb-sys.info/userhelp/data/komoku" TargetMode="External"/><Relationship Id="rId139" Type="http://schemas.openxmlformats.org/officeDocument/2006/relationships/hyperlink" Target="https://tools.l2.dwh.sb-sys.info/userhelp/data/komoku" TargetMode="External"/><Relationship Id="rId85" Type="http://schemas.openxmlformats.org/officeDocument/2006/relationships/hyperlink" Target="https://tools.l2.dwh.sb-sys.info/userhelp/data/komoku" TargetMode="External"/><Relationship Id="rId150" Type="http://schemas.openxmlformats.org/officeDocument/2006/relationships/hyperlink" Target="https://tools.l2.dwh.sb-sys.info/userhelp/data/komoku" TargetMode="External"/><Relationship Id="rId171" Type="http://schemas.openxmlformats.org/officeDocument/2006/relationships/hyperlink" Target="https://tools.l2.dwh.sb-sys.info/userhelp/data/komoku" TargetMode="External"/><Relationship Id="rId192" Type="http://schemas.openxmlformats.org/officeDocument/2006/relationships/hyperlink" Target="https://tools.l2.dwh.sb-sys.info/userhelp/data/komoku" TargetMode="External"/><Relationship Id="rId206" Type="http://schemas.openxmlformats.org/officeDocument/2006/relationships/hyperlink" Target="https://tools.l2.dwh.sb-sys.info/userhelp/data/komoku" TargetMode="External"/><Relationship Id="rId12" Type="http://schemas.openxmlformats.org/officeDocument/2006/relationships/hyperlink" Target="https://tools.l2.dwh.sb-sys.info/userhelp/data/komoku" TargetMode="External"/><Relationship Id="rId33" Type="http://schemas.openxmlformats.org/officeDocument/2006/relationships/hyperlink" Target="https://tools.l2.dwh.sb-sys.info/userhelp/data/komoku" TargetMode="External"/><Relationship Id="rId108" Type="http://schemas.openxmlformats.org/officeDocument/2006/relationships/hyperlink" Target="https://tools.l2.dwh.sb-sys.info/userhelp/data/komoku" TargetMode="External"/><Relationship Id="rId129" Type="http://schemas.openxmlformats.org/officeDocument/2006/relationships/hyperlink" Target="https://tools.l2.dwh.sb-sys.info/userhelp/data/komoku" TargetMode="External"/><Relationship Id="rId54" Type="http://schemas.openxmlformats.org/officeDocument/2006/relationships/hyperlink" Target="https://tools.l2.dwh.sb-sys.info/userhelp/data/komoku" TargetMode="External"/><Relationship Id="rId75" Type="http://schemas.openxmlformats.org/officeDocument/2006/relationships/hyperlink" Target="https://tools.l2.dwh.sb-sys.info/userhelp/data/komoku" TargetMode="External"/><Relationship Id="rId96" Type="http://schemas.openxmlformats.org/officeDocument/2006/relationships/hyperlink" Target="https://tools.l2.dwh.sb-sys.info/userhelp/data/komoku" TargetMode="External"/><Relationship Id="rId140" Type="http://schemas.openxmlformats.org/officeDocument/2006/relationships/hyperlink" Target="https://tools.l2.dwh.sb-sys.info/userhelp/data/komoku" TargetMode="External"/><Relationship Id="rId161" Type="http://schemas.openxmlformats.org/officeDocument/2006/relationships/hyperlink" Target="https://tools.l2.dwh.sb-sys.info/userhelp/data/komoku" TargetMode="External"/><Relationship Id="rId182" Type="http://schemas.openxmlformats.org/officeDocument/2006/relationships/hyperlink" Target="https://tools.l2.dwh.sb-sys.info/userhelp/data/komoku" TargetMode="External"/><Relationship Id="rId217" Type="http://schemas.openxmlformats.org/officeDocument/2006/relationships/printerSettings" Target="../printerSettings/printerSettings3.bin"/><Relationship Id="rId6" Type="http://schemas.openxmlformats.org/officeDocument/2006/relationships/hyperlink" Target="https://tools.l2.dwh.sb-sys.info/userhelp/data/komoku" TargetMode="External"/><Relationship Id="rId23" Type="http://schemas.openxmlformats.org/officeDocument/2006/relationships/hyperlink" Target="https://tools.l2.dwh.sb-sys.info/userhelp/data/komoku" TargetMode="External"/><Relationship Id="rId119" Type="http://schemas.openxmlformats.org/officeDocument/2006/relationships/hyperlink" Target="https://tools.l2.dwh.sb-sys.info/userhelp/data/komoku" TargetMode="External"/><Relationship Id="rId44" Type="http://schemas.openxmlformats.org/officeDocument/2006/relationships/hyperlink" Target="https://tools.l2.dwh.sb-sys.info/userhelp/data/komoku" TargetMode="External"/><Relationship Id="rId65" Type="http://schemas.openxmlformats.org/officeDocument/2006/relationships/hyperlink" Target="https://tools.l2.dwh.sb-sys.info/userhelp/data/komoku" TargetMode="External"/><Relationship Id="rId86" Type="http://schemas.openxmlformats.org/officeDocument/2006/relationships/hyperlink" Target="https://tools.l2.dwh.sb-sys.info/userhelp/data/komoku" TargetMode="External"/><Relationship Id="rId130" Type="http://schemas.openxmlformats.org/officeDocument/2006/relationships/hyperlink" Target="https://tools.l2.dwh.sb-sys.info/userhelp/data/komoku" TargetMode="External"/><Relationship Id="rId151" Type="http://schemas.openxmlformats.org/officeDocument/2006/relationships/hyperlink" Target="https://tools.l2.dwh.sb-sys.info/userhelp/data/komoku" TargetMode="External"/><Relationship Id="rId172" Type="http://schemas.openxmlformats.org/officeDocument/2006/relationships/hyperlink" Target="https://tools.l2.dwh.sb-sys.info/userhelp/data/komoku" TargetMode="External"/><Relationship Id="rId193" Type="http://schemas.openxmlformats.org/officeDocument/2006/relationships/hyperlink" Target="https://tools.l2.dwh.sb-sys.info/userhelp/data/komoku" TargetMode="External"/><Relationship Id="rId207" Type="http://schemas.openxmlformats.org/officeDocument/2006/relationships/hyperlink" Target="https://tools.l2.dwh.sb-sys.info/userhelp/data/komoku" TargetMode="External"/><Relationship Id="rId13" Type="http://schemas.openxmlformats.org/officeDocument/2006/relationships/hyperlink" Target="https://tools.l2.dwh.sb-sys.info/userhelp/data/komoku" TargetMode="External"/><Relationship Id="rId109" Type="http://schemas.openxmlformats.org/officeDocument/2006/relationships/hyperlink" Target="https://tools.l2.dwh.sb-sys.info/userhelp/data/komoku" TargetMode="External"/><Relationship Id="rId34" Type="http://schemas.openxmlformats.org/officeDocument/2006/relationships/hyperlink" Target="https://tools.l2.dwh.sb-sys.info/userhelp/data/komoku" TargetMode="External"/><Relationship Id="rId55" Type="http://schemas.openxmlformats.org/officeDocument/2006/relationships/hyperlink" Target="https://tools.l2.dwh.sb-sys.info/userhelp/data/komoku" TargetMode="External"/><Relationship Id="rId76" Type="http://schemas.openxmlformats.org/officeDocument/2006/relationships/hyperlink" Target="https://tools.l2.dwh.sb-sys.info/userhelp/data/komoku" TargetMode="External"/><Relationship Id="rId97" Type="http://schemas.openxmlformats.org/officeDocument/2006/relationships/hyperlink" Target="https://tools.l2.dwh.sb-sys.info/userhelp/data/komoku" TargetMode="External"/><Relationship Id="rId120" Type="http://schemas.openxmlformats.org/officeDocument/2006/relationships/hyperlink" Target="https://tools.l2.dwh.sb-sys.info/userhelp/data/komoku" TargetMode="External"/><Relationship Id="rId141" Type="http://schemas.openxmlformats.org/officeDocument/2006/relationships/hyperlink" Target="https://tools.l2.dwh.sb-sys.info/userhelp/data/komoku" TargetMode="External"/><Relationship Id="rId7" Type="http://schemas.openxmlformats.org/officeDocument/2006/relationships/hyperlink" Target="https://tools.l2.dwh.sb-sys.info/userhelp/data/komoku" TargetMode="External"/><Relationship Id="rId162" Type="http://schemas.openxmlformats.org/officeDocument/2006/relationships/hyperlink" Target="https://tools.l2.dwh.sb-sys.info/userhelp/data/komoku" TargetMode="External"/><Relationship Id="rId183" Type="http://schemas.openxmlformats.org/officeDocument/2006/relationships/hyperlink" Target="https://tools.l2.dwh.sb-sys.info/userhelp/data/komoku" TargetMode="External"/><Relationship Id="rId24" Type="http://schemas.openxmlformats.org/officeDocument/2006/relationships/hyperlink" Target="https://tools.l2.dwh.sb-sys.info/userhelp/data/komoku" TargetMode="External"/><Relationship Id="rId45" Type="http://schemas.openxmlformats.org/officeDocument/2006/relationships/hyperlink" Target="https://tools.l2.dwh.sb-sys.info/userhelp/data/komoku" TargetMode="External"/><Relationship Id="rId66" Type="http://schemas.openxmlformats.org/officeDocument/2006/relationships/hyperlink" Target="https://tools.l2.dwh.sb-sys.info/userhelp/data/komoku" TargetMode="External"/><Relationship Id="rId87" Type="http://schemas.openxmlformats.org/officeDocument/2006/relationships/hyperlink" Target="https://tools.l2.dwh.sb-sys.info/userhelp/data/komoku" TargetMode="External"/><Relationship Id="rId110" Type="http://schemas.openxmlformats.org/officeDocument/2006/relationships/hyperlink" Target="https://tools.l2.dwh.sb-sys.info/userhelp/data/komoku" TargetMode="External"/><Relationship Id="rId131" Type="http://schemas.openxmlformats.org/officeDocument/2006/relationships/hyperlink" Target="https://tools.l2.dwh.sb-sys.info/userhelp/data/komoku" TargetMode="External"/><Relationship Id="rId152" Type="http://schemas.openxmlformats.org/officeDocument/2006/relationships/hyperlink" Target="https://tools.l2.dwh.sb-sys.info/userhelp/data/komoku" TargetMode="External"/><Relationship Id="rId173" Type="http://schemas.openxmlformats.org/officeDocument/2006/relationships/hyperlink" Target="https://tools.l2.dwh.sb-sys.info/userhelp/data/komoku" TargetMode="External"/><Relationship Id="rId194" Type="http://schemas.openxmlformats.org/officeDocument/2006/relationships/hyperlink" Target="https://tools.l2.dwh.sb-sys.info/userhelp/data/komoku" TargetMode="External"/><Relationship Id="rId208" Type="http://schemas.openxmlformats.org/officeDocument/2006/relationships/hyperlink" Target="https://tools.l2.dwh.sb-sys.info/userhelp/data/komoku" TargetMode="External"/><Relationship Id="rId14" Type="http://schemas.openxmlformats.org/officeDocument/2006/relationships/hyperlink" Target="https://tools.l2.dwh.sb-sys.info/userhelp/data/komoku" TargetMode="External"/><Relationship Id="rId30" Type="http://schemas.openxmlformats.org/officeDocument/2006/relationships/hyperlink" Target="https://tools.l2.dwh.sb-sys.info/userhelp/data/komoku" TargetMode="External"/><Relationship Id="rId35" Type="http://schemas.openxmlformats.org/officeDocument/2006/relationships/hyperlink" Target="https://tools.l2.dwh.sb-sys.info/userhelp/data/komoku" TargetMode="External"/><Relationship Id="rId56" Type="http://schemas.openxmlformats.org/officeDocument/2006/relationships/hyperlink" Target="https://tools.l2.dwh.sb-sys.info/userhelp/data/komoku" TargetMode="External"/><Relationship Id="rId77" Type="http://schemas.openxmlformats.org/officeDocument/2006/relationships/hyperlink" Target="https://tools.l2.dwh.sb-sys.info/userhelp/data/komoku" TargetMode="External"/><Relationship Id="rId100" Type="http://schemas.openxmlformats.org/officeDocument/2006/relationships/hyperlink" Target="https://tools.l2.dwh.sb-sys.info/userhelp/data/komoku" TargetMode="External"/><Relationship Id="rId105" Type="http://schemas.openxmlformats.org/officeDocument/2006/relationships/hyperlink" Target="https://tools.l2.dwh.sb-sys.info/userhelp/data/komoku" TargetMode="External"/><Relationship Id="rId126" Type="http://schemas.openxmlformats.org/officeDocument/2006/relationships/hyperlink" Target="https://tools.l2.dwh.sb-sys.info/userhelp/data/komoku" TargetMode="External"/><Relationship Id="rId147" Type="http://schemas.openxmlformats.org/officeDocument/2006/relationships/hyperlink" Target="https://tools.l2.dwh.sb-sys.info/userhelp/data/komoku" TargetMode="External"/><Relationship Id="rId168" Type="http://schemas.openxmlformats.org/officeDocument/2006/relationships/hyperlink" Target="https://tools.l2.dwh.sb-sys.info/userhelp/data/komoku" TargetMode="External"/><Relationship Id="rId8" Type="http://schemas.openxmlformats.org/officeDocument/2006/relationships/hyperlink" Target="https://tools.l2.dwh.sb-sys.info/userhelp/data/komoku" TargetMode="External"/><Relationship Id="rId51" Type="http://schemas.openxmlformats.org/officeDocument/2006/relationships/hyperlink" Target="https://tools.l2.dwh.sb-sys.info/userhelp/data/komoku" TargetMode="External"/><Relationship Id="rId72" Type="http://schemas.openxmlformats.org/officeDocument/2006/relationships/hyperlink" Target="https://tools.l2.dwh.sb-sys.info/userhelp/data/komoku" TargetMode="External"/><Relationship Id="rId93" Type="http://schemas.openxmlformats.org/officeDocument/2006/relationships/hyperlink" Target="https://tools.l2.dwh.sb-sys.info/userhelp/data/komoku" TargetMode="External"/><Relationship Id="rId98" Type="http://schemas.openxmlformats.org/officeDocument/2006/relationships/hyperlink" Target="https://tools.l2.dwh.sb-sys.info/userhelp/data/komoku" TargetMode="External"/><Relationship Id="rId121" Type="http://schemas.openxmlformats.org/officeDocument/2006/relationships/hyperlink" Target="https://tools.l2.dwh.sb-sys.info/userhelp/data/komoku" TargetMode="External"/><Relationship Id="rId142" Type="http://schemas.openxmlformats.org/officeDocument/2006/relationships/hyperlink" Target="https://tools.l2.dwh.sb-sys.info/userhelp/data/komoku" TargetMode="External"/><Relationship Id="rId163" Type="http://schemas.openxmlformats.org/officeDocument/2006/relationships/hyperlink" Target="https://tools.l2.dwh.sb-sys.info/userhelp/data/komoku" TargetMode="External"/><Relationship Id="rId184" Type="http://schemas.openxmlformats.org/officeDocument/2006/relationships/hyperlink" Target="https://tools.l2.dwh.sb-sys.info/userhelp/data/komoku" TargetMode="External"/><Relationship Id="rId189" Type="http://schemas.openxmlformats.org/officeDocument/2006/relationships/hyperlink" Target="https://tools.l2.dwh.sb-sys.info/userhelp/data/komoku" TargetMode="External"/><Relationship Id="rId3" Type="http://schemas.openxmlformats.org/officeDocument/2006/relationships/hyperlink" Target="https://tools.l2.dwh.sb-sys.info/userhelp/data/komoku" TargetMode="External"/><Relationship Id="rId214" Type="http://schemas.openxmlformats.org/officeDocument/2006/relationships/hyperlink" Target="https://tools.l2.dwh.sb-sys.info/userhelp/data/komoku" TargetMode="External"/><Relationship Id="rId25" Type="http://schemas.openxmlformats.org/officeDocument/2006/relationships/hyperlink" Target="https://tools.l2.dwh.sb-sys.info/userhelp/data/komoku" TargetMode="External"/><Relationship Id="rId46" Type="http://schemas.openxmlformats.org/officeDocument/2006/relationships/hyperlink" Target="https://tools.l2.dwh.sb-sys.info/userhelp/data/komoku" TargetMode="External"/><Relationship Id="rId67" Type="http://schemas.openxmlformats.org/officeDocument/2006/relationships/hyperlink" Target="https://tools.l2.dwh.sb-sys.info/userhelp/data/komoku" TargetMode="External"/><Relationship Id="rId116" Type="http://schemas.openxmlformats.org/officeDocument/2006/relationships/hyperlink" Target="https://tools.l2.dwh.sb-sys.info/userhelp/data/komoku" TargetMode="External"/><Relationship Id="rId137" Type="http://schemas.openxmlformats.org/officeDocument/2006/relationships/hyperlink" Target="https://tools.l2.dwh.sb-sys.info/userhelp/data/komoku" TargetMode="External"/><Relationship Id="rId158" Type="http://schemas.openxmlformats.org/officeDocument/2006/relationships/hyperlink" Target="https://tools.l2.dwh.sb-sys.info/userhelp/data/komoku" TargetMode="External"/><Relationship Id="rId20" Type="http://schemas.openxmlformats.org/officeDocument/2006/relationships/hyperlink" Target="https://tools.l2.dwh.sb-sys.info/userhelp/data/komoku" TargetMode="External"/><Relationship Id="rId41" Type="http://schemas.openxmlformats.org/officeDocument/2006/relationships/hyperlink" Target="https://tools.l2.dwh.sb-sys.info/userhelp/data/komoku" TargetMode="External"/><Relationship Id="rId62" Type="http://schemas.openxmlformats.org/officeDocument/2006/relationships/hyperlink" Target="https://tools.l2.dwh.sb-sys.info/userhelp/data/komoku" TargetMode="External"/><Relationship Id="rId83" Type="http://schemas.openxmlformats.org/officeDocument/2006/relationships/hyperlink" Target="https://tools.l2.dwh.sb-sys.info/userhelp/data/komoku" TargetMode="External"/><Relationship Id="rId88" Type="http://schemas.openxmlformats.org/officeDocument/2006/relationships/hyperlink" Target="https://tools.l2.dwh.sb-sys.info/userhelp/data/komoku" TargetMode="External"/><Relationship Id="rId111" Type="http://schemas.openxmlformats.org/officeDocument/2006/relationships/hyperlink" Target="https://tools.l2.dwh.sb-sys.info/userhelp/data/komoku" TargetMode="External"/><Relationship Id="rId132" Type="http://schemas.openxmlformats.org/officeDocument/2006/relationships/hyperlink" Target="https://tools.l2.dwh.sb-sys.info/userhelp/data/komoku" TargetMode="External"/><Relationship Id="rId153" Type="http://schemas.openxmlformats.org/officeDocument/2006/relationships/hyperlink" Target="https://tools.l2.dwh.sb-sys.info/userhelp/data/komoku" TargetMode="External"/><Relationship Id="rId174" Type="http://schemas.openxmlformats.org/officeDocument/2006/relationships/hyperlink" Target="https://tools.l2.dwh.sb-sys.info/userhelp/data/komoku" TargetMode="External"/><Relationship Id="rId179" Type="http://schemas.openxmlformats.org/officeDocument/2006/relationships/hyperlink" Target="https://tools.l2.dwh.sb-sys.info/userhelp/data/komoku" TargetMode="External"/><Relationship Id="rId195" Type="http://schemas.openxmlformats.org/officeDocument/2006/relationships/hyperlink" Target="https://tools.l2.dwh.sb-sys.info/userhelp/data/komoku" TargetMode="External"/><Relationship Id="rId209" Type="http://schemas.openxmlformats.org/officeDocument/2006/relationships/hyperlink" Target="https://tools.l2.dwh.sb-sys.info/userhelp/data/komoku" TargetMode="External"/><Relationship Id="rId190" Type="http://schemas.openxmlformats.org/officeDocument/2006/relationships/hyperlink" Target="https://tools.l2.dwh.sb-sys.info/userhelp/data/komoku" TargetMode="External"/><Relationship Id="rId204" Type="http://schemas.openxmlformats.org/officeDocument/2006/relationships/hyperlink" Target="https://tools.l2.dwh.sb-sys.info/userhelp/data/komoku" TargetMode="External"/><Relationship Id="rId15" Type="http://schemas.openxmlformats.org/officeDocument/2006/relationships/hyperlink" Target="https://tools.l2.dwh.sb-sys.info/userhelp/data/komoku" TargetMode="External"/><Relationship Id="rId36" Type="http://schemas.openxmlformats.org/officeDocument/2006/relationships/hyperlink" Target="https://tools.l2.dwh.sb-sys.info/userhelp/data/komoku" TargetMode="External"/><Relationship Id="rId57" Type="http://schemas.openxmlformats.org/officeDocument/2006/relationships/hyperlink" Target="https://tools.l2.dwh.sb-sys.info/userhelp/data/komoku" TargetMode="External"/><Relationship Id="rId106" Type="http://schemas.openxmlformats.org/officeDocument/2006/relationships/hyperlink" Target="https://tools.l2.dwh.sb-sys.info/userhelp/data/komoku" TargetMode="External"/><Relationship Id="rId127" Type="http://schemas.openxmlformats.org/officeDocument/2006/relationships/hyperlink" Target="https://tools.l2.dwh.sb-sys.info/userhelp/data/komoku" TargetMode="External"/><Relationship Id="rId10" Type="http://schemas.openxmlformats.org/officeDocument/2006/relationships/hyperlink" Target="https://tools.l2.dwh.sb-sys.info/userhelp/data/komoku" TargetMode="External"/><Relationship Id="rId31" Type="http://schemas.openxmlformats.org/officeDocument/2006/relationships/hyperlink" Target="https://tools.l2.dwh.sb-sys.info/userhelp/data/komoku" TargetMode="External"/><Relationship Id="rId52" Type="http://schemas.openxmlformats.org/officeDocument/2006/relationships/hyperlink" Target="https://tools.l2.dwh.sb-sys.info/userhelp/data/komoku" TargetMode="External"/><Relationship Id="rId73" Type="http://schemas.openxmlformats.org/officeDocument/2006/relationships/hyperlink" Target="https://tools.l2.dwh.sb-sys.info/userhelp/data/komoku" TargetMode="External"/><Relationship Id="rId78" Type="http://schemas.openxmlformats.org/officeDocument/2006/relationships/hyperlink" Target="https://tools.l2.dwh.sb-sys.info/userhelp/data/komoku" TargetMode="External"/><Relationship Id="rId94" Type="http://schemas.openxmlformats.org/officeDocument/2006/relationships/hyperlink" Target="https://tools.l2.dwh.sb-sys.info/userhelp/data/komoku" TargetMode="External"/><Relationship Id="rId99" Type="http://schemas.openxmlformats.org/officeDocument/2006/relationships/hyperlink" Target="https://tools.l2.dwh.sb-sys.info/userhelp/data/komoku" TargetMode="External"/><Relationship Id="rId101" Type="http://schemas.openxmlformats.org/officeDocument/2006/relationships/hyperlink" Target="https://tools.l2.dwh.sb-sys.info/userhelp/data/komoku" TargetMode="External"/><Relationship Id="rId122" Type="http://schemas.openxmlformats.org/officeDocument/2006/relationships/hyperlink" Target="https://tools.l2.dwh.sb-sys.info/userhelp/data/komoku" TargetMode="External"/><Relationship Id="rId143" Type="http://schemas.openxmlformats.org/officeDocument/2006/relationships/hyperlink" Target="https://tools.l2.dwh.sb-sys.info/userhelp/data/komoku" TargetMode="External"/><Relationship Id="rId148" Type="http://schemas.openxmlformats.org/officeDocument/2006/relationships/hyperlink" Target="https://tools.l2.dwh.sb-sys.info/userhelp/data/komoku" TargetMode="External"/><Relationship Id="rId164" Type="http://schemas.openxmlformats.org/officeDocument/2006/relationships/hyperlink" Target="https://tools.l2.dwh.sb-sys.info/userhelp/data/komoku" TargetMode="External"/><Relationship Id="rId169" Type="http://schemas.openxmlformats.org/officeDocument/2006/relationships/hyperlink" Target="https://tools.l2.dwh.sb-sys.info/userhelp/data/komoku" TargetMode="External"/><Relationship Id="rId185" Type="http://schemas.openxmlformats.org/officeDocument/2006/relationships/hyperlink" Target="https://tools.l2.dwh.sb-sys.info/userhelp/data/komoku" TargetMode="External"/><Relationship Id="rId4" Type="http://schemas.openxmlformats.org/officeDocument/2006/relationships/hyperlink" Target="https://tools.l2.dwh.sb-sys.info/userhelp/data/komoku" TargetMode="External"/><Relationship Id="rId9" Type="http://schemas.openxmlformats.org/officeDocument/2006/relationships/hyperlink" Target="https://tools.l2.dwh.sb-sys.info/userhelp/data/komoku" TargetMode="External"/><Relationship Id="rId180" Type="http://schemas.openxmlformats.org/officeDocument/2006/relationships/hyperlink" Target="https://tools.l2.dwh.sb-sys.info/userhelp/data/komoku" TargetMode="External"/><Relationship Id="rId210" Type="http://schemas.openxmlformats.org/officeDocument/2006/relationships/hyperlink" Target="https://tools.l2.dwh.sb-sys.info/userhelp/data/komoku" TargetMode="External"/><Relationship Id="rId215" Type="http://schemas.openxmlformats.org/officeDocument/2006/relationships/hyperlink" Target="https://tools.l2.dwh.sb-sys.info/userhelp/data/komoku" TargetMode="External"/><Relationship Id="rId26" Type="http://schemas.openxmlformats.org/officeDocument/2006/relationships/hyperlink" Target="https://tools.l2.dwh.sb-sys.info/userhelp/data/komoku" TargetMode="External"/><Relationship Id="rId47" Type="http://schemas.openxmlformats.org/officeDocument/2006/relationships/hyperlink" Target="https://tools.l2.dwh.sb-sys.info/userhelp/data/komoku" TargetMode="External"/><Relationship Id="rId68" Type="http://schemas.openxmlformats.org/officeDocument/2006/relationships/hyperlink" Target="https://tools.l2.dwh.sb-sys.info/userhelp/data/komoku" TargetMode="External"/><Relationship Id="rId89" Type="http://schemas.openxmlformats.org/officeDocument/2006/relationships/hyperlink" Target="https://tools.l2.dwh.sb-sys.info/userhelp/data/komoku" TargetMode="External"/><Relationship Id="rId112" Type="http://schemas.openxmlformats.org/officeDocument/2006/relationships/hyperlink" Target="https://tools.l2.dwh.sb-sys.info/userhelp/data/komoku" TargetMode="External"/><Relationship Id="rId133" Type="http://schemas.openxmlformats.org/officeDocument/2006/relationships/hyperlink" Target="https://tools.l2.dwh.sb-sys.info/userhelp/data/komoku" TargetMode="External"/><Relationship Id="rId154" Type="http://schemas.openxmlformats.org/officeDocument/2006/relationships/hyperlink" Target="https://tools.l2.dwh.sb-sys.info/userhelp/data/komoku" TargetMode="External"/><Relationship Id="rId175" Type="http://schemas.openxmlformats.org/officeDocument/2006/relationships/hyperlink" Target="https://tools.l2.dwh.sb-sys.info/userhelp/data/komoku" TargetMode="External"/><Relationship Id="rId196" Type="http://schemas.openxmlformats.org/officeDocument/2006/relationships/hyperlink" Target="https://tools.l2.dwh.sb-sys.info/userhelp/data/komoku" TargetMode="External"/><Relationship Id="rId200" Type="http://schemas.openxmlformats.org/officeDocument/2006/relationships/hyperlink" Target="https://tools.l2.dwh.sb-sys.info/userhelp/data/komoku" TargetMode="External"/><Relationship Id="rId16" Type="http://schemas.openxmlformats.org/officeDocument/2006/relationships/hyperlink" Target="https://tools.l2.dwh.sb-sys.info/userhelp/data/komoku" TargetMode="External"/><Relationship Id="rId37" Type="http://schemas.openxmlformats.org/officeDocument/2006/relationships/hyperlink" Target="https://tools.l2.dwh.sb-sys.info/userhelp/data/komoku" TargetMode="External"/><Relationship Id="rId58" Type="http://schemas.openxmlformats.org/officeDocument/2006/relationships/hyperlink" Target="https://tools.l2.dwh.sb-sys.info/userhelp/data/komoku" TargetMode="External"/><Relationship Id="rId79" Type="http://schemas.openxmlformats.org/officeDocument/2006/relationships/hyperlink" Target="https://tools.l2.dwh.sb-sys.info/userhelp/data/komoku" TargetMode="External"/><Relationship Id="rId102" Type="http://schemas.openxmlformats.org/officeDocument/2006/relationships/hyperlink" Target="https://tools.l2.dwh.sb-sys.info/userhelp/data/komoku" TargetMode="External"/><Relationship Id="rId123" Type="http://schemas.openxmlformats.org/officeDocument/2006/relationships/hyperlink" Target="https://tools.l2.dwh.sb-sys.info/userhelp/data/komoku" TargetMode="External"/><Relationship Id="rId144" Type="http://schemas.openxmlformats.org/officeDocument/2006/relationships/hyperlink" Target="https://tools.l2.dwh.sb-sys.info/userhelp/data/komoku" TargetMode="External"/><Relationship Id="rId90" Type="http://schemas.openxmlformats.org/officeDocument/2006/relationships/hyperlink" Target="https://tools.l2.dwh.sb-sys.info/userhelp/data/komoku" TargetMode="External"/><Relationship Id="rId165" Type="http://schemas.openxmlformats.org/officeDocument/2006/relationships/hyperlink" Target="https://tools.l2.dwh.sb-sys.info/userhelp/data/komoku" TargetMode="External"/><Relationship Id="rId186" Type="http://schemas.openxmlformats.org/officeDocument/2006/relationships/hyperlink" Target="https://tools.l2.dwh.sb-sys.info/userhelp/data/komoku" TargetMode="External"/><Relationship Id="rId211" Type="http://schemas.openxmlformats.org/officeDocument/2006/relationships/hyperlink" Target="https://tools.l2.dwh.sb-sys.info/userhelp/data/komoku" TargetMode="External"/><Relationship Id="rId27" Type="http://schemas.openxmlformats.org/officeDocument/2006/relationships/hyperlink" Target="https://tools.l2.dwh.sb-sys.info/userhelp/data/komoku" TargetMode="External"/><Relationship Id="rId48" Type="http://schemas.openxmlformats.org/officeDocument/2006/relationships/hyperlink" Target="https://tools.l2.dwh.sb-sys.info/userhelp/data/komoku" TargetMode="External"/><Relationship Id="rId69" Type="http://schemas.openxmlformats.org/officeDocument/2006/relationships/hyperlink" Target="https://tools.l2.dwh.sb-sys.info/userhelp/data/komoku" TargetMode="External"/><Relationship Id="rId113" Type="http://schemas.openxmlformats.org/officeDocument/2006/relationships/hyperlink" Target="https://tools.l2.dwh.sb-sys.info/userhelp/data/komoku" TargetMode="External"/><Relationship Id="rId134" Type="http://schemas.openxmlformats.org/officeDocument/2006/relationships/hyperlink" Target="https://tools.l2.dwh.sb-sys.info/userhelp/data/komoku" TargetMode="External"/><Relationship Id="rId80" Type="http://schemas.openxmlformats.org/officeDocument/2006/relationships/hyperlink" Target="https://tools.l2.dwh.sb-sys.info/userhelp/data/komoku" TargetMode="External"/><Relationship Id="rId155" Type="http://schemas.openxmlformats.org/officeDocument/2006/relationships/hyperlink" Target="https://tools.l2.dwh.sb-sys.info/userhelp/data/komoku" TargetMode="External"/><Relationship Id="rId176" Type="http://schemas.openxmlformats.org/officeDocument/2006/relationships/hyperlink" Target="https://tools.l2.dwh.sb-sys.info/userhelp/data/komoku" TargetMode="External"/><Relationship Id="rId197" Type="http://schemas.openxmlformats.org/officeDocument/2006/relationships/hyperlink" Target="https://tools.l2.dwh.sb-sys.info/userhelp/data/komoku" TargetMode="External"/><Relationship Id="rId201" Type="http://schemas.openxmlformats.org/officeDocument/2006/relationships/hyperlink" Target="https://tools.l2.dwh.sb-sys.info/userhelp/data/komoku" TargetMode="External"/><Relationship Id="rId17" Type="http://schemas.openxmlformats.org/officeDocument/2006/relationships/hyperlink" Target="https://tools.l2.dwh.sb-sys.info/userhelp/data/komoku" TargetMode="External"/><Relationship Id="rId38" Type="http://schemas.openxmlformats.org/officeDocument/2006/relationships/hyperlink" Target="https://tools.l2.dwh.sb-sys.info/userhelp/data/komoku" TargetMode="External"/><Relationship Id="rId59" Type="http://schemas.openxmlformats.org/officeDocument/2006/relationships/hyperlink" Target="https://tools.l2.dwh.sb-sys.info/userhelp/data/komoku" TargetMode="External"/><Relationship Id="rId103" Type="http://schemas.openxmlformats.org/officeDocument/2006/relationships/hyperlink" Target="https://tools.l2.dwh.sb-sys.info/userhelp/data/komoku" TargetMode="External"/><Relationship Id="rId124" Type="http://schemas.openxmlformats.org/officeDocument/2006/relationships/hyperlink" Target="https://tools.l2.dwh.sb-sys.info/userhelp/data/komoku" TargetMode="External"/><Relationship Id="rId70" Type="http://schemas.openxmlformats.org/officeDocument/2006/relationships/hyperlink" Target="https://tools.l2.dwh.sb-sys.info/userhelp/data/komoku" TargetMode="External"/><Relationship Id="rId91" Type="http://schemas.openxmlformats.org/officeDocument/2006/relationships/hyperlink" Target="https://tools.l2.dwh.sb-sys.info/userhelp/data/komoku" TargetMode="External"/><Relationship Id="rId145" Type="http://schemas.openxmlformats.org/officeDocument/2006/relationships/hyperlink" Target="https://tools.l2.dwh.sb-sys.info/userhelp/data/komoku" TargetMode="External"/><Relationship Id="rId166" Type="http://schemas.openxmlformats.org/officeDocument/2006/relationships/hyperlink" Target="https://tools.l2.dwh.sb-sys.info/userhelp/data/komoku" TargetMode="External"/><Relationship Id="rId187" Type="http://schemas.openxmlformats.org/officeDocument/2006/relationships/hyperlink" Target="https://tools.l2.dwh.sb-sys.info/userhelp/data/komoku" TargetMode="External"/><Relationship Id="rId1" Type="http://schemas.openxmlformats.org/officeDocument/2006/relationships/hyperlink" Target="https://tools.l2.dwh.sb-sys.info/userhelp/data/komoku" TargetMode="External"/><Relationship Id="rId212" Type="http://schemas.openxmlformats.org/officeDocument/2006/relationships/hyperlink" Target="https://tools.l2.dwh.sb-sys.info/userhelp/data/komoku" TargetMode="External"/><Relationship Id="rId28" Type="http://schemas.openxmlformats.org/officeDocument/2006/relationships/hyperlink" Target="https://tools.l2.dwh.sb-sys.info/userhelp/data/komoku" TargetMode="External"/><Relationship Id="rId49" Type="http://schemas.openxmlformats.org/officeDocument/2006/relationships/hyperlink" Target="https://tools.l2.dwh.sb-sys.info/userhelp/data/komoku" TargetMode="External"/><Relationship Id="rId114" Type="http://schemas.openxmlformats.org/officeDocument/2006/relationships/hyperlink" Target="https://tools.l2.dwh.sb-sys.info/userhelp/data/komoku" TargetMode="External"/><Relationship Id="rId60" Type="http://schemas.openxmlformats.org/officeDocument/2006/relationships/hyperlink" Target="https://tools.l2.dwh.sb-sys.info/userhelp/data/komoku" TargetMode="External"/><Relationship Id="rId81" Type="http://schemas.openxmlformats.org/officeDocument/2006/relationships/hyperlink" Target="https://tools.l2.dwh.sb-sys.info/userhelp/data/komoku" TargetMode="External"/><Relationship Id="rId135" Type="http://schemas.openxmlformats.org/officeDocument/2006/relationships/hyperlink" Target="https://tools.l2.dwh.sb-sys.info/userhelp/data/komoku" TargetMode="External"/><Relationship Id="rId156" Type="http://schemas.openxmlformats.org/officeDocument/2006/relationships/hyperlink" Target="https://tools.l2.dwh.sb-sys.info/userhelp/data/komoku" TargetMode="External"/><Relationship Id="rId177" Type="http://schemas.openxmlformats.org/officeDocument/2006/relationships/hyperlink" Target="https://tools.l2.dwh.sb-sys.info/userhelp/data/komoku" TargetMode="External"/><Relationship Id="rId198" Type="http://schemas.openxmlformats.org/officeDocument/2006/relationships/hyperlink" Target="https://tools.l2.dwh.sb-sys.info/userhelp/data/komoku" TargetMode="External"/><Relationship Id="rId202" Type="http://schemas.openxmlformats.org/officeDocument/2006/relationships/hyperlink" Target="https://tools.l2.dwh.sb-sys.info/userhelp/data/komoku" TargetMode="External"/><Relationship Id="rId18" Type="http://schemas.openxmlformats.org/officeDocument/2006/relationships/hyperlink" Target="https://tools.l2.dwh.sb-sys.info/userhelp/data/komoku" TargetMode="External"/><Relationship Id="rId39" Type="http://schemas.openxmlformats.org/officeDocument/2006/relationships/hyperlink" Target="https://tools.l2.dwh.sb-sys.info/userhelp/data/komoku" TargetMode="External"/><Relationship Id="rId50" Type="http://schemas.openxmlformats.org/officeDocument/2006/relationships/hyperlink" Target="https://tools.l2.dwh.sb-sys.info/userhelp/data/komoku" TargetMode="External"/><Relationship Id="rId104" Type="http://schemas.openxmlformats.org/officeDocument/2006/relationships/hyperlink" Target="https://tools.l2.dwh.sb-sys.info/userhelp/data/komoku" TargetMode="External"/><Relationship Id="rId125" Type="http://schemas.openxmlformats.org/officeDocument/2006/relationships/hyperlink" Target="https://tools.l2.dwh.sb-sys.info/userhelp/data/komoku" TargetMode="External"/><Relationship Id="rId146" Type="http://schemas.openxmlformats.org/officeDocument/2006/relationships/hyperlink" Target="https://tools.l2.dwh.sb-sys.info/userhelp/data/komoku" TargetMode="External"/><Relationship Id="rId167" Type="http://schemas.openxmlformats.org/officeDocument/2006/relationships/hyperlink" Target="https://tools.l2.dwh.sb-sys.info/userhelp/data/komoku" TargetMode="External"/><Relationship Id="rId188" Type="http://schemas.openxmlformats.org/officeDocument/2006/relationships/hyperlink" Target="https://tools.l2.dwh.sb-sys.info/userhelp/data/komoku" TargetMode="External"/><Relationship Id="rId71" Type="http://schemas.openxmlformats.org/officeDocument/2006/relationships/hyperlink" Target="https://tools.l2.dwh.sb-sys.info/userhelp/data/komoku" TargetMode="External"/><Relationship Id="rId92" Type="http://schemas.openxmlformats.org/officeDocument/2006/relationships/hyperlink" Target="https://tools.l2.dwh.sb-sys.info/userhelp/data/komoku" TargetMode="External"/><Relationship Id="rId213" Type="http://schemas.openxmlformats.org/officeDocument/2006/relationships/hyperlink" Target="https://tools.l2.dwh.sb-sys.info/userhelp/data/komoku" TargetMode="External"/><Relationship Id="rId2" Type="http://schemas.openxmlformats.org/officeDocument/2006/relationships/hyperlink" Target="https://tools.l2.dwh.sb-sys.info/userhelp/data/komoku" TargetMode="External"/><Relationship Id="rId29" Type="http://schemas.openxmlformats.org/officeDocument/2006/relationships/hyperlink" Target="https://tools.l2.dwh.sb-sys.info/userhelp/data/komoku" TargetMode="External"/><Relationship Id="rId40" Type="http://schemas.openxmlformats.org/officeDocument/2006/relationships/hyperlink" Target="https://tools.l2.dwh.sb-sys.info/userhelp/data/komoku" TargetMode="External"/><Relationship Id="rId115" Type="http://schemas.openxmlformats.org/officeDocument/2006/relationships/hyperlink" Target="https://tools.l2.dwh.sb-sys.info/userhelp/data/komoku" TargetMode="External"/><Relationship Id="rId136" Type="http://schemas.openxmlformats.org/officeDocument/2006/relationships/hyperlink" Target="https://tools.l2.dwh.sb-sys.info/userhelp/data/komoku" TargetMode="External"/><Relationship Id="rId157" Type="http://schemas.openxmlformats.org/officeDocument/2006/relationships/hyperlink" Target="https://tools.l2.dwh.sb-sys.info/userhelp/data/komoku" TargetMode="External"/><Relationship Id="rId178" Type="http://schemas.openxmlformats.org/officeDocument/2006/relationships/hyperlink" Target="https://tools.l2.dwh.sb-sys.info/userhelp/data/komoku" TargetMode="External"/><Relationship Id="rId61" Type="http://schemas.openxmlformats.org/officeDocument/2006/relationships/hyperlink" Target="https://tools.l2.dwh.sb-sys.info/userhelp/data/komoku" TargetMode="External"/><Relationship Id="rId82" Type="http://schemas.openxmlformats.org/officeDocument/2006/relationships/hyperlink" Target="https://tools.l2.dwh.sb-sys.info/userhelp/data/komoku" TargetMode="External"/><Relationship Id="rId199" Type="http://schemas.openxmlformats.org/officeDocument/2006/relationships/hyperlink" Target="https://tools.l2.dwh.sb-sys.info/userhelp/data/komoku" TargetMode="External"/><Relationship Id="rId203" Type="http://schemas.openxmlformats.org/officeDocument/2006/relationships/hyperlink" Target="https://tools.l2.dwh.sb-sys.info/userhelp/data/komoku" TargetMode="External"/><Relationship Id="rId19" Type="http://schemas.openxmlformats.org/officeDocument/2006/relationships/hyperlink" Target="https://tools.l2.dwh.sb-sys.info/userhelp/data/komoku"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tools.l2.dwh.sb-sys.info/userhelp/data/komoku" TargetMode="External"/><Relationship Id="rId21" Type="http://schemas.openxmlformats.org/officeDocument/2006/relationships/hyperlink" Target="https://tools.l2.dwh.sb-sys.info/userhelp/data/komoku" TargetMode="External"/><Relationship Id="rId42" Type="http://schemas.openxmlformats.org/officeDocument/2006/relationships/hyperlink" Target="https://tools.l2.dwh.sb-sys.info/userhelp/data/komoku" TargetMode="External"/><Relationship Id="rId47" Type="http://schemas.openxmlformats.org/officeDocument/2006/relationships/hyperlink" Target="https://tools.l2.dwh.sb-sys.info/userhelp/data/komoku" TargetMode="External"/><Relationship Id="rId63" Type="http://schemas.openxmlformats.org/officeDocument/2006/relationships/hyperlink" Target="https://tools.l2.dwh.sb-sys.info/userhelp/data/komoku" TargetMode="External"/><Relationship Id="rId68" Type="http://schemas.openxmlformats.org/officeDocument/2006/relationships/hyperlink" Target="https://tools.l2.dwh.sb-sys.info/userhelp/data/komoku" TargetMode="External"/><Relationship Id="rId16" Type="http://schemas.openxmlformats.org/officeDocument/2006/relationships/hyperlink" Target="https://tools.l2.dwh.sb-sys.info/userhelp/data/komoku" TargetMode="External"/><Relationship Id="rId11" Type="http://schemas.openxmlformats.org/officeDocument/2006/relationships/hyperlink" Target="https://tools.l2.dwh.sb-sys.info/userhelp/data/komoku" TargetMode="External"/><Relationship Id="rId32" Type="http://schemas.openxmlformats.org/officeDocument/2006/relationships/hyperlink" Target="https://tools.l2.dwh.sb-sys.info/userhelp/data/komoku" TargetMode="External"/><Relationship Id="rId37" Type="http://schemas.openxmlformats.org/officeDocument/2006/relationships/hyperlink" Target="https://tools.l2.dwh.sb-sys.info/userhelp/data/komoku" TargetMode="External"/><Relationship Id="rId53" Type="http://schemas.openxmlformats.org/officeDocument/2006/relationships/hyperlink" Target="https://tools.l2.dwh.sb-sys.info/userhelp/data/komoku" TargetMode="External"/><Relationship Id="rId58" Type="http://schemas.openxmlformats.org/officeDocument/2006/relationships/hyperlink" Target="https://tools.l2.dwh.sb-sys.info/userhelp/data/komoku" TargetMode="External"/><Relationship Id="rId74" Type="http://schemas.openxmlformats.org/officeDocument/2006/relationships/hyperlink" Target="https://tools.l2.dwh.sb-sys.info/userhelp/data/komoku" TargetMode="External"/><Relationship Id="rId79" Type="http://schemas.openxmlformats.org/officeDocument/2006/relationships/hyperlink" Target="https://tools.l2.dwh.sb-sys.info/userhelp/data/komoku" TargetMode="External"/><Relationship Id="rId5" Type="http://schemas.openxmlformats.org/officeDocument/2006/relationships/hyperlink" Target="https://tools.l2.dwh.sb-sys.info/userhelp/data/komoku" TargetMode="External"/><Relationship Id="rId61" Type="http://schemas.openxmlformats.org/officeDocument/2006/relationships/hyperlink" Target="https://tools.l2.dwh.sb-sys.info/userhelp/data/komoku" TargetMode="External"/><Relationship Id="rId19" Type="http://schemas.openxmlformats.org/officeDocument/2006/relationships/hyperlink" Target="https://tools.l2.dwh.sb-sys.info/userhelp/data/komoku" TargetMode="External"/><Relationship Id="rId14" Type="http://schemas.openxmlformats.org/officeDocument/2006/relationships/hyperlink" Target="https://tools.l2.dwh.sb-sys.info/userhelp/data/komoku" TargetMode="External"/><Relationship Id="rId22" Type="http://schemas.openxmlformats.org/officeDocument/2006/relationships/hyperlink" Target="https://tools.l2.dwh.sb-sys.info/userhelp/data/komoku" TargetMode="External"/><Relationship Id="rId27" Type="http://schemas.openxmlformats.org/officeDocument/2006/relationships/hyperlink" Target="https://tools.l2.dwh.sb-sys.info/userhelp/data/komoku" TargetMode="External"/><Relationship Id="rId30" Type="http://schemas.openxmlformats.org/officeDocument/2006/relationships/hyperlink" Target="https://tools.l2.dwh.sb-sys.info/userhelp/data/komoku" TargetMode="External"/><Relationship Id="rId35" Type="http://schemas.openxmlformats.org/officeDocument/2006/relationships/hyperlink" Target="https://tools.l2.dwh.sb-sys.info/userhelp/data/komoku" TargetMode="External"/><Relationship Id="rId43" Type="http://schemas.openxmlformats.org/officeDocument/2006/relationships/hyperlink" Target="https://tools.l2.dwh.sb-sys.info/userhelp/data/komoku" TargetMode="External"/><Relationship Id="rId48" Type="http://schemas.openxmlformats.org/officeDocument/2006/relationships/hyperlink" Target="https://tools.l2.dwh.sb-sys.info/userhelp/data/komoku" TargetMode="External"/><Relationship Id="rId56" Type="http://schemas.openxmlformats.org/officeDocument/2006/relationships/hyperlink" Target="https://tools.l2.dwh.sb-sys.info/userhelp/data/komoku" TargetMode="External"/><Relationship Id="rId64" Type="http://schemas.openxmlformats.org/officeDocument/2006/relationships/hyperlink" Target="https://tools.l2.dwh.sb-sys.info/userhelp/data/komoku" TargetMode="External"/><Relationship Id="rId69" Type="http://schemas.openxmlformats.org/officeDocument/2006/relationships/hyperlink" Target="https://tools.l2.dwh.sb-sys.info/userhelp/data/komoku" TargetMode="External"/><Relationship Id="rId77" Type="http://schemas.openxmlformats.org/officeDocument/2006/relationships/hyperlink" Target="https://tools.l2.dwh.sb-sys.info/userhelp/data/komoku" TargetMode="External"/><Relationship Id="rId8" Type="http://schemas.openxmlformats.org/officeDocument/2006/relationships/hyperlink" Target="https://tools.l2.dwh.sb-sys.info/userhelp/data/komoku" TargetMode="External"/><Relationship Id="rId51" Type="http://schemas.openxmlformats.org/officeDocument/2006/relationships/hyperlink" Target="https://tools.l2.dwh.sb-sys.info/userhelp/data/komoku" TargetMode="External"/><Relationship Id="rId72" Type="http://schemas.openxmlformats.org/officeDocument/2006/relationships/hyperlink" Target="https://tools.l2.dwh.sb-sys.info/userhelp/data/komoku" TargetMode="External"/><Relationship Id="rId80" Type="http://schemas.openxmlformats.org/officeDocument/2006/relationships/hyperlink" Target="https://tools.l2.dwh.sb-sys.info/userhelp/data/komoku" TargetMode="External"/><Relationship Id="rId3" Type="http://schemas.openxmlformats.org/officeDocument/2006/relationships/hyperlink" Target="https://tools.l2.dwh.sb-sys.info/userhelp/data/komoku" TargetMode="External"/><Relationship Id="rId12" Type="http://schemas.openxmlformats.org/officeDocument/2006/relationships/hyperlink" Target="https://tools.l2.dwh.sb-sys.info/userhelp/data/komoku" TargetMode="External"/><Relationship Id="rId17" Type="http://schemas.openxmlformats.org/officeDocument/2006/relationships/hyperlink" Target="https://tools.l2.dwh.sb-sys.info/userhelp/data/komoku" TargetMode="External"/><Relationship Id="rId25" Type="http://schemas.openxmlformats.org/officeDocument/2006/relationships/hyperlink" Target="https://tools.l2.dwh.sb-sys.info/userhelp/data/komoku" TargetMode="External"/><Relationship Id="rId33" Type="http://schemas.openxmlformats.org/officeDocument/2006/relationships/hyperlink" Target="https://tools.l2.dwh.sb-sys.info/userhelp/data/komoku" TargetMode="External"/><Relationship Id="rId38" Type="http://schemas.openxmlformats.org/officeDocument/2006/relationships/hyperlink" Target="https://tools.l2.dwh.sb-sys.info/userhelp/data/komoku" TargetMode="External"/><Relationship Id="rId46" Type="http://schemas.openxmlformats.org/officeDocument/2006/relationships/hyperlink" Target="https://tools.l2.dwh.sb-sys.info/userhelp/data/komoku" TargetMode="External"/><Relationship Id="rId59" Type="http://schemas.openxmlformats.org/officeDocument/2006/relationships/hyperlink" Target="https://tools.l2.dwh.sb-sys.info/userhelp/data/komoku" TargetMode="External"/><Relationship Id="rId67" Type="http://schemas.openxmlformats.org/officeDocument/2006/relationships/hyperlink" Target="https://tools.l2.dwh.sb-sys.info/userhelp/data/komoku" TargetMode="External"/><Relationship Id="rId20" Type="http://schemas.openxmlformats.org/officeDocument/2006/relationships/hyperlink" Target="https://tools.l2.dwh.sb-sys.info/userhelp/data/komoku" TargetMode="External"/><Relationship Id="rId41" Type="http://schemas.openxmlformats.org/officeDocument/2006/relationships/hyperlink" Target="https://tools.l2.dwh.sb-sys.info/userhelp/data/komoku" TargetMode="External"/><Relationship Id="rId54" Type="http://schemas.openxmlformats.org/officeDocument/2006/relationships/hyperlink" Target="https://tools.l2.dwh.sb-sys.info/userhelp/data/komoku" TargetMode="External"/><Relationship Id="rId62" Type="http://schemas.openxmlformats.org/officeDocument/2006/relationships/hyperlink" Target="https://tools.l2.dwh.sb-sys.info/userhelp/data/komoku" TargetMode="External"/><Relationship Id="rId70" Type="http://schemas.openxmlformats.org/officeDocument/2006/relationships/hyperlink" Target="https://tools.l2.dwh.sb-sys.info/userhelp/data/komoku" TargetMode="External"/><Relationship Id="rId75" Type="http://schemas.openxmlformats.org/officeDocument/2006/relationships/hyperlink" Target="https://tools.l2.dwh.sb-sys.info/userhelp/data/komoku" TargetMode="External"/><Relationship Id="rId1" Type="http://schemas.openxmlformats.org/officeDocument/2006/relationships/hyperlink" Target="https://tools.l2.dwh.sb-sys.info/userhelp/data/komoku" TargetMode="External"/><Relationship Id="rId6" Type="http://schemas.openxmlformats.org/officeDocument/2006/relationships/hyperlink" Target="https://tools.l2.dwh.sb-sys.info/userhelp/data/komoku" TargetMode="External"/><Relationship Id="rId15" Type="http://schemas.openxmlformats.org/officeDocument/2006/relationships/hyperlink" Target="https://tools.l2.dwh.sb-sys.info/userhelp/data/komoku" TargetMode="External"/><Relationship Id="rId23" Type="http://schemas.openxmlformats.org/officeDocument/2006/relationships/hyperlink" Target="https://tools.l2.dwh.sb-sys.info/userhelp/data/komoku" TargetMode="External"/><Relationship Id="rId28" Type="http://schemas.openxmlformats.org/officeDocument/2006/relationships/hyperlink" Target="https://tools.l2.dwh.sb-sys.info/userhelp/data/komoku" TargetMode="External"/><Relationship Id="rId36" Type="http://schemas.openxmlformats.org/officeDocument/2006/relationships/hyperlink" Target="https://tools.l2.dwh.sb-sys.info/userhelp/data/komoku" TargetMode="External"/><Relationship Id="rId49" Type="http://schemas.openxmlformats.org/officeDocument/2006/relationships/hyperlink" Target="https://tools.l2.dwh.sb-sys.info/userhelp/data/komoku" TargetMode="External"/><Relationship Id="rId57" Type="http://schemas.openxmlformats.org/officeDocument/2006/relationships/hyperlink" Target="https://tools.l2.dwh.sb-sys.info/userhelp/data/komoku" TargetMode="External"/><Relationship Id="rId10" Type="http://schemas.openxmlformats.org/officeDocument/2006/relationships/hyperlink" Target="https://tools.l2.dwh.sb-sys.info/userhelp/data/komoku" TargetMode="External"/><Relationship Id="rId31" Type="http://schemas.openxmlformats.org/officeDocument/2006/relationships/hyperlink" Target="https://tools.l2.dwh.sb-sys.info/userhelp/data/komoku" TargetMode="External"/><Relationship Id="rId44" Type="http://schemas.openxmlformats.org/officeDocument/2006/relationships/hyperlink" Target="https://tools.l2.dwh.sb-sys.info/userhelp/data/komoku" TargetMode="External"/><Relationship Id="rId52" Type="http://schemas.openxmlformats.org/officeDocument/2006/relationships/hyperlink" Target="https://tools.l2.dwh.sb-sys.info/userhelp/data/komoku" TargetMode="External"/><Relationship Id="rId60" Type="http://schemas.openxmlformats.org/officeDocument/2006/relationships/hyperlink" Target="https://tools.l2.dwh.sb-sys.info/userhelp/data/komoku" TargetMode="External"/><Relationship Id="rId65" Type="http://schemas.openxmlformats.org/officeDocument/2006/relationships/hyperlink" Target="https://tools.l2.dwh.sb-sys.info/userhelp/data/komoku" TargetMode="External"/><Relationship Id="rId73" Type="http://schemas.openxmlformats.org/officeDocument/2006/relationships/hyperlink" Target="https://tools.l2.dwh.sb-sys.info/userhelp/data/komoku" TargetMode="External"/><Relationship Id="rId78" Type="http://schemas.openxmlformats.org/officeDocument/2006/relationships/hyperlink" Target="https://tools.l2.dwh.sb-sys.info/userhelp/data/komoku" TargetMode="External"/><Relationship Id="rId81" Type="http://schemas.openxmlformats.org/officeDocument/2006/relationships/printerSettings" Target="../printerSettings/printerSettings4.bin"/><Relationship Id="rId4" Type="http://schemas.openxmlformats.org/officeDocument/2006/relationships/hyperlink" Target="https://tools.l2.dwh.sb-sys.info/userhelp/data/komoku" TargetMode="External"/><Relationship Id="rId9" Type="http://schemas.openxmlformats.org/officeDocument/2006/relationships/hyperlink" Target="https://tools.l2.dwh.sb-sys.info/userhelp/data/komoku" TargetMode="External"/><Relationship Id="rId13" Type="http://schemas.openxmlformats.org/officeDocument/2006/relationships/hyperlink" Target="https://tools.l2.dwh.sb-sys.info/userhelp/data/komoku" TargetMode="External"/><Relationship Id="rId18" Type="http://schemas.openxmlformats.org/officeDocument/2006/relationships/hyperlink" Target="https://tools.l2.dwh.sb-sys.info/userhelp/data/komoku" TargetMode="External"/><Relationship Id="rId39" Type="http://schemas.openxmlformats.org/officeDocument/2006/relationships/hyperlink" Target="https://tools.l2.dwh.sb-sys.info/userhelp/data/komoku" TargetMode="External"/><Relationship Id="rId34" Type="http://schemas.openxmlformats.org/officeDocument/2006/relationships/hyperlink" Target="https://tools.l2.dwh.sb-sys.info/userhelp/data/komoku" TargetMode="External"/><Relationship Id="rId50" Type="http://schemas.openxmlformats.org/officeDocument/2006/relationships/hyperlink" Target="https://tools.l2.dwh.sb-sys.info/userhelp/data/komoku" TargetMode="External"/><Relationship Id="rId55" Type="http://schemas.openxmlformats.org/officeDocument/2006/relationships/hyperlink" Target="https://tools.l2.dwh.sb-sys.info/userhelp/data/komoku" TargetMode="External"/><Relationship Id="rId76" Type="http://schemas.openxmlformats.org/officeDocument/2006/relationships/hyperlink" Target="https://tools.l2.dwh.sb-sys.info/userhelp/data/komoku" TargetMode="External"/><Relationship Id="rId7" Type="http://schemas.openxmlformats.org/officeDocument/2006/relationships/hyperlink" Target="https://tools.l2.dwh.sb-sys.info/userhelp/data/komoku" TargetMode="External"/><Relationship Id="rId71" Type="http://schemas.openxmlformats.org/officeDocument/2006/relationships/hyperlink" Target="https://tools.l2.dwh.sb-sys.info/userhelp/data/komoku" TargetMode="External"/><Relationship Id="rId2" Type="http://schemas.openxmlformats.org/officeDocument/2006/relationships/hyperlink" Target="https://tools.l2.dwh.sb-sys.info/userhelp/data/komoku" TargetMode="External"/><Relationship Id="rId29" Type="http://schemas.openxmlformats.org/officeDocument/2006/relationships/hyperlink" Target="https://tools.l2.dwh.sb-sys.info/userhelp/data/komoku" TargetMode="External"/><Relationship Id="rId24" Type="http://schemas.openxmlformats.org/officeDocument/2006/relationships/hyperlink" Target="https://tools.l2.dwh.sb-sys.info/userhelp/data/komoku" TargetMode="External"/><Relationship Id="rId40" Type="http://schemas.openxmlformats.org/officeDocument/2006/relationships/hyperlink" Target="https://tools.l2.dwh.sb-sys.info/userhelp/data/komoku" TargetMode="External"/><Relationship Id="rId45" Type="http://schemas.openxmlformats.org/officeDocument/2006/relationships/hyperlink" Target="https://tools.l2.dwh.sb-sys.info/userhelp/data/komoku" TargetMode="External"/><Relationship Id="rId66" Type="http://schemas.openxmlformats.org/officeDocument/2006/relationships/hyperlink" Target="https://tools.l2.dwh.sb-sys.info/userhelp/data/komoku"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tools.l2.dwh.sb-sys.info/userhelp/data/komoku" TargetMode="External"/><Relationship Id="rId18" Type="http://schemas.openxmlformats.org/officeDocument/2006/relationships/hyperlink" Target="https://tools.l2.dwh.sb-sys.info/userhelp/data/komoku" TargetMode="External"/><Relationship Id="rId26" Type="http://schemas.openxmlformats.org/officeDocument/2006/relationships/hyperlink" Target="https://tools.l2.dwh.sb-sys.info/userhelp/data/komoku" TargetMode="External"/><Relationship Id="rId3" Type="http://schemas.openxmlformats.org/officeDocument/2006/relationships/hyperlink" Target="https://tools.l2.dwh.sb-sys.info/userhelp/data/komoku" TargetMode="External"/><Relationship Id="rId21" Type="http://schemas.openxmlformats.org/officeDocument/2006/relationships/hyperlink" Target="https://tools.l2.dwh.sb-sys.info/userhelp/data/komoku" TargetMode="External"/><Relationship Id="rId34" Type="http://schemas.openxmlformats.org/officeDocument/2006/relationships/printerSettings" Target="../printerSettings/printerSettings5.bin"/><Relationship Id="rId7" Type="http://schemas.openxmlformats.org/officeDocument/2006/relationships/hyperlink" Target="https://tools.l2.dwh.sb-sys.info/userhelp/data/komoku" TargetMode="External"/><Relationship Id="rId12" Type="http://schemas.openxmlformats.org/officeDocument/2006/relationships/hyperlink" Target="https://tools.l2.dwh.sb-sys.info/userhelp/data/komoku" TargetMode="External"/><Relationship Id="rId17" Type="http://schemas.openxmlformats.org/officeDocument/2006/relationships/hyperlink" Target="https://tools.l2.dwh.sb-sys.info/userhelp/data/komoku" TargetMode="External"/><Relationship Id="rId25" Type="http://schemas.openxmlformats.org/officeDocument/2006/relationships/hyperlink" Target="https://tools.l2.dwh.sb-sys.info/userhelp/data/komoku" TargetMode="External"/><Relationship Id="rId33" Type="http://schemas.openxmlformats.org/officeDocument/2006/relationships/hyperlink" Target="https://tools.l2.dwh.sb-sys.info/userhelp/data/komoku" TargetMode="External"/><Relationship Id="rId2" Type="http://schemas.openxmlformats.org/officeDocument/2006/relationships/hyperlink" Target="https://tools.l2.dwh.sb-sys.info/userhelp/data/komoku" TargetMode="External"/><Relationship Id="rId16" Type="http://schemas.openxmlformats.org/officeDocument/2006/relationships/hyperlink" Target="https://tools.l2.dwh.sb-sys.info/userhelp/data/komoku" TargetMode="External"/><Relationship Id="rId20" Type="http://schemas.openxmlformats.org/officeDocument/2006/relationships/hyperlink" Target="https://tools.l2.dwh.sb-sys.info/userhelp/data/komoku" TargetMode="External"/><Relationship Id="rId29" Type="http://schemas.openxmlformats.org/officeDocument/2006/relationships/hyperlink" Target="https://tools.l2.dwh.sb-sys.info/userhelp/data/komoku" TargetMode="External"/><Relationship Id="rId1" Type="http://schemas.openxmlformats.org/officeDocument/2006/relationships/hyperlink" Target="https://tools.l2.dwh.sb-sys.info/userhelp/data/komoku" TargetMode="External"/><Relationship Id="rId6" Type="http://schemas.openxmlformats.org/officeDocument/2006/relationships/hyperlink" Target="https://tools.l2.dwh.sb-sys.info/userhelp/data/komoku" TargetMode="External"/><Relationship Id="rId11" Type="http://schemas.openxmlformats.org/officeDocument/2006/relationships/hyperlink" Target="https://tools.l2.dwh.sb-sys.info/userhelp/data/komoku" TargetMode="External"/><Relationship Id="rId24" Type="http://schemas.openxmlformats.org/officeDocument/2006/relationships/hyperlink" Target="https://tools.l2.dwh.sb-sys.info/userhelp/data/komoku" TargetMode="External"/><Relationship Id="rId32" Type="http://schemas.openxmlformats.org/officeDocument/2006/relationships/hyperlink" Target="https://tools.l2.dwh.sb-sys.info/userhelp/data/komoku" TargetMode="External"/><Relationship Id="rId5" Type="http://schemas.openxmlformats.org/officeDocument/2006/relationships/hyperlink" Target="https://tools.l2.dwh.sb-sys.info/userhelp/data/komoku" TargetMode="External"/><Relationship Id="rId15" Type="http://schemas.openxmlformats.org/officeDocument/2006/relationships/hyperlink" Target="https://tools.l2.dwh.sb-sys.info/userhelp/data/komoku" TargetMode="External"/><Relationship Id="rId23" Type="http://schemas.openxmlformats.org/officeDocument/2006/relationships/hyperlink" Target="https://tools.l2.dwh.sb-sys.info/userhelp/data/komoku" TargetMode="External"/><Relationship Id="rId28" Type="http://schemas.openxmlformats.org/officeDocument/2006/relationships/hyperlink" Target="https://tools.l2.dwh.sb-sys.info/userhelp/data/komoku" TargetMode="External"/><Relationship Id="rId10" Type="http://schemas.openxmlformats.org/officeDocument/2006/relationships/hyperlink" Target="https://tools.l2.dwh.sb-sys.info/userhelp/data/komoku" TargetMode="External"/><Relationship Id="rId19" Type="http://schemas.openxmlformats.org/officeDocument/2006/relationships/hyperlink" Target="https://tools.l2.dwh.sb-sys.info/userhelp/data/komoku" TargetMode="External"/><Relationship Id="rId31" Type="http://schemas.openxmlformats.org/officeDocument/2006/relationships/hyperlink" Target="https://tools.l2.dwh.sb-sys.info/userhelp/data/komoku" TargetMode="External"/><Relationship Id="rId4" Type="http://schemas.openxmlformats.org/officeDocument/2006/relationships/hyperlink" Target="https://tools.l2.dwh.sb-sys.info/userhelp/data/komoku" TargetMode="External"/><Relationship Id="rId9" Type="http://schemas.openxmlformats.org/officeDocument/2006/relationships/hyperlink" Target="https://tools.l2.dwh.sb-sys.info/userhelp/data/komoku" TargetMode="External"/><Relationship Id="rId14" Type="http://schemas.openxmlformats.org/officeDocument/2006/relationships/hyperlink" Target="https://tools.l2.dwh.sb-sys.info/userhelp/data/komoku" TargetMode="External"/><Relationship Id="rId22" Type="http://schemas.openxmlformats.org/officeDocument/2006/relationships/hyperlink" Target="https://tools.l2.dwh.sb-sys.info/userhelp/data/komoku" TargetMode="External"/><Relationship Id="rId27" Type="http://schemas.openxmlformats.org/officeDocument/2006/relationships/hyperlink" Target="https://tools.l2.dwh.sb-sys.info/userhelp/data/komoku" TargetMode="External"/><Relationship Id="rId30" Type="http://schemas.openxmlformats.org/officeDocument/2006/relationships/hyperlink" Target="https://tools.l2.dwh.sb-sys.info/userhelp/data/komoku" TargetMode="External"/><Relationship Id="rId8" Type="http://schemas.openxmlformats.org/officeDocument/2006/relationships/hyperlink" Target="https://tools.l2.dwh.sb-sys.info/userhelp/data/komoku"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tools.l2.dwh.sb-sys.info/userhelp/data/komoku/codereference/asp/omcodereference_view.asp" TargetMode="External"/><Relationship Id="rId13" Type="http://schemas.openxmlformats.org/officeDocument/2006/relationships/hyperlink" Target="https://tools.l2.dwh.sb-sys.info/userhelp/data/komoku" TargetMode="External"/><Relationship Id="rId18" Type="http://schemas.openxmlformats.org/officeDocument/2006/relationships/printerSettings" Target="../printerSettings/printerSettings6.bin"/><Relationship Id="rId3" Type="http://schemas.openxmlformats.org/officeDocument/2006/relationships/hyperlink" Target="https://tools.l2.dwh.sb-sys.info/userhelp/data/komoku" TargetMode="External"/><Relationship Id="rId7" Type="http://schemas.openxmlformats.org/officeDocument/2006/relationships/hyperlink" Target="https://tools.l2.dwh.sb-sys.info/userhelp/data/komoku/codereference/asp/omcodereference_view.asp" TargetMode="External"/><Relationship Id="rId12" Type="http://schemas.openxmlformats.org/officeDocument/2006/relationships/hyperlink" Target="https://tools.l2.dwh.sb-sys.info/userhelp/data/komoku" TargetMode="External"/><Relationship Id="rId17" Type="http://schemas.openxmlformats.org/officeDocument/2006/relationships/hyperlink" Target="https://tools.l2.dwh.sb-sys.info/userhelp/data/komoku" TargetMode="External"/><Relationship Id="rId2" Type="http://schemas.openxmlformats.org/officeDocument/2006/relationships/hyperlink" Target="https://tools.l2.dwh.sb-sys.info/userhelp/data/komoku" TargetMode="External"/><Relationship Id="rId16" Type="http://schemas.openxmlformats.org/officeDocument/2006/relationships/hyperlink" Target="https://tools.l2.dwh.sb-sys.info/userhelp/data/komoku" TargetMode="External"/><Relationship Id="rId1" Type="http://schemas.openxmlformats.org/officeDocument/2006/relationships/hyperlink" Target="https://tools.l2.dwh.sb-sys.info/userhelp/data/komoku" TargetMode="External"/><Relationship Id="rId6" Type="http://schemas.openxmlformats.org/officeDocument/2006/relationships/hyperlink" Target="https://tools.l2.dwh.sb-sys.info/userhelp/data/komoku" TargetMode="External"/><Relationship Id="rId11" Type="http://schemas.openxmlformats.org/officeDocument/2006/relationships/hyperlink" Target="https://tools.l2.dwh.sb-sys.info/userhelp/data/komoku/codereference/asp/omcodereference_view.asp" TargetMode="External"/><Relationship Id="rId5" Type="http://schemas.openxmlformats.org/officeDocument/2006/relationships/hyperlink" Target="https://tools.l2.dwh.sb-sys.info/userhelp/data/komoku" TargetMode="External"/><Relationship Id="rId15" Type="http://schemas.openxmlformats.org/officeDocument/2006/relationships/hyperlink" Target="https://tools.l2.dwh.sb-sys.info/userhelp/data/komoku" TargetMode="External"/><Relationship Id="rId10" Type="http://schemas.openxmlformats.org/officeDocument/2006/relationships/hyperlink" Target="https://tools.l2.dwh.sb-sys.info/userhelp/data/komoku/codereference/asp/omcodereference_view.asp" TargetMode="External"/><Relationship Id="rId4" Type="http://schemas.openxmlformats.org/officeDocument/2006/relationships/hyperlink" Target="https://tools.l2.dwh.sb-sys.info/userhelp/data/komoku" TargetMode="External"/><Relationship Id="rId9" Type="http://schemas.openxmlformats.org/officeDocument/2006/relationships/hyperlink" Target="https://tools.l2.dwh.sb-sys.info/userhelp/data/komoku" TargetMode="External"/><Relationship Id="rId14" Type="http://schemas.openxmlformats.org/officeDocument/2006/relationships/hyperlink" Target="https://tools.l2.dwh.sb-sys.info/userhelp/data/komoku"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tools.l2.dwh.sb-sys.info/userhelp/data/komoku/codereference/asp/codereference_view.asp" TargetMode="External"/><Relationship Id="rId3" Type="http://schemas.openxmlformats.org/officeDocument/2006/relationships/hyperlink" Target="https://tools.l2.dwh.sb-sys.info/userhelp/data/komoku" TargetMode="External"/><Relationship Id="rId7" Type="http://schemas.openxmlformats.org/officeDocument/2006/relationships/hyperlink" Target="https://tools.l2.dwh.sb-sys.info/userhelp/data/komoku" TargetMode="External"/><Relationship Id="rId2" Type="http://schemas.openxmlformats.org/officeDocument/2006/relationships/hyperlink" Target="https://tools.l2.dwh.sb-sys.info/userhelp/data/komoku" TargetMode="External"/><Relationship Id="rId1" Type="http://schemas.openxmlformats.org/officeDocument/2006/relationships/hyperlink" Target="https://tools.l2.dwh.sb-sys.info/userhelp/data/komoku" TargetMode="External"/><Relationship Id="rId6" Type="http://schemas.openxmlformats.org/officeDocument/2006/relationships/hyperlink" Target="https://tools.l2.dwh.sb-sys.info/userhelp/data/komoku" TargetMode="External"/><Relationship Id="rId5" Type="http://schemas.openxmlformats.org/officeDocument/2006/relationships/hyperlink" Target="https://tools.l2.dwh.sb-sys.info/userhelp/data/komoku" TargetMode="External"/><Relationship Id="rId4" Type="http://schemas.openxmlformats.org/officeDocument/2006/relationships/hyperlink" Target="https://tools.l2.dwh.sb-sys.info/userhelp/data/komoku" TargetMode="External"/><Relationship Id="rId9"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8" Type="http://schemas.openxmlformats.org/officeDocument/2006/relationships/hyperlink" Target="https://tools.l2.dwh.sb-sys.info/userhelp/data/komoku" TargetMode="External"/><Relationship Id="rId13" Type="http://schemas.openxmlformats.org/officeDocument/2006/relationships/hyperlink" Target="https://tools.l2.dwh.sb-sys.info/userhelp/data/komoku" TargetMode="External"/><Relationship Id="rId3" Type="http://schemas.openxmlformats.org/officeDocument/2006/relationships/hyperlink" Target="https://tools.l2.dwh.sb-sys.info/userhelp/data/komoku" TargetMode="External"/><Relationship Id="rId7" Type="http://schemas.openxmlformats.org/officeDocument/2006/relationships/hyperlink" Target="https://tools.l2.dwh.sb-sys.info/userhelp/data/komoku" TargetMode="External"/><Relationship Id="rId12" Type="http://schemas.openxmlformats.org/officeDocument/2006/relationships/hyperlink" Target="https://tools.l2.dwh.sb-sys.info/userhelp/data/komoku" TargetMode="External"/><Relationship Id="rId2" Type="http://schemas.openxmlformats.org/officeDocument/2006/relationships/hyperlink" Target="https://tools.l2.dwh.sb-sys.info/userhelp/data/komoku/codereference/asp/codereference_view.asp" TargetMode="External"/><Relationship Id="rId1" Type="http://schemas.openxmlformats.org/officeDocument/2006/relationships/hyperlink" Target="https://tools.l2.dwh.sb-sys.info/userhelp/data/komoku" TargetMode="External"/><Relationship Id="rId6" Type="http://schemas.openxmlformats.org/officeDocument/2006/relationships/hyperlink" Target="https://tools.l2.dwh.sb-sys.info/userhelp/data/komoku" TargetMode="External"/><Relationship Id="rId11" Type="http://schemas.openxmlformats.org/officeDocument/2006/relationships/hyperlink" Target="https://tools.l2.dwh.sb-sys.info/userhelp/data/komoku" TargetMode="External"/><Relationship Id="rId5" Type="http://schemas.openxmlformats.org/officeDocument/2006/relationships/hyperlink" Target="https://tools.l2.dwh.sb-sys.info/userhelp/data/komoku/codereference/asp/omcodereference_view.asp" TargetMode="External"/><Relationship Id="rId15" Type="http://schemas.openxmlformats.org/officeDocument/2006/relationships/printerSettings" Target="../printerSettings/printerSettings8.bin"/><Relationship Id="rId10" Type="http://schemas.openxmlformats.org/officeDocument/2006/relationships/hyperlink" Target="https://tools.l2.dwh.sb-sys.info/userhelp/data/komoku" TargetMode="External"/><Relationship Id="rId4" Type="http://schemas.openxmlformats.org/officeDocument/2006/relationships/hyperlink" Target="https://tools.l2.dwh.sb-sys.info/userhelp/data/komoku" TargetMode="External"/><Relationship Id="rId9" Type="http://schemas.openxmlformats.org/officeDocument/2006/relationships/hyperlink" Target="https://tools.l2.dwh.sb-sys.info/userhelp/data/komoku" TargetMode="External"/><Relationship Id="rId14" Type="http://schemas.openxmlformats.org/officeDocument/2006/relationships/hyperlink" Target="https://tools.l2.dwh.sb-sys.info/userhelp/data/komoku/codereference/asp/codereference_view.asp"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tools.l2.dwh.sb-sys.info/userhelp/data/komoku/codereference/asp/omcodereference_view.asp" TargetMode="External"/><Relationship Id="rId18" Type="http://schemas.openxmlformats.org/officeDocument/2006/relationships/hyperlink" Target="https://tools.l2.dwh.sb-sys.info/userhelp/data/komoku/codereference/asp/omcodereference_view.asp" TargetMode="External"/><Relationship Id="rId26" Type="http://schemas.openxmlformats.org/officeDocument/2006/relationships/hyperlink" Target="https://tools.l2.dwh.sb-sys.info/userhelp/data/komoku/codereference/asp/omcodereference_view.asp" TargetMode="External"/><Relationship Id="rId21" Type="http://schemas.openxmlformats.org/officeDocument/2006/relationships/hyperlink" Target="https://tools.l2.dwh.sb-sys.info/userhelp/data/komoku" TargetMode="External"/><Relationship Id="rId34" Type="http://schemas.openxmlformats.org/officeDocument/2006/relationships/hyperlink" Target="https://tools.l2.dwh.sb-sys.info/userhelp/data/komoku" TargetMode="External"/><Relationship Id="rId7" Type="http://schemas.openxmlformats.org/officeDocument/2006/relationships/hyperlink" Target="https://tools.l2.dwh.sb-sys.info/userhelp/data/komoku" TargetMode="External"/><Relationship Id="rId12" Type="http://schemas.openxmlformats.org/officeDocument/2006/relationships/hyperlink" Target="https://tools.l2.dwh.sb-sys.info/userhelp/data/komoku/codereference/asp/omcodereference_view.asp" TargetMode="External"/><Relationship Id="rId17" Type="http://schemas.openxmlformats.org/officeDocument/2006/relationships/hyperlink" Target="https://tools.l2.dwh.sb-sys.info/userhelp/data/komoku/codereference/asp/omcodereference_view.asp" TargetMode="External"/><Relationship Id="rId25" Type="http://schemas.openxmlformats.org/officeDocument/2006/relationships/hyperlink" Target="https://tools.l2.dwh.sb-sys.info/userhelp/data/komoku" TargetMode="External"/><Relationship Id="rId33" Type="http://schemas.openxmlformats.org/officeDocument/2006/relationships/hyperlink" Target="https://tools.l2.dwh.sb-sys.info/userhelp/data/komoku" TargetMode="External"/><Relationship Id="rId2" Type="http://schemas.openxmlformats.org/officeDocument/2006/relationships/hyperlink" Target="https://tools.l2.dwh.sb-sys.info/userhelp/data/komoku" TargetMode="External"/><Relationship Id="rId16" Type="http://schemas.openxmlformats.org/officeDocument/2006/relationships/hyperlink" Target="https://tools.l2.dwh.sb-sys.info/userhelp/data/komoku" TargetMode="External"/><Relationship Id="rId20" Type="http://schemas.openxmlformats.org/officeDocument/2006/relationships/hyperlink" Target="https://tools.l2.dwh.sb-sys.info/userhelp/data/komoku" TargetMode="External"/><Relationship Id="rId29" Type="http://schemas.openxmlformats.org/officeDocument/2006/relationships/hyperlink" Target="https://tools.l2.dwh.sb-sys.info/userhelp/data/komoku" TargetMode="External"/><Relationship Id="rId1" Type="http://schemas.openxmlformats.org/officeDocument/2006/relationships/hyperlink" Target="https://tools.l2.dwh.sb-sys.info/userhelp/data/komoku" TargetMode="External"/><Relationship Id="rId6" Type="http://schemas.openxmlformats.org/officeDocument/2006/relationships/hyperlink" Target="https://tools.l2.dwh.sb-sys.info/userhelp/data/komoku" TargetMode="External"/><Relationship Id="rId11" Type="http://schemas.openxmlformats.org/officeDocument/2006/relationships/hyperlink" Target="https://tools.l2.dwh.sb-sys.info/userhelp/data/komoku/codereference/asp/omcodereference_view.asp" TargetMode="External"/><Relationship Id="rId24" Type="http://schemas.openxmlformats.org/officeDocument/2006/relationships/hyperlink" Target="https://tools.l2.dwh.sb-sys.info/userhelp/data/komoku/codereference/asp/omcodereference_view.asp" TargetMode="External"/><Relationship Id="rId32" Type="http://schemas.openxmlformats.org/officeDocument/2006/relationships/hyperlink" Target="https://tools.l2.dwh.sb-sys.info/userhelp/data/komoku/codereference/asp/omcodereference_view.asp" TargetMode="External"/><Relationship Id="rId37" Type="http://schemas.openxmlformats.org/officeDocument/2006/relationships/printerSettings" Target="../printerSettings/printerSettings9.bin"/><Relationship Id="rId5" Type="http://schemas.openxmlformats.org/officeDocument/2006/relationships/hyperlink" Target="https://tools.l2.dwh.sb-sys.info/userhelp/data/komoku" TargetMode="External"/><Relationship Id="rId15" Type="http://schemas.openxmlformats.org/officeDocument/2006/relationships/hyperlink" Target="https://tools.l2.dwh.sb-sys.info/userhelp/data/komoku" TargetMode="External"/><Relationship Id="rId23" Type="http://schemas.openxmlformats.org/officeDocument/2006/relationships/hyperlink" Target="https://tools.l2.dwh.sb-sys.info/userhelp/data/komoku" TargetMode="External"/><Relationship Id="rId28" Type="http://schemas.openxmlformats.org/officeDocument/2006/relationships/hyperlink" Target="https://tools.l2.dwh.sb-sys.info/userhelp/data/komoku/codereference/asp/omcodereference_view.asp" TargetMode="External"/><Relationship Id="rId36" Type="http://schemas.openxmlformats.org/officeDocument/2006/relationships/hyperlink" Target="https://tools.l2.dwh.sb-sys.info/userhelp/data/komoku/codereference/asp/omcodereference_view.asp" TargetMode="External"/><Relationship Id="rId10" Type="http://schemas.openxmlformats.org/officeDocument/2006/relationships/hyperlink" Target="https://tools.l2.dwh.sb-sys.info/userhelp/data/komoku" TargetMode="External"/><Relationship Id="rId19" Type="http://schemas.openxmlformats.org/officeDocument/2006/relationships/hyperlink" Target="https://tools.l2.dwh.sb-sys.info/userhelp/data/komoku" TargetMode="External"/><Relationship Id="rId31" Type="http://schemas.openxmlformats.org/officeDocument/2006/relationships/hyperlink" Target="https://tools.l2.dwh.sb-sys.info/userhelp/data/komoku" TargetMode="External"/><Relationship Id="rId4" Type="http://schemas.openxmlformats.org/officeDocument/2006/relationships/hyperlink" Target="https://tools.l2.dwh.sb-sys.info/userhelp/data/komoku" TargetMode="External"/><Relationship Id="rId9" Type="http://schemas.openxmlformats.org/officeDocument/2006/relationships/hyperlink" Target="https://tools.l2.dwh.sb-sys.info/userhelp/data/komoku" TargetMode="External"/><Relationship Id="rId14" Type="http://schemas.openxmlformats.org/officeDocument/2006/relationships/hyperlink" Target="https://tools.l2.dwh.sb-sys.info/userhelp/data/komoku/codereference/asp/omcodereference_view.asp" TargetMode="External"/><Relationship Id="rId22" Type="http://schemas.openxmlformats.org/officeDocument/2006/relationships/hyperlink" Target="https://tools.l2.dwh.sb-sys.info/userhelp/data/komoku/codereference/asp/codereference_view.asp" TargetMode="External"/><Relationship Id="rId27" Type="http://schemas.openxmlformats.org/officeDocument/2006/relationships/hyperlink" Target="https://tools.l2.dwh.sb-sys.info/userhelp/data/komoku" TargetMode="External"/><Relationship Id="rId30" Type="http://schemas.openxmlformats.org/officeDocument/2006/relationships/hyperlink" Target="https://tools.l2.dwh.sb-sys.info/userhelp/data/komoku/codereference/asp/omcodereference_view.asp" TargetMode="External"/><Relationship Id="rId35" Type="http://schemas.openxmlformats.org/officeDocument/2006/relationships/hyperlink" Target="https://tools.l2.dwh.sb-sys.info/userhelp/data/komoku" TargetMode="External"/><Relationship Id="rId8" Type="http://schemas.openxmlformats.org/officeDocument/2006/relationships/hyperlink" Target="https://tools.l2.dwh.sb-sys.info/userhelp/data/komoku" TargetMode="External"/><Relationship Id="rId3" Type="http://schemas.openxmlformats.org/officeDocument/2006/relationships/hyperlink" Target="https://tools.l2.dwh.sb-sys.info/userhelp/data/komoku"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tools.l2.dwh.sb-sys.info/userhelp/data/komoku" TargetMode="External"/><Relationship Id="rId13" Type="http://schemas.openxmlformats.org/officeDocument/2006/relationships/hyperlink" Target="https://tools.l2.dwh.sb-sys.info/userhelp/data/komoku" TargetMode="External"/><Relationship Id="rId3" Type="http://schemas.openxmlformats.org/officeDocument/2006/relationships/hyperlink" Target="https://tools.l2.dwh.sb-sys.info/userhelp/data/komoku/codereference/asp/omcodereference_view.asp" TargetMode="External"/><Relationship Id="rId7" Type="http://schemas.openxmlformats.org/officeDocument/2006/relationships/hyperlink" Target="https://tools.l2.dwh.sb-sys.info/userhelp/data/komoku" TargetMode="External"/><Relationship Id="rId12" Type="http://schemas.openxmlformats.org/officeDocument/2006/relationships/hyperlink" Target="https://tools.l2.dwh.sb-sys.info/userhelp/data/komoku" TargetMode="External"/><Relationship Id="rId17" Type="http://schemas.openxmlformats.org/officeDocument/2006/relationships/printerSettings" Target="../printerSettings/printerSettings10.bin"/><Relationship Id="rId2" Type="http://schemas.openxmlformats.org/officeDocument/2006/relationships/hyperlink" Target="https://tools.l2.dwh.sb-sys.info/userhelp/data/komoku" TargetMode="External"/><Relationship Id="rId16" Type="http://schemas.openxmlformats.org/officeDocument/2006/relationships/hyperlink" Target="https://tools.l2.dwh.sb-sys.info/userhelp/data/komoku/codereference/asp/codereference_view.asp" TargetMode="External"/><Relationship Id="rId1" Type="http://schemas.openxmlformats.org/officeDocument/2006/relationships/hyperlink" Target="https://tools.l2.dwh.sb-sys.info/userhelp/data/komoku/codereference/asp/codereference_view.asp" TargetMode="External"/><Relationship Id="rId6" Type="http://schemas.openxmlformats.org/officeDocument/2006/relationships/hyperlink" Target="https://tools.l2.dwh.sb-sys.info/userhelp/data/komoku" TargetMode="External"/><Relationship Id="rId11" Type="http://schemas.openxmlformats.org/officeDocument/2006/relationships/hyperlink" Target="https://tools.l2.dwh.sb-sys.info/userhelp/data/komoku" TargetMode="External"/><Relationship Id="rId5" Type="http://schemas.openxmlformats.org/officeDocument/2006/relationships/hyperlink" Target="https://tools.l2.dwh.sb-sys.info/userhelp/data/komoku" TargetMode="External"/><Relationship Id="rId15" Type="http://schemas.openxmlformats.org/officeDocument/2006/relationships/hyperlink" Target="https://tools.l2.dwh.sb-sys.info/userhelp/data/komoku" TargetMode="External"/><Relationship Id="rId10" Type="http://schemas.openxmlformats.org/officeDocument/2006/relationships/hyperlink" Target="https://tools.l2.dwh.sb-sys.info/userhelp/data/komoku" TargetMode="External"/><Relationship Id="rId4" Type="http://schemas.openxmlformats.org/officeDocument/2006/relationships/hyperlink" Target="https://tools.l2.dwh.sb-sys.info/userhelp/data/komoku" TargetMode="External"/><Relationship Id="rId9" Type="http://schemas.openxmlformats.org/officeDocument/2006/relationships/hyperlink" Target="https://tools.l2.dwh.sb-sys.info/userhelp/data/komoku" TargetMode="External"/><Relationship Id="rId14" Type="http://schemas.openxmlformats.org/officeDocument/2006/relationships/hyperlink" Target="https://tools.l2.dwh.sb-sys.info/userhelp/data/komoku"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tools.l2.dwh.sb-sys.info/userhelp/data/komoku" TargetMode="External"/><Relationship Id="rId13" Type="http://schemas.openxmlformats.org/officeDocument/2006/relationships/hyperlink" Target="https://tools.l2.dwh.sb-sys.info/userhelp/data/komoku" TargetMode="External"/><Relationship Id="rId18" Type="http://schemas.openxmlformats.org/officeDocument/2006/relationships/hyperlink" Target="https://tools.l2.dwh.sb-sys.info/userhelp/data/komoku" TargetMode="External"/><Relationship Id="rId3" Type="http://schemas.openxmlformats.org/officeDocument/2006/relationships/hyperlink" Target="https://tools.l2.dwh.sb-sys.info/userhelp/data/komoku" TargetMode="External"/><Relationship Id="rId21" Type="http://schemas.openxmlformats.org/officeDocument/2006/relationships/printerSettings" Target="../printerSettings/printerSettings11.bin"/><Relationship Id="rId7" Type="http://schemas.openxmlformats.org/officeDocument/2006/relationships/hyperlink" Target="https://tools.l2.dwh.sb-sys.info/userhelp/data/komoku" TargetMode="External"/><Relationship Id="rId12" Type="http://schemas.openxmlformats.org/officeDocument/2006/relationships/hyperlink" Target="https://tools.l2.dwh.sb-sys.info/userhelp/data/komoku" TargetMode="External"/><Relationship Id="rId17" Type="http://schemas.openxmlformats.org/officeDocument/2006/relationships/hyperlink" Target="https://tools.l2.dwh.sb-sys.info/userhelp/data/komoku/codereference/asp/codereference_view.asp" TargetMode="External"/><Relationship Id="rId2" Type="http://schemas.openxmlformats.org/officeDocument/2006/relationships/hyperlink" Target="https://tools.l2.dwh.sb-sys.info/userhelp/data/komoku" TargetMode="External"/><Relationship Id="rId16" Type="http://schemas.openxmlformats.org/officeDocument/2006/relationships/hyperlink" Target="https://tools.l2.dwh.sb-sys.info/userhelp/data/komoku" TargetMode="External"/><Relationship Id="rId20" Type="http://schemas.openxmlformats.org/officeDocument/2006/relationships/hyperlink" Target="https://tools.l2.dwh.sb-sys.info/userhelp/data/komoku" TargetMode="External"/><Relationship Id="rId1" Type="http://schemas.openxmlformats.org/officeDocument/2006/relationships/hyperlink" Target="https://tools.l2.dwh.sb-sys.info/userhelp/data/komoku/codereference/asp/omcodereference_view.asp" TargetMode="External"/><Relationship Id="rId6" Type="http://schemas.openxmlformats.org/officeDocument/2006/relationships/hyperlink" Target="https://tools.l2.dwh.sb-sys.info/userhelp/data/komoku" TargetMode="External"/><Relationship Id="rId11" Type="http://schemas.openxmlformats.org/officeDocument/2006/relationships/hyperlink" Target="https://tools.l2.dwh.sb-sys.info/userhelp/data/komoku" TargetMode="External"/><Relationship Id="rId5" Type="http://schemas.openxmlformats.org/officeDocument/2006/relationships/hyperlink" Target="https://tools.l2.dwh.sb-sys.info/userhelp/data/komoku" TargetMode="External"/><Relationship Id="rId15" Type="http://schemas.openxmlformats.org/officeDocument/2006/relationships/hyperlink" Target="https://tools.l2.dwh.sb-sys.info/userhelp/data/komoku" TargetMode="External"/><Relationship Id="rId10" Type="http://schemas.openxmlformats.org/officeDocument/2006/relationships/hyperlink" Target="https://tools.l2.dwh.sb-sys.info/userhelp/data/komoku" TargetMode="External"/><Relationship Id="rId19" Type="http://schemas.openxmlformats.org/officeDocument/2006/relationships/hyperlink" Target="https://tools.l2.dwh.sb-sys.info/userhelp/data/komoku/codereference/asp/codereference_view.asp" TargetMode="External"/><Relationship Id="rId4" Type="http://schemas.openxmlformats.org/officeDocument/2006/relationships/hyperlink" Target="https://tools.l2.dwh.sb-sys.info/userhelp/data/komoku/codereference/asp/omcodereference_view.asp" TargetMode="External"/><Relationship Id="rId9" Type="http://schemas.openxmlformats.org/officeDocument/2006/relationships/hyperlink" Target="https://tools.l2.dwh.sb-sys.info/userhelp/data/komoku" TargetMode="External"/><Relationship Id="rId14" Type="http://schemas.openxmlformats.org/officeDocument/2006/relationships/hyperlink" Target="https://tools.l2.dwh.sb-sys.info/userhelp/data/komoku"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tools.l2.dwh.sb-sys.info/userhelp/data/komoku" TargetMode="External"/><Relationship Id="rId21" Type="http://schemas.openxmlformats.org/officeDocument/2006/relationships/hyperlink" Target="https://tools.l2.dwh.sb-sys.info/userhelp/data/komoku" TargetMode="External"/><Relationship Id="rId42" Type="http://schemas.openxmlformats.org/officeDocument/2006/relationships/hyperlink" Target="https://tools.l2.dwh.sb-sys.info/userhelp/data/komoku" TargetMode="External"/><Relationship Id="rId63" Type="http://schemas.openxmlformats.org/officeDocument/2006/relationships/hyperlink" Target="https://tools.l2.dwh.sb-sys.info/userhelp/data/komoku" TargetMode="External"/><Relationship Id="rId84" Type="http://schemas.openxmlformats.org/officeDocument/2006/relationships/hyperlink" Target="https://tools.l2.dwh.sb-sys.info/userhelp/data/komoku" TargetMode="External"/><Relationship Id="rId138" Type="http://schemas.openxmlformats.org/officeDocument/2006/relationships/hyperlink" Target="https://tools.l2.dwh.sb-sys.info/userhelp/data/komoku" TargetMode="External"/><Relationship Id="rId159" Type="http://schemas.openxmlformats.org/officeDocument/2006/relationships/hyperlink" Target="https://tools.l2.dwh.sb-sys.info/userhelp/data/komoku" TargetMode="External"/><Relationship Id="rId170" Type="http://schemas.openxmlformats.org/officeDocument/2006/relationships/hyperlink" Target="https://tools.l2.dwh.sb-sys.info/userhelp/data/komoku" TargetMode="External"/><Relationship Id="rId107" Type="http://schemas.openxmlformats.org/officeDocument/2006/relationships/hyperlink" Target="https://tools.l2.dwh.sb-sys.info/userhelp/data/komoku" TargetMode="External"/><Relationship Id="rId11" Type="http://schemas.openxmlformats.org/officeDocument/2006/relationships/hyperlink" Target="https://tools.l2.dwh.sb-sys.info/userhelp/data/komoku" TargetMode="External"/><Relationship Id="rId32" Type="http://schemas.openxmlformats.org/officeDocument/2006/relationships/hyperlink" Target="https://tools.l2.dwh.sb-sys.info/userhelp/data/komoku" TargetMode="External"/><Relationship Id="rId53" Type="http://schemas.openxmlformats.org/officeDocument/2006/relationships/hyperlink" Target="https://tools.l2.dwh.sb-sys.info/userhelp/data/komoku" TargetMode="External"/><Relationship Id="rId74" Type="http://schemas.openxmlformats.org/officeDocument/2006/relationships/hyperlink" Target="https://tools.l2.dwh.sb-sys.info/userhelp/data/komoku" TargetMode="External"/><Relationship Id="rId128" Type="http://schemas.openxmlformats.org/officeDocument/2006/relationships/hyperlink" Target="https://tools.l2.dwh.sb-sys.info/userhelp/data/komoku" TargetMode="External"/><Relationship Id="rId149" Type="http://schemas.openxmlformats.org/officeDocument/2006/relationships/hyperlink" Target="https://tools.l2.dwh.sb-sys.info/userhelp/data/komoku" TargetMode="External"/><Relationship Id="rId5" Type="http://schemas.openxmlformats.org/officeDocument/2006/relationships/hyperlink" Target="https://tools.l2.dwh.sb-sys.info/userhelp/data/komoku" TargetMode="External"/><Relationship Id="rId95" Type="http://schemas.openxmlformats.org/officeDocument/2006/relationships/hyperlink" Target="https://tools.l2.dwh.sb-sys.info/userhelp/data/komoku" TargetMode="External"/><Relationship Id="rId160" Type="http://schemas.openxmlformats.org/officeDocument/2006/relationships/hyperlink" Target="https://tools.l2.dwh.sb-sys.info/userhelp/data/komoku" TargetMode="External"/><Relationship Id="rId22" Type="http://schemas.openxmlformats.org/officeDocument/2006/relationships/hyperlink" Target="https://tools.l2.dwh.sb-sys.info/userhelp/data/komoku" TargetMode="External"/><Relationship Id="rId43" Type="http://schemas.openxmlformats.org/officeDocument/2006/relationships/hyperlink" Target="https://tools.l2.dwh.sb-sys.info/userhelp/data/komoku" TargetMode="External"/><Relationship Id="rId64" Type="http://schemas.openxmlformats.org/officeDocument/2006/relationships/hyperlink" Target="https://tools.l2.dwh.sb-sys.info/userhelp/data/komoku" TargetMode="External"/><Relationship Id="rId118" Type="http://schemas.openxmlformats.org/officeDocument/2006/relationships/hyperlink" Target="https://tools.l2.dwh.sb-sys.info/userhelp/data/komoku" TargetMode="External"/><Relationship Id="rId139" Type="http://schemas.openxmlformats.org/officeDocument/2006/relationships/hyperlink" Target="https://tools.l2.dwh.sb-sys.info/userhelp/data/komoku" TargetMode="External"/><Relationship Id="rId85" Type="http://schemas.openxmlformats.org/officeDocument/2006/relationships/hyperlink" Target="https://tools.l2.dwh.sb-sys.info/userhelp/data/komoku" TargetMode="External"/><Relationship Id="rId150" Type="http://schemas.openxmlformats.org/officeDocument/2006/relationships/hyperlink" Target="https://tools.l2.dwh.sb-sys.info/userhelp/data/komoku" TargetMode="External"/><Relationship Id="rId171" Type="http://schemas.openxmlformats.org/officeDocument/2006/relationships/hyperlink" Target="https://tools.l2.dwh.sb-sys.info/userhelp/data/komoku" TargetMode="External"/><Relationship Id="rId12" Type="http://schemas.openxmlformats.org/officeDocument/2006/relationships/hyperlink" Target="https://tools.l2.dwh.sb-sys.info/userhelp/data/komoku" TargetMode="External"/><Relationship Id="rId33" Type="http://schemas.openxmlformats.org/officeDocument/2006/relationships/hyperlink" Target="https://tools.l2.dwh.sb-sys.info/userhelp/data/komoku" TargetMode="External"/><Relationship Id="rId108" Type="http://schemas.openxmlformats.org/officeDocument/2006/relationships/hyperlink" Target="https://tools.l2.dwh.sb-sys.info/userhelp/data/komoku" TargetMode="External"/><Relationship Id="rId129" Type="http://schemas.openxmlformats.org/officeDocument/2006/relationships/hyperlink" Target="https://tools.l2.dwh.sb-sys.info/userhelp/data/komoku" TargetMode="External"/><Relationship Id="rId54" Type="http://schemas.openxmlformats.org/officeDocument/2006/relationships/hyperlink" Target="https://tools.l2.dwh.sb-sys.info/userhelp/data/komoku" TargetMode="External"/><Relationship Id="rId75" Type="http://schemas.openxmlformats.org/officeDocument/2006/relationships/hyperlink" Target="https://tools.l2.dwh.sb-sys.info/userhelp/data/komoku" TargetMode="External"/><Relationship Id="rId96" Type="http://schemas.openxmlformats.org/officeDocument/2006/relationships/hyperlink" Target="https://tools.l2.dwh.sb-sys.info/userhelp/data/komoku" TargetMode="External"/><Relationship Id="rId140" Type="http://schemas.openxmlformats.org/officeDocument/2006/relationships/hyperlink" Target="https://tools.l2.dwh.sb-sys.info/userhelp/data/komoku" TargetMode="External"/><Relationship Id="rId161" Type="http://schemas.openxmlformats.org/officeDocument/2006/relationships/hyperlink" Target="https://tools.l2.dwh.sb-sys.info/userhelp/data/komoku" TargetMode="External"/><Relationship Id="rId6" Type="http://schemas.openxmlformats.org/officeDocument/2006/relationships/hyperlink" Target="https://tools.l2.dwh.sb-sys.info/userhelp/data/komoku" TargetMode="External"/><Relationship Id="rId23" Type="http://schemas.openxmlformats.org/officeDocument/2006/relationships/hyperlink" Target="https://tools.l2.dwh.sb-sys.info/userhelp/data/komoku" TargetMode="External"/><Relationship Id="rId28" Type="http://schemas.openxmlformats.org/officeDocument/2006/relationships/hyperlink" Target="https://tools.l2.dwh.sb-sys.info/userhelp/data/komoku" TargetMode="External"/><Relationship Id="rId49" Type="http://schemas.openxmlformats.org/officeDocument/2006/relationships/hyperlink" Target="https://tools.l2.dwh.sb-sys.info/userhelp/data/komoku" TargetMode="External"/><Relationship Id="rId114" Type="http://schemas.openxmlformats.org/officeDocument/2006/relationships/hyperlink" Target="https://tools.l2.dwh.sb-sys.info/userhelp/data/komoku" TargetMode="External"/><Relationship Id="rId119" Type="http://schemas.openxmlformats.org/officeDocument/2006/relationships/hyperlink" Target="https://tools.l2.dwh.sb-sys.info/userhelp/data/komoku" TargetMode="External"/><Relationship Id="rId44" Type="http://schemas.openxmlformats.org/officeDocument/2006/relationships/hyperlink" Target="https://tools.l2.dwh.sb-sys.info/userhelp/data/komoku" TargetMode="External"/><Relationship Id="rId60" Type="http://schemas.openxmlformats.org/officeDocument/2006/relationships/hyperlink" Target="https://tools.l2.dwh.sb-sys.info/userhelp/data/komoku" TargetMode="External"/><Relationship Id="rId65" Type="http://schemas.openxmlformats.org/officeDocument/2006/relationships/hyperlink" Target="https://tools.l2.dwh.sb-sys.info/userhelp/data/komoku" TargetMode="External"/><Relationship Id="rId81" Type="http://schemas.openxmlformats.org/officeDocument/2006/relationships/hyperlink" Target="https://tools.l2.dwh.sb-sys.info/userhelp/data/komoku" TargetMode="External"/><Relationship Id="rId86" Type="http://schemas.openxmlformats.org/officeDocument/2006/relationships/hyperlink" Target="https://tools.l2.dwh.sb-sys.info/userhelp/data/komoku" TargetMode="External"/><Relationship Id="rId130" Type="http://schemas.openxmlformats.org/officeDocument/2006/relationships/hyperlink" Target="https://tools.l2.dwh.sb-sys.info/userhelp/data/komoku" TargetMode="External"/><Relationship Id="rId135" Type="http://schemas.openxmlformats.org/officeDocument/2006/relationships/hyperlink" Target="https://tools.l2.dwh.sb-sys.info/userhelp/data/komoku" TargetMode="External"/><Relationship Id="rId151" Type="http://schemas.openxmlformats.org/officeDocument/2006/relationships/hyperlink" Target="https://tools.l2.dwh.sb-sys.info/userhelp/data/komoku" TargetMode="External"/><Relationship Id="rId156" Type="http://schemas.openxmlformats.org/officeDocument/2006/relationships/hyperlink" Target="https://tools.l2.dwh.sb-sys.info/userhelp/data/komoku" TargetMode="External"/><Relationship Id="rId177" Type="http://schemas.openxmlformats.org/officeDocument/2006/relationships/hyperlink" Target="https://tools.l2.dwh.sb-sys.info/userhelp/data/komoku" TargetMode="External"/><Relationship Id="rId172" Type="http://schemas.openxmlformats.org/officeDocument/2006/relationships/hyperlink" Target="https://tools.l2.dwh.sb-sys.info/userhelp/data/komoku" TargetMode="External"/><Relationship Id="rId13" Type="http://schemas.openxmlformats.org/officeDocument/2006/relationships/hyperlink" Target="https://tools.l2.dwh.sb-sys.info/userhelp/data/komoku" TargetMode="External"/><Relationship Id="rId18" Type="http://schemas.openxmlformats.org/officeDocument/2006/relationships/hyperlink" Target="https://tools.l2.dwh.sb-sys.info/userhelp/data/komoku" TargetMode="External"/><Relationship Id="rId39" Type="http://schemas.openxmlformats.org/officeDocument/2006/relationships/hyperlink" Target="https://tools.l2.dwh.sb-sys.info/userhelp/data/komoku" TargetMode="External"/><Relationship Id="rId109" Type="http://schemas.openxmlformats.org/officeDocument/2006/relationships/hyperlink" Target="https://tools.l2.dwh.sb-sys.info/userhelp/data/komoku" TargetMode="External"/><Relationship Id="rId34" Type="http://schemas.openxmlformats.org/officeDocument/2006/relationships/hyperlink" Target="https://tools.l2.dwh.sb-sys.info/userhelp/data/komoku" TargetMode="External"/><Relationship Id="rId50" Type="http://schemas.openxmlformats.org/officeDocument/2006/relationships/hyperlink" Target="https://tools.l2.dwh.sb-sys.info/userhelp/data/komoku" TargetMode="External"/><Relationship Id="rId55" Type="http://schemas.openxmlformats.org/officeDocument/2006/relationships/hyperlink" Target="https://tools.l2.dwh.sb-sys.info/userhelp/data/komoku" TargetMode="External"/><Relationship Id="rId76" Type="http://schemas.openxmlformats.org/officeDocument/2006/relationships/hyperlink" Target="https://tools.l2.dwh.sb-sys.info/userhelp/data/komoku" TargetMode="External"/><Relationship Id="rId97" Type="http://schemas.openxmlformats.org/officeDocument/2006/relationships/hyperlink" Target="https://tools.l2.dwh.sb-sys.info/userhelp/data/komoku" TargetMode="External"/><Relationship Id="rId104" Type="http://schemas.openxmlformats.org/officeDocument/2006/relationships/hyperlink" Target="https://tools.l2.dwh.sb-sys.info/userhelp/data/komoku" TargetMode="External"/><Relationship Id="rId120" Type="http://schemas.openxmlformats.org/officeDocument/2006/relationships/hyperlink" Target="https://tools.l2.dwh.sb-sys.info/userhelp/data/komoku" TargetMode="External"/><Relationship Id="rId125" Type="http://schemas.openxmlformats.org/officeDocument/2006/relationships/hyperlink" Target="https://tools.l2.dwh.sb-sys.info/userhelp/data/komoku" TargetMode="External"/><Relationship Id="rId141" Type="http://schemas.openxmlformats.org/officeDocument/2006/relationships/hyperlink" Target="https://tools.l2.dwh.sb-sys.info/userhelp/data/komoku" TargetMode="External"/><Relationship Id="rId146" Type="http://schemas.openxmlformats.org/officeDocument/2006/relationships/hyperlink" Target="https://tools.l2.dwh.sb-sys.info/userhelp/data/komoku" TargetMode="External"/><Relationship Id="rId167" Type="http://schemas.openxmlformats.org/officeDocument/2006/relationships/hyperlink" Target="https://tools.l2.dwh.sb-sys.info/userhelp/data/komoku" TargetMode="External"/><Relationship Id="rId7" Type="http://schemas.openxmlformats.org/officeDocument/2006/relationships/hyperlink" Target="https://tools.l2.dwh.sb-sys.info/userhelp/data/komoku" TargetMode="External"/><Relationship Id="rId71" Type="http://schemas.openxmlformats.org/officeDocument/2006/relationships/hyperlink" Target="https://tools.l2.dwh.sb-sys.info/userhelp/data/komoku" TargetMode="External"/><Relationship Id="rId92" Type="http://schemas.openxmlformats.org/officeDocument/2006/relationships/hyperlink" Target="https://tools.l2.dwh.sb-sys.info/userhelp/data/komoku" TargetMode="External"/><Relationship Id="rId162" Type="http://schemas.openxmlformats.org/officeDocument/2006/relationships/hyperlink" Target="https://tools.l2.dwh.sb-sys.info/userhelp/data/komoku" TargetMode="External"/><Relationship Id="rId2" Type="http://schemas.openxmlformats.org/officeDocument/2006/relationships/hyperlink" Target="https://tools.l2.dwh.sb-sys.info/userhelp/data/komoku" TargetMode="External"/><Relationship Id="rId29" Type="http://schemas.openxmlformats.org/officeDocument/2006/relationships/hyperlink" Target="https://tools.l2.dwh.sb-sys.info/userhelp/data/komoku" TargetMode="External"/><Relationship Id="rId24" Type="http://schemas.openxmlformats.org/officeDocument/2006/relationships/hyperlink" Target="https://tools.l2.dwh.sb-sys.info/userhelp/data/komoku" TargetMode="External"/><Relationship Id="rId40" Type="http://schemas.openxmlformats.org/officeDocument/2006/relationships/hyperlink" Target="https://tools.l2.dwh.sb-sys.info/userhelp/data/komoku" TargetMode="External"/><Relationship Id="rId45" Type="http://schemas.openxmlformats.org/officeDocument/2006/relationships/hyperlink" Target="https://tools.l2.dwh.sb-sys.info/userhelp/data/komoku" TargetMode="External"/><Relationship Id="rId66" Type="http://schemas.openxmlformats.org/officeDocument/2006/relationships/hyperlink" Target="https://tools.l2.dwh.sb-sys.info/userhelp/data/komoku" TargetMode="External"/><Relationship Id="rId87" Type="http://schemas.openxmlformats.org/officeDocument/2006/relationships/hyperlink" Target="https://tools.l2.dwh.sb-sys.info/userhelp/data/komoku" TargetMode="External"/><Relationship Id="rId110" Type="http://schemas.openxmlformats.org/officeDocument/2006/relationships/hyperlink" Target="https://tools.l2.dwh.sb-sys.info/userhelp/data/komoku" TargetMode="External"/><Relationship Id="rId115" Type="http://schemas.openxmlformats.org/officeDocument/2006/relationships/hyperlink" Target="https://tools.l2.dwh.sb-sys.info/userhelp/data/komoku" TargetMode="External"/><Relationship Id="rId131" Type="http://schemas.openxmlformats.org/officeDocument/2006/relationships/hyperlink" Target="https://tools.l2.dwh.sb-sys.info/userhelp/data/komoku" TargetMode="External"/><Relationship Id="rId136" Type="http://schemas.openxmlformats.org/officeDocument/2006/relationships/hyperlink" Target="https://tools.l2.dwh.sb-sys.info/userhelp/data/komoku" TargetMode="External"/><Relationship Id="rId157" Type="http://schemas.openxmlformats.org/officeDocument/2006/relationships/hyperlink" Target="https://tools.l2.dwh.sb-sys.info/userhelp/data/komoku" TargetMode="External"/><Relationship Id="rId178" Type="http://schemas.openxmlformats.org/officeDocument/2006/relationships/hyperlink" Target="https://tools.l2.dwh.sb-sys.info/userhelp/data/komoku" TargetMode="External"/><Relationship Id="rId61" Type="http://schemas.openxmlformats.org/officeDocument/2006/relationships/hyperlink" Target="https://tools.l2.dwh.sb-sys.info/userhelp/data/komoku" TargetMode="External"/><Relationship Id="rId82" Type="http://schemas.openxmlformats.org/officeDocument/2006/relationships/hyperlink" Target="https://tools.l2.dwh.sb-sys.info/userhelp/data/komoku" TargetMode="External"/><Relationship Id="rId152" Type="http://schemas.openxmlformats.org/officeDocument/2006/relationships/hyperlink" Target="https://tools.l2.dwh.sb-sys.info/userhelp/data/komoku" TargetMode="External"/><Relationship Id="rId173" Type="http://schemas.openxmlformats.org/officeDocument/2006/relationships/hyperlink" Target="https://tools.l2.dwh.sb-sys.info/userhelp/data/komoku" TargetMode="External"/><Relationship Id="rId19" Type="http://schemas.openxmlformats.org/officeDocument/2006/relationships/hyperlink" Target="https://tools.l2.dwh.sb-sys.info/userhelp/data/komoku" TargetMode="External"/><Relationship Id="rId14" Type="http://schemas.openxmlformats.org/officeDocument/2006/relationships/hyperlink" Target="https://tools.l2.dwh.sb-sys.info/userhelp/data/komoku" TargetMode="External"/><Relationship Id="rId30" Type="http://schemas.openxmlformats.org/officeDocument/2006/relationships/hyperlink" Target="https://tools.l2.dwh.sb-sys.info/userhelp/data/komoku" TargetMode="External"/><Relationship Id="rId35" Type="http://schemas.openxmlformats.org/officeDocument/2006/relationships/hyperlink" Target="https://tools.l2.dwh.sb-sys.info/userhelp/data/komoku" TargetMode="External"/><Relationship Id="rId56" Type="http://schemas.openxmlformats.org/officeDocument/2006/relationships/hyperlink" Target="https://tools.l2.dwh.sb-sys.info/userhelp/data/komoku" TargetMode="External"/><Relationship Id="rId77" Type="http://schemas.openxmlformats.org/officeDocument/2006/relationships/hyperlink" Target="https://tools.l2.dwh.sb-sys.info/userhelp/data/komoku" TargetMode="External"/><Relationship Id="rId100" Type="http://schemas.openxmlformats.org/officeDocument/2006/relationships/hyperlink" Target="https://tools.l2.dwh.sb-sys.info/userhelp/data/komoku" TargetMode="External"/><Relationship Id="rId105" Type="http://schemas.openxmlformats.org/officeDocument/2006/relationships/hyperlink" Target="https://tools.l2.dwh.sb-sys.info/userhelp/data/komoku" TargetMode="External"/><Relationship Id="rId126" Type="http://schemas.openxmlformats.org/officeDocument/2006/relationships/hyperlink" Target="https://tools.l2.dwh.sb-sys.info/userhelp/data/komoku" TargetMode="External"/><Relationship Id="rId147" Type="http://schemas.openxmlformats.org/officeDocument/2006/relationships/hyperlink" Target="https://tools.l2.dwh.sb-sys.info/userhelp/data/komoku" TargetMode="External"/><Relationship Id="rId168" Type="http://schemas.openxmlformats.org/officeDocument/2006/relationships/hyperlink" Target="https://tools.l2.dwh.sb-sys.info/userhelp/data/komoku" TargetMode="External"/><Relationship Id="rId8" Type="http://schemas.openxmlformats.org/officeDocument/2006/relationships/hyperlink" Target="https://tools.l2.dwh.sb-sys.info/userhelp/data/komoku" TargetMode="External"/><Relationship Id="rId51" Type="http://schemas.openxmlformats.org/officeDocument/2006/relationships/hyperlink" Target="https://tools.l2.dwh.sb-sys.info/userhelp/data/komoku" TargetMode="External"/><Relationship Id="rId72" Type="http://schemas.openxmlformats.org/officeDocument/2006/relationships/hyperlink" Target="https://tools.l2.dwh.sb-sys.info/userhelp/data/komoku" TargetMode="External"/><Relationship Id="rId93" Type="http://schemas.openxmlformats.org/officeDocument/2006/relationships/hyperlink" Target="https://tools.l2.dwh.sb-sys.info/userhelp/data/komoku" TargetMode="External"/><Relationship Id="rId98" Type="http://schemas.openxmlformats.org/officeDocument/2006/relationships/hyperlink" Target="https://tools.l2.dwh.sb-sys.info/userhelp/data/komoku" TargetMode="External"/><Relationship Id="rId121" Type="http://schemas.openxmlformats.org/officeDocument/2006/relationships/hyperlink" Target="https://tools.l2.dwh.sb-sys.info/userhelp/data/komoku" TargetMode="External"/><Relationship Id="rId142" Type="http://schemas.openxmlformats.org/officeDocument/2006/relationships/hyperlink" Target="https://tools.l2.dwh.sb-sys.info/userhelp/data/komoku" TargetMode="External"/><Relationship Id="rId163" Type="http://schemas.openxmlformats.org/officeDocument/2006/relationships/hyperlink" Target="https://tools.l2.dwh.sb-sys.info/userhelp/data/komoku" TargetMode="External"/><Relationship Id="rId3" Type="http://schemas.openxmlformats.org/officeDocument/2006/relationships/hyperlink" Target="https://tools.l2.dwh.sb-sys.info/userhelp/data/komoku" TargetMode="External"/><Relationship Id="rId25" Type="http://schemas.openxmlformats.org/officeDocument/2006/relationships/hyperlink" Target="https://tools.l2.dwh.sb-sys.info/userhelp/data/komoku" TargetMode="External"/><Relationship Id="rId46" Type="http://schemas.openxmlformats.org/officeDocument/2006/relationships/hyperlink" Target="https://tools.l2.dwh.sb-sys.info/userhelp/data/komoku" TargetMode="External"/><Relationship Id="rId67" Type="http://schemas.openxmlformats.org/officeDocument/2006/relationships/hyperlink" Target="https://tools.l2.dwh.sb-sys.info/userhelp/data/komoku" TargetMode="External"/><Relationship Id="rId116" Type="http://schemas.openxmlformats.org/officeDocument/2006/relationships/hyperlink" Target="https://tools.l2.dwh.sb-sys.info/userhelp/data/komoku" TargetMode="External"/><Relationship Id="rId137" Type="http://schemas.openxmlformats.org/officeDocument/2006/relationships/hyperlink" Target="https://tools.l2.dwh.sb-sys.info/userhelp/data/komoku" TargetMode="External"/><Relationship Id="rId158" Type="http://schemas.openxmlformats.org/officeDocument/2006/relationships/hyperlink" Target="https://tools.l2.dwh.sb-sys.info/userhelp/data/komoku" TargetMode="External"/><Relationship Id="rId20" Type="http://schemas.openxmlformats.org/officeDocument/2006/relationships/hyperlink" Target="https://tools.l2.dwh.sb-sys.info/userhelp/data/komoku" TargetMode="External"/><Relationship Id="rId41" Type="http://schemas.openxmlformats.org/officeDocument/2006/relationships/hyperlink" Target="https://tools.l2.dwh.sb-sys.info/userhelp/data/komoku" TargetMode="External"/><Relationship Id="rId62" Type="http://schemas.openxmlformats.org/officeDocument/2006/relationships/hyperlink" Target="https://tools.l2.dwh.sb-sys.info/userhelp/data/komoku" TargetMode="External"/><Relationship Id="rId83" Type="http://schemas.openxmlformats.org/officeDocument/2006/relationships/hyperlink" Target="https://tools.l2.dwh.sb-sys.info/userhelp/data/komoku" TargetMode="External"/><Relationship Id="rId88" Type="http://schemas.openxmlformats.org/officeDocument/2006/relationships/hyperlink" Target="https://tools.l2.dwh.sb-sys.info/userhelp/data/komoku" TargetMode="External"/><Relationship Id="rId111" Type="http://schemas.openxmlformats.org/officeDocument/2006/relationships/hyperlink" Target="https://tools.l2.dwh.sb-sys.info/userhelp/data/komoku" TargetMode="External"/><Relationship Id="rId132" Type="http://schemas.openxmlformats.org/officeDocument/2006/relationships/hyperlink" Target="https://tools.l2.dwh.sb-sys.info/userhelp/data/komoku" TargetMode="External"/><Relationship Id="rId153" Type="http://schemas.openxmlformats.org/officeDocument/2006/relationships/hyperlink" Target="https://tools.l2.dwh.sb-sys.info/userhelp/data/komoku" TargetMode="External"/><Relationship Id="rId174" Type="http://schemas.openxmlformats.org/officeDocument/2006/relationships/hyperlink" Target="https://tools.l2.dwh.sb-sys.info/userhelp/data/komoku" TargetMode="External"/><Relationship Id="rId179" Type="http://schemas.openxmlformats.org/officeDocument/2006/relationships/hyperlink" Target="https://tools.l2.dwh.sb-sys.info/userhelp/data/komoku" TargetMode="External"/><Relationship Id="rId15" Type="http://schemas.openxmlformats.org/officeDocument/2006/relationships/hyperlink" Target="https://tools.l2.dwh.sb-sys.info/userhelp/data/komoku" TargetMode="External"/><Relationship Id="rId36" Type="http://schemas.openxmlformats.org/officeDocument/2006/relationships/hyperlink" Target="https://tools.l2.dwh.sb-sys.info/userhelp/data/komoku" TargetMode="External"/><Relationship Id="rId57" Type="http://schemas.openxmlformats.org/officeDocument/2006/relationships/hyperlink" Target="https://tools.l2.dwh.sb-sys.info/userhelp/data/komoku" TargetMode="External"/><Relationship Id="rId106" Type="http://schemas.openxmlformats.org/officeDocument/2006/relationships/hyperlink" Target="https://tools.l2.dwh.sb-sys.info/userhelp/data/komoku" TargetMode="External"/><Relationship Id="rId127" Type="http://schemas.openxmlformats.org/officeDocument/2006/relationships/hyperlink" Target="https://tools.l2.dwh.sb-sys.info/userhelp/data/komoku" TargetMode="External"/><Relationship Id="rId10" Type="http://schemas.openxmlformats.org/officeDocument/2006/relationships/hyperlink" Target="https://tools.l2.dwh.sb-sys.info/userhelp/data/komoku" TargetMode="External"/><Relationship Id="rId31" Type="http://schemas.openxmlformats.org/officeDocument/2006/relationships/hyperlink" Target="https://tools.l2.dwh.sb-sys.info/userhelp/data/komoku" TargetMode="External"/><Relationship Id="rId52" Type="http://schemas.openxmlformats.org/officeDocument/2006/relationships/hyperlink" Target="https://tools.l2.dwh.sb-sys.info/userhelp/data/komoku" TargetMode="External"/><Relationship Id="rId73" Type="http://schemas.openxmlformats.org/officeDocument/2006/relationships/hyperlink" Target="https://tools.l2.dwh.sb-sys.info/userhelp/data/komoku" TargetMode="External"/><Relationship Id="rId78" Type="http://schemas.openxmlformats.org/officeDocument/2006/relationships/hyperlink" Target="https://tools.l2.dwh.sb-sys.info/userhelp/data/komoku" TargetMode="External"/><Relationship Id="rId94" Type="http://schemas.openxmlformats.org/officeDocument/2006/relationships/hyperlink" Target="https://tools.l2.dwh.sb-sys.info/userhelp/data/komoku" TargetMode="External"/><Relationship Id="rId99" Type="http://schemas.openxmlformats.org/officeDocument/2006/relationships/hyperlink" Target="https://tools.l2.dwh.sb-sys.info/userhelp/data/komoku" TargetMode="External"/><Relationship Id="rId101" Type="http://schemas.openxmlformats.org/officeDocument/2006/relationships/hyperlink" Target="https://tools.l2.dwh.sb-sys.info/userhelp/data/komoku" TargetMode="External"/><Relationship Id="rId122" Type="http://schemas.openxmlformats.org/officeDocument/2006/relationships/hyperlink" Target="https://tools.l2.dwh.sb-sys.info/userhelp/data/komoku" TargetMode="External"/><Relationship Id="rId143" Type="http://schemas.openxmlformats.org/officeDocument/2006/relationships/hyperlink" Target="https://tools.l2.dwh.sb-sys.info/userhelp/data/komoku" TargetMode="External"/><Relationship Id="rId148" Type="http://schemas.openxmlformats.org/officeDocument/2006/relationships/hyperlink" Target="https://tools.l2.dwh.sb-sys.info/userhelp/data/komoku" TargetMode="External"/><Relationship Id="rId164" Type="http://schemas.openxmlformats.org/officeDocument/2006/relationships/hyperlink" Target="https://tools.l2.dwh.sb-sys.info/userhelp/data/komoku" TargetMode="External"/><Relationship Id="rId169" Type="http://schemas.openxmlformats.org/officeDocument/2006/relationships/hyperlink" Target="https://tools.l2.dwh.sb-sys.info/userhelp/data/komoku" TargetMode="External"/><Relationship Id="rId4" Type="http://schemas.openxmlformats.org/officeDocument/2006/relationships/hyperlink" Target="https://tools.l2.dwh.sb-sys.info/userhelp/data/komoku" TargetMode="External"/><Relationship Id="rId9" Type="http://schemas.openxmlformats.org/officeDocument/2006/relationships/hyperlink" Target="https://tools.l2.dwh.sb-sys.info/userhelp/data/komoku" TargetMode="External"/><Relationship Id="rId26" Type="http://schemas.openxmlformats.org/officeDocument/2006/relationships/hyperlink" Target="https://tools.l2.dwh.sb-sys.info/userhelp/data/komoku" TargetMode="External"/><Relationship Id="rId47" Type="http://schemas.openxmlformats.org/officeDocument/2006/relationships/hyperlink" Target="https://tools.l2.dwh.sb-sys.info/userhelp/data/komoku" TargetMode="External"/><Relationship Id="rId68" Type="http://schemas.openxmlformats.org/officeDocument/2006/relationships/hyperlink" Target="https://tools.l2.dwh.sb-sys.info/userhelp/data/komoku" TargetMode="External"/><Relationship Id="rId89" Type="http://schemas.openxmlformats.org/officeDocument/2006/relationships/hyperlink" Target="https://tools.l2.dwh.sb-sys.info/userhelp/data/komoku" TargetMode="External"/><Relationship Id="rId112" Type="http://schemas.openxmlformats.org/officeDocument/2006/relationships/hyperlink" Target="https://tools.l2.dwh.sb-sys.info/userhelp/data/komoku" TargetMode="External"/><Relationship Id="rId133" Type="http://schemas.openxmlformats.org/officeDocument/2006/relationships/hyperlink" Target="https://tools.l2.dwh.sb-sys.info/userhelp/data/komoku" TargetMode="External"/><Relationship Id="rId154" Type="http://schemas.openxmlformats.org/officeDocument/2006/relationships/hyperlink" Target="https://tools.l2.dwh.sb-sys.info/userhelp/data/komoku" TargetMode="External"/><Relationship Id="rId175" Type="http://schemas.openxmlformats.org/officeDocument/2006/relationships/hyperlink" Target="https://tools.l2.dwh.sb-sys.info/userhelp/data/komoku" TargetMode="External"/><Relationship Id="rId16" Type="http://schemas.openxmlformats.org/officeDocument/2006/relationships/hyperlink" Target="https://tools.l2.dwh.sb-sys.info/userhelp/data/komoku" TargetMode="External"/><Relationship Id="rId37" Type="http://schemas.openxmlformats.org/officeDocument/2006/relationships/hyperlink" Target="https://tools.l2.dwh.sb-sys.info/userhelp/data/komoku" TargetMode="External"/><Relationship Id="rId58" Type="http://schemas.openxmlformats.org/officeDocument/2006/relationships/hyperlink" Target="https://tools.l2.dwh.sb-sys.info/userhelp/data/komoku" TargetMode="External"/><Relationship Id="rId79" Type="http://schemas.openxmlformats.org/officeDocument/2006/relationships/hyperlink" Target="https://tools.l2.dwh.sb-sys.info/userhelp/data/komoku" TargetMode="External"/><Relationship Id="rId102" Type="http://schemas.openxmlformats.org/officeDocument/2006/relationships/hyperlink" Target="https://tools.l2.dwh.sb-sys.info/userhelp/data/komoku" TargetMode="External"/><Relationship Id="rId123" Type="http://schemas.openxmlformats.org/officeDocument/2006/relationships/hyperlink" Target="https://tools.l2.dwh.sb-sys.info/userhelp/data/komoku" TargetMode="External"/><Relationship Id="rId144" Type="http://schemas.openxmlformats.org/officeDocument/2006/relationships/hyperlink" Target="https://tools.l2.dwh.sb-sys.info/userhelp/data/komoku" TargetMode="External"/><Relationship Id="rId90" Type="http://schemas.openxmlformats.org/officeDocument/2006/relationships/hyperlink" Target="https://tools.l2.dwh.sb-sys.info/userhelp/data/komoku" TargetMode="External"/><Relationship Id="rId165" Type="http://schemas.openxmlformats.org/officeDocument/2006/relationships/hyperlink" Target="https://tools.l2.dwh.sb-sys.info/userhelp/data/komoku" TargetMode="External"/><Relationship Id="rId27" Type="http://schemas.openxmlformats.org/officeDocument/2006/relationships/hyperlink" Target="https://tools.l2.dwh.sb-sys.info/userhelp/data/komoku" TargetMode="External"/><Relationship Id="rId48" Type="http://schemas.openxmlformats.org/officeDocument/2006/relationships/hyperlink" Target="https://tools.l2.dwh.sb-sys.info/userhelp/data/komoku" TargetMode="External"/><Relationship Id="rId69" Type="http://schemas.openxmlformats.org/officeDocument/2006/relationships/hyperlink" Target="https://tools.l2.dwh.sb-sys.info/userhelp/data/komoku" TargetMode="External"/><Relationship Id="rId113" Type="http://schemas.openxmlformats.org/officeDocument/2006/relationships/hyperlink" Target="https://tools.l2.dwh.sb-sys.info/userhelp/data/komoku" TargetMode="External"/><Relationship Id="rId134" Type="http://schemas.openxmlformats.org/officeDocument/2006/relationships/hyperlink" Target="https://tools.l2.dwh.sb-sys.info/userhelp/data/komoku" TargetMode="External"/><Relationship Id="rId80" Type="http://schemas.openxmlformats.org/officeDocument/2006/relationships/hyperlink" Target="https://tools.l2.dwh.sb-sys.info/userhelp/data/komoku" TargetMode="External"/><Relationship Id="rId155" Type="http://schemas.openxmlformats.org/officeDocument/2006/relationships/hyperlink" Target="https://tools.l2.dwh.sb-sys.info/userhelp/data/komoku" TargetMode="External"/><Relationship Id="rId176" Type="http://schemas.openxmlformats.org/officeDocument/2006/relationships/hyperlink" Target="https://tools.l2.dwh.sb-sys.info/userhelp/data/komoku" TargetMode="External"/><Relationship Id="rId17" Type="http://schemas.openxmlformats.org/officeDocument/2006/relationships/hyperlink" Target="https://tools.l2.dwh.sb-sys.info/userhelp/data/komoku" TargetMode="External"/><Relationship Id="rId38" Type="http://schemas.openxmlformats.org/officeDocument/2006/relationships/hyperlink" Target="https://tools.l2.dwh.sb-sys.info/userhelp/data/komoku" TargetMode="External"/><Relationship Id="rId59" Type="http://schemas.openxmlformats.org/officeDocument/2006/relationships/hyperlink" Target="https://tools.l2.dwh.sb-sys.info/userhelp/data/komoku" TargetMode="External"/><Relationship Id="rId103" Type="http://schemas.openxmlformats.org/officeDocument/2006/relationships/hyperlink" Target="https://tools.l2.dwh.sb-sys.info/userhelp/data/komoku" TargetMode="External"/><Relationship Id="rId124" Type="http://schemas.openxmlformats.org/officeDocument/2006/relationships/hyperlink" Target="https://tools.l2.dwh.sb-sys.info/userhelp/data/komoku" TargetMode="External"/><Relationship Id="rId70" Type="http://schemas.openxmlformats.org/officeDocument/2006/relationships/hyperlink" Target="https://tools.l2.dwh.sb-sys.info/userhelp/data/komoku" TargetMode="External"/><Relationship Id="rId91" Type="http://schemas.openxmlformats.org/officeDocument/2006/relationships/hyperlink" Target="https://tools.l2.dwh.sb-sys.info/userhelp/data/komoku" TargetMode="External"/><Relationship Id="rId145" Type="http://schemas.openxmlformats.org/officeDocument/2006/relationships/hyperlink" Target="https://tools.l2.dwh.sb-sys.info/userhelp/data/komoku" TargetMode="External"/><Relationship Id="rId166" Type="http://schemas.openxmlformats.org/officeDocument/2006/relationships/hyperlink" Target="https://tools.l2.dwh.sb-sys.info/userhelp/data/komoku" TargetMode="External"/><Relationship Id="rId1" Type="http://schemas.openxmlformats.org/officeDocument/2006/relationships/hyperlink" Target="https://tools.l2.dwh.sb-sys.info/userhelp/data/komoku"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tools.l2.dwh.sb-sys.info/userhelp/data/komoku" TargetMode="External"/><Relationship Id="rId7" Type="http://schemas.openxmlformats.org/officeDocument/2006/relationships/printerSettings" Target="../printerSettings/printerSettings12.bin"/><Relationship Id="rId2" Type="http://schemas.openxmlformats.org/officeDocument/2006/relationships/hyperlink" Target="https://tools.l2.dwh.sb-sys.info/userhelp/data/komoku" TargetMode="External"/><Relationship Id="rId1" Type="http://schemas.openxmlformats.org/officeDocument/2006/relationships/hyperlink" Target="https://tools.l2.dwh.sb-sys.info/userhelp/data/komoku" TargetMode="External"/><Relationship Id="rId6" Type="http://schemas.openxmlformats.org/officeDocument/2006/relationships/hyperlink" Target="https://tools.l2.dwh.sb-sys.info/userhelp/data/komoku" TargetMode="External"/><Relationship Id="rId5" Type="http://schemas.openxmlformats.org/officeDocument/2006/relationships/hyperlink" Target="https://tools.l2.dwh.sb-sys.info/userhelp/data/komoku" TargetMode="External"/><Relationship Id="rId4" Type="http://schemas.openxmlformats.org/officeDocument/2006/relationships/hyperlink" Target="https://tools.l2.dwh.sb-sys.info/userhelp/data/komoku" TargetMode="External"/></Relationships>
</file>

<file path=xl/worksheets/_rels/sheet16.xml.rels><?xml version="1.0" encoding="UTF-8" standalone="yes"?>
<Relationships xmlns="http://schemas.openxmlformats.org/package/2006/relationships"><Relationship Id="rId26" Type="http://schemas.openxmlformats.org/officeDocument/2006/relationships/hyperlink" Target="https://tools.l2.dwh.sb-sys.info/userhelp/data/komoku" TargetMode="External"/><Relationship Id="rId21" Type="http://schemas.openxmlformats.org/officeDocument/2006/relationships/hyperlink" Target="https://tools.l2.dwh.sb-sys.info/userhelp/data/komoku" TargetMode="External"/><Relationship Id="rId42" Type="http://schemas.openxmlformats.org/officeDocument/2006/relationships/hyperlink" Target="https://tools.l2.dwh.sb-sys.info/userhelp/data/komoku" TargetMode="External"/><Relationship Id="rId47" Type="http://schemas.openxmlformats.org/officeDocument/2006/relationships/hyperlink" Target="https://tools.l2.dwh.sb-sys.info/userhelp/data/komoku" TargetMode="External"/><Relationship Id="rId63" Type="http://schemas.openxmlformats.org/officeDocument/2006/relationships/hyperlink" Target="https://tools.l2.dwh.sb-sys.info/userhelp/data/komoku" TargetMode="External"/><Relationship Id="rId68" Type="http://schemas.openxmlformats.org/officeDocument/2006/relationships/hyperlink" Target="https://tools.l2.dwh.sb-sys.info/userhelp/data/komoku" TargetMode="External"/><Relationship Id="rId84" Type="http://schemas.openxmlformats.org/officeDocument/2006/relationships/hyperlink" Target="https://tools.l2.dwh.sb-sys.info/userhelp/data/komoku" TargetMode="External"/><Relationship Id="rId89" Type="http://schemas.openxmlformats.org/officeDocument/2006/relationships/hyperlink" Target="https://tools.l2.dwh.sb-sys.info/userhelp/data/komoku" TargetMode="External"/><Relationship Id="rId16" Type="http://schemas.openxmlformats.org/officeDocument/2006/relationships/hyperlink" Target="https://tools.l2.dwh.sb-sys.info/userhelp/data/komoku" TargetMode="External"/><Relationship Id="rId11" Type="http://schemas.openxmlformats.org/officeDocument/2006/relationships/hyperlink" Target="https://tools.l2.dwh.sb-sys.info/userhelp/data/komoku" TargetMode="External"/><Relationship Id="rId32" Type="http://schemas.openxmlformats.org/officeDocument/2006/relationships/hyperlink" Target="https://tools.l2.dwh.sb-sys.info/userhelp/data/komoku" TargetMode="External"/><Relationship Id="rId37" Type="http://schemas.openxmlformats.org/officeDocument/2006/relationships/hyperlink" Target="https://tools.l2.dwh.sb-sys.info/userhelp/data/komoku" TargetMode="External"/><Relationship Id="rId53" Type="http://schemas.openxmlformats.org/officeDocument/2006/relationships/hyperlink" Target="https://tools.l2.dwh.sb-sys.info/userhelp/data/komoku" TargetMode="External"/><Relationship Id="rId58" Type="http://schemas.openxmlformats.org/officeDocument/2006/relationships/hyperlink" Target="https://tools.l2.dwh.sb-sys.info/userhelp/data/komoku" TargetMode="External"/><Relationship Id="rId74" Type="http://schemas.openxmlformats.org/officeDocument/2006/relationships/hyperlink" Target="https://tools.l2.dwh.sb-sys.info/userhelp/data/komoku" TargetMode="External"/><Relationship Id="rId79" Type="http://schemas.openxmlformats.org/officeDocument/2006/relationships/hyperlink" Target="https://tools.l2.dwh.sb-sys.info/userhelp/data/komoku" TargetMode="External"/><Relationship Id="rId5" Type="http://schemas.openxmlformats.org/officeDocument/2006/relationships/hyperlink" Target="https://tools.l2.dwh.sb-sys.info/userhelp/data/komoku" TargetMode="External"/><Relationship Id="rId90" Type="http://schemas.openxmlformats.org/officeDocument/2006/relationships/hyperlink" Target="https://tools.l2.dwh.sb-sys.info/userhelp/data/komoku" TargetMode="External"/><Relationship Id="rId95" Type="http://schemas.openxmlformats.org/officeDocument/2006/relationships/hyperlink" Target="https://tools.l2.dwh.sb-sys.info/userhelp/data/komoku" TargetMode="External"/><Relationship Id="rId22" Type="http://schemas.openxmlformats.org/officeDocument/2006/relationships/hyperlink" Target="https://tools.l2.dwh.sb-sys.info/userhelp/data/komoku" TargetMode="External"/><Relationship Id="rId27" Type="http://schemas.openxmlformats.org/officeDocument/2006/relationships/hyperlink" Target="https://tools.l2.dwh.sb-sys.info/userhelp/data/komoku" TargetMode="External"/><Relationship Id="rId43" Type="http://schemas.openxmlformats.org/officeDocument/2006/relationships/hyperlink" Target="https://tools.l2.dwh.sb-sys.info/userhelp/data/komoku" TargetMode="External"/><Relationship Id="rId48" Type="http://schemas.openxmlformats.org/officeDocument/2006/relationships/hyperlink" Target="https://tools.l2.dwh.sb-sys.info/userhelp/data/komoku" TargetMode="External"/><Relationship Id="rId64" Type="http://schemas.openxmlformats.org/officeDocument/2006/relationships/hyperlink" Target="https://tools.l2.dwh.sb-sys.info/userhelp/data/komoku" TargetMode="External"/><Relationship Id="rId69" Type="http://schemas.openxmlformats.org/officeDocument/2006/relationships/hyperlink" Target="https://tools.l2.dwh.sb-sys.info/userhelp/data/komoku" TargetMode="External"/><Relationship Id="rId80" Type="http://schemas.openxmlformats.org/officeDocument/2006/relationships/hyperlink" Target="https://tools.l2.dwh.sb-sys.info/userhelp/data/komoku" TargetMode="External"/><Relationship Id="rId85" Type="http://schemas.openxmlformats.org/officeDocument/2006/relationships/hyperlink" Target="https://tools.l2.dwh.sb-sys.info/userhelp/data/komoku" TargetMode="External"/><Relationship Id="rId3" Type="http://schemas.openxmlformats.org/officeDocument/2006/relationships/hyperlink" Target="https://tools.l2.dwh.sb-sys.info/userhelp/data/komoku" TargetMode="External"/><Relationship Id="rId12" Type="http://schemas.openxmlformats.org/officeDocument/2006/relationships/hyperlink" Target="https://tools.l2.dwh.sb-sys.info/userhelp/data/komoku" TargetMode="External"/><Relationship Id="rId17" Type="http://schemas.openxmlformats.org/officeDocument/2006/relationships/hyperlink" Target="https://tools.l2.dwh.sb-sys.info/userhelp/data/komoku" TargetMode="External"/><Relationship Id="rId25" Type="http://schemas.openxmlformats.org/officeDocument/2006/relationships/hyperlink" Target="https://tools.l2.dwh.sb-sys.info/userhelp/data/komoku" TargetMode="External"/><Relationship Id="rId33" Type="http://schemas.openxmlformats.org/officeDocument/2006/relationships/hyperlink" Target="https://tools.l2.dwh.sb-sys.info/userhelp/data/komoku" TargetMode="External"/><Relationship Id="rId38" Type="http://schemas.openxmlformats.org/officeDocument/2006/relationships/hyperlink" Target="https://tools.l2.dwh.sb-sys.info/userhelp/data/komoku" TargetMode="External"/><Relationship Id="rId46" Type="http://schemas.openxmlformats.org/officeDocument/2006/relationships/hyperlink" Target="https://tools.l2.dwh.sb-sys.info/userhelp/data/komoku" TargetMode="External"/><Relationship Id="rId59" Type="http://schemas.openxmlformats.org/officeDocument/2006/relationships/hyperlink" Target="https://tools.l2.dwh.sb-sys.info/userhelp/data/komoku" TargetMode="External"/><Relationship Id="rId67" Type="http://schemas.openxmlformats.org/officeDocument/2006/relationships/hyperlink" Target="https://tools.l2.dwh.sb-sys.info/userhelp/data/komoku" TargetMode="External"/><Relationship Id="rId20" Type="http://schemas.openxmlformats.org/officeDocument/2006/relationships/hyperlink" Target="https://tools.l2.dwh.sb-sys.info/userhelp/data/komoku" TargetMode="External"/><Relationship Id="rId41" Type="http://schemas.openxmlformats.org/officeDocument/2006/relationships/hyperlink" Target="https://tools.l2.dwh.sb-sys.info/userhelp/data/komoku" TargetMode="External"/><Relationship Id="rId54" Type="http://schemas.openxmlformats.org/officeDocument/2006/relationships/hyperlink" Target="https://tools.l2.dwh.sb-sys.info/userhelp/data/komoku" TargetMode="External"/><Relationship Id="rId62" Type="http://schemas.openxmlformats.org/officeDocument/2006/relationships/hyperlink" Target="https://tools.l2.dwh.sb-sys.info/userhelp/data/komoku" TargetMode="External"/><Relationship Id="rId70" Type="http://schemas.openxmlformats.org/officeDocument/2006/relationships/hyperlink" Target="https://tools.l2.dwh.sb-sys.info/userhelp/data/komoku" TargetMode="External"/><Relationship Id="rId75" Type="http://schemas.openxmlformats.org/officeDocument/2006/relationships/hyperlink" Target="https://tools.l2.dwh.sb-sys.info/userhelp/data/komoku" TargetMode="External"/><Relationship Id="rId83" Type="http://schemas.openxmlformats.org/officeDocument/2006/relationships/hyperlink" Target="https://tools.l2.dwh.sb-sys.info/userhelp/data/komoku" TargetMode="External"/><Relationship Id="rId88" Type="http://schemas.openxmlformats.org/officeDocument/2006/relationships/hyperlink" Target="https://tools.l2.dwh.sb-sys.info/userhelp/data/komoku" TargetMode="External"/><Relationship Id="rId91" Type="http://schemas.openxmlformats.org/officeDocument/2006/relationships/hyperlink" Target="https://tools.l2.dwh.sb-sys.info/userhelp/data/komoku" TargetMode="External"/><Relationship Id="rId96" Type="http://schemas.openxmlformats.org/officeDocument/2006/relationships/hyperlink" Target="https://tools.l2.dwh.sb-sys.info/userhelp/data/komoku" TargetMode="External"/><Relationship Id="rId1" Type="http://schemas.openxmlformats.org/officeDocument/2006/relationships/hyperlink" Target="https://tools.l2.dwh.sb-sys.info/userhelp/data/komoku" TargetMode="External"/><Relationship Id="rId6" Type="http://schemas.openxmlformats.org/officeDocument/2006/relationships/hyperlink" Target="https://tools.l2.dwh.sb-sys.info/userhelp/data/komoku" TargetMode="External"/><Relationship Id="rId15" Type="http://schemas.openxmlformats.org/officeDocument/2006/relationships/hyperlink" Target="https://tools.l2.dwh.sb-sys.info/userhelp/data/komoku" TargetMode="External"/><Relationship Id="rId23" Type="http://schemas.openxmlformats.org/officeDocument/2006/relationships/hyperlink" Target="https://tools.l2.dwh.sb-sys.info/userhelp/data/komoku" TargetMode="External"/><Relationship Id="rId28" Type="http://schemas.openxmlformats.org/officeDocument/2006/relationships/hyperlink" Target="https://tools.l2.dwh.sb-sys.info/userhelp/data/komoku" TargetMode="External"/><Relationship Id="rId36" Type="http://schemas.openxmlformats.org/officeDocument/2006/relationships/hyperlink" Target="https://tools.l2.dwh.sb-sys.info/userhelp/data/komoku" TargetMode="External"/><Relationship Id="rId49" Type="http://schemas.openxmlformats.org/officeDocument/2006/relationships/hyperlink" Target="https://tools.l2.dwh.sb-sys.info/userhelp/data/komoku" TargetMode="External"/><Relationship Id="rId57" Type="http://schemas.openxmlformats.org/officeDocument/2006/relationships/hyperlink" Target="https://tools.l2.dwh.sb-sys.info/userhelp/data/komoku" TargetMode="External"/><Relationship Id="rId10" Type="http://schemas.openxmlformats.org/officeDocument/2006/relationships/hyperlink" Target="https://tools.l2.dwh.sb-sys.info/userhelp/data/komoku" TargetMode="External"/><Relationship Id="rId31" Type="http://schemas.openxmlformats.org/officeDocument/2006/relationships/hyperlink" Target="https://tools.l2.dwh.sb-sys.info/userhelp/data/komoku" TargetMode="External"/><Relationship Id="rId44" Type="http://schemas.openxmlformats.org/officeDocument/2006/relationships/hyperlink" Target="https://tools.l2.dwh.sb-sys.info/userhelp/data/komoku" TargetMode="External"/><Relationship Id="rId52" Type="http://schemas.openxmlformats.org/officeDocument/2006/relationships/hyperlink" Target="https://tools.l2.dwh.sb-sys.info/userhelp/data/komoku" TargetMode="External"/><Relationship Id="rId60" Type="http://schemas.openxmlformats.org/officeDocument/2006/relationships/hyperlink" Target="https://tools.l2.dwh.sb-sys.info/userhelp/data/komoku" TargetMode="External"/><Relationship Id="rId65" Type="http://schemas.openxmlformats.org/officeDocument/2006/relationships/hyperlink" Target="https://tools.l2.dwh.sb-sys.info/userhelp/data/komoku" TargetMode="External"/><Relationship Id="rId73" Type="http://schemas.openxmlformats.org/officeDocument/2006/relationships/hyperlink" Target="https://tools.l2.dwh.sb-sys.info/userhelp/data/komoku" TargetMode="External"/><Relationship Id="rId78" Type="http://schemas.openxmlformats.org/officeDocument/2006/relationships/hyperlink" Target="https://tools.l2.dwh.sb-sys.info/userhelp/data/komoku" TargetMode="External"/><Relationship Id="rId81" Type="http://schemas.openxmlformats.org/officeDocument/2006/relationships/hyperlink" Target="https://tools.l2.dwh.sb-sys.info/userhelp/data/komoku" TargetMode="External"/><Relationship Id="rId86" Type="http://schemas.openxmlformats.org/officeDocument/2006/relationships/hyperlink" Target="https://tools.l2.dwh.sb-sys.info/userhelp/data/komoku" TargetMode="External"/><Relationship Id="rId94" Type="http://schemas.openxmlformats.org/officeDocument/2006/relationships/hyperlink" Target="https://tools.l2.dwh.sb-sys.info/userhelp/data/komoku" TargetMode="External"/><Relationship Id="rId99" Type="http://schemas.openxmlformats.org/officeDocument/2006/relationships/printerSettings" Target="../printerSettings/printerSettings13.bin"/><Relationship Id="rId4" Type="http://schemas.openxmlformats.org/officeDocument/2006/relationships/hyperlink" Target="https://tools.l2.dwh.sb-sys.info/userhelp/data/komoku" TargetMode="External"/><Relationship Id="rId9" Type="http://schemas.openxmlformats.org/officeDocument/2006/relationships/hyperlink" Target="https://tools.l2.dwh.sb-sys.info/userhelp/data/komoku" TargetMode="External"/><Relationship Id="rId13" Type="http://schemas.openxmlformats.org/officeDocument/2006/relationships/hyperlink" Target="https://tools.l2.dwh.sb-sys.info/userhelp/data/komoku" TargetMode="External"/><Relationship Id="rId18" Type="http://schemas.openxmlformats.org/officeDocument/2006/relationships/hyperlink" Target="https://tools.l2.dwh.sb-sys.info/userhelp/data/komoku" TargetMode="External"/><Relationship Id="rId39" Type="http://schemas.openxmlformats.org/officeDocument/2006/relationships/hyperlink" Target="https://tools.l2.dwh.sb-sys.info/userhelp/data/komoku" TargetMode="External"/><Relationship Id="rId34" Type="http://schemas.openxmlformats.org/officeDocument/2006/relationships/hyperlink" Target="https://tools.l2.dwh.sb-sys.info/userhelp/data/komoku" TargetMode="External"/><Relationship Id="rId50" Type="http://schemas.openxmlformats.org/officeDocument/2006/relationships/hyperlink" Target="https://tools.l2.dwh.sb-sys.info/userhelp/data/komoku" TargetMode="External"/><Relationship Id="rId55" Type="http://schemas.openxmlformats.org/officeDocument/2006/relationships/hyperlink" Target="https://tools.l2.dwh.sb-sys.info/userhelp/data/komoku" TargetMode="External"/><Relationship Id="rId76" Type="http://schemas.openxmlformats.org/officeDocument/2006/relationships/hyperlink" Target="https://tools.l2.dwh.sb-sys.info/userhelp/data/komoku" TargetMode="External"/><Relationship Id="rId97" Type="http://schemas.openxmlformats.org/officeDocument/2006/relationships/hyperlink" Target="https://tools.l2.dwh.sb-sys.info/userhelp/data/komoku" TargetMode="External"/><Relationship Id="rId7" Type="http://schemas.openxmlformats.org/officeDocument/2006/relationships/hyperlink" Target="https://tools.l2.dwh.sb-sys.info/userhelp/data/komoku" TargetMode="External"/><Relationship Id="rId71" Type="http://schemas.openxmlformats.org/officeDocument/2006/relationships/hyperlink" Target="https://tools.l2.dwh.sb-sys.info/userhelp/data/komoku" TargetMode="External"/><Relationship Id="rId92" Type="http://schemas.openxmlformats.org/officeDocument/2006/relationships/hyperlink" Target="https://tools.l2.dwh.sb-sys.info/userhelp/data/komoku" TargetMode="External"/><Relationship Id="rId2" Type="http://schemas.openxmlformats.org/officeDocument/2006/relationships/hyperlink" Target="https://tools.l2.dwh.sb-sys.info/userhelp/data/komoku" TargetMode="External"/><Relationship Id="rId29" Type="http://schemas.openxmlformats.org/officeDocument/2006/relationships/hyperlink" Target="https://tools.l2.dwh.sb-sys.info/userhelp/data/komoku" TargetMode="External"/><Relationship Id="rId24" Type="http://schemas.openxmlformats.org/officeDocument/2006/relationships/hyperlink" Target="https://tools.l2.dwh.sb-sys.info/userhelp/data/komoku" TargetMode="External"/><Relationship Id="rId40" Type="http://schemas.openxmlformats.org/officeDocument/2006/relationships/hyperlink" Target="https://tools.l2.dwh.sb-sys.info/userhelp/data/komoku" TargetMode="External"/><Relationship Id="rId45" Type="http://schemas.openxmlformats.org/officeDocument/2006/relationships/hyperlink" Target="https://tools.l2.dwh.sb-sys.info/userhelp/data/komoku" TargetMode="External"/><Relationship Id="rId66" Type="http://schemas.openxmlformats.org/officeDocument/2006/relationships/hyperlink" Target="https://tools.l2.dwh.sb-sys.info/userhelp/data/komoku" TargetMode="External"/><Relationship Id="rId87" Type="http://schemas.openxmlformats.org/officeDocument/2006/relationships/hyperlink" Target="https://tools.l2.dwh.sb-sys.info/userhelp/data/komoku" TargetMode="External"/><Relationship Id="rId61" Type="http://schemas.openxmlformats.org/officeDocument/2006/relationships/hyperlink" Target="https://tools.l2.dwh.sb-sys.info/userhelp/data/komoku" TargetMode="External"/><Relationship Id="rId82" Type="http://schemas.openxmlformats.org/officeDocument/2006/relationships/hyperlink" Target="https://tools.l2.dwh.sb-sys.info/userhelp/data/komoku" TargetMode="External"/><Relationship Id="rId19" Type="http://schemas.openxmlformats.org/officeDocument/2006/relationships/hyperlink" Target="https://tools.l2.dwh.sb-sys.info/userhelp/data/komoku" TargetMode="External"/><Relationship Id="rId14" Type="http://schemas.openxmlformats.org/officeDocument/2006/relationships/hyperlink" Target="https://tools.l2.dwh.sb-sys.info/userhelp/data/komoku" TargetMode="External"/><Relationship Id="rId30" Type="http://schemas.openxmlformats.org/officeDocument/2006/relationships/hyperlink" Target="https://tools.l2.dwh.sb-sys.info/userhelp/data/komoku" TargetMode="External"/><Relationship Id="rId35" Type="http://schemas.openxmlformats.org/officeDocument/2006/relationships/hyperlink" Target="https://tools.l2.dwh.sb-sys.info/userhelp/data/komoku" TargetMode="External"/><Relationship Id="rId56" Type="http://schemas.openxmlformats.org/officeDocument/2006/relationships/hyperlink" Target="https://tools.l2.dwh.sb-sys.info/userhelp/data/komoku" TargetMode="External"/><Relationship Id="rId77" Type="http://schemas.openxmlformats.org/officeDocument/2006/relationships/hyperlink" Target="https://tools.l2.dwh.sb-sys.info/userhelp/data/komoku" TargetMode="External"/><Relationship Id="rId8" Type="http://schemas.openxmlformats.org/officeDocument/2006/relationships/hyperlink" Target="https://tools.l2.dwh.sb-sys.info/userhelp/data/komoku" TargetMode="External"/><Relationship Id="rId51" Type="http://schemas.openxmlformats.org/officeDocument/2006/relationships/hyperlink" Target="https://tools.l2.dwh.sb-sys.info/userhelp/data/komoku" TargetMode="External"/><Relationship Id="rId72" Type="http://schemas.openxmlformats.org/officeDocument/2006/relationships/hyperlink" Target="https://tools.l2.dwh.sb-sys.info/userhelp/data/komoku" TargetMode="External"/><Relationship Id="rId93" Type="http://schemas.openxmlformats.org/officeDocument/2006/relationships/hyperlink" Target="https://tools.l2.dwh.sb-sys.info/userhelp/data/komoku" TargetMode="External"/><Relationship Id="rId98" Type="http://schemas.openxmlformats.org/officeDocument/2006/relationships/hyperlink" Target="https://tools.l2.dwh.sb-sys.info/userhelp/data/komoku"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tools.l2.dwh.sb-sys.info/userhelp/data/komoku" TargetMode="External"/><Relationship Id="rId13" Type="http://schemas.openxmlformats.org/officeDocument/2006/relationships/hyperlink" Target="https://tools.l2.dwh.sb-sys.info/userhelp/data/komoku" TargetMode="External"/><Relationship Id="rId18" Type="http://schemas.openxmlformats.org/officeDocument/2006/relationships/hyperlink" Target="https://tools.l2.dwh.sb-sys.info/userhelp/data/komoku" TargetMode="External"/><Relationship Id="rId26" Type="http://schemas.openxmlformats.org/officeDocument/2006/relationships/hyperlink" Target="https://tools.l2.dwh.sb-sys.info/userhelp/data/komoku" TargetMode="External"/><Relationship Id="rId3" Type="http://schemas.openxmlformats.org/officeDocument/2006/relationships/hyperlink" Target="https://tools.l2.dwh.sb-sys.info/userhelp/data/komoku" TargetMode="External"/><Relationship Id="rId21" Type="http://schemas.openxmlformats.org/officeDocument/2006/relationships/hyperlink" Target="https://tools.l2.dwh.sb-sys.info/userhelp/data/komoku" TargetMode="External"/><Relationship Id="rId7" Type="http://schemas.openxmlformats.org/officeDocument/2006/relationships/hyperlink" Target="https://tools.l2.dwh.sb-sys.info/userhelp/data/komoku" TargetMode="External"/><Relationship Id="rId12" Type="http://schemas.openxmlformats.org/officeDocument/2006/relationships/hyperlink" Target="https://tools.l2.dwh.sb-sys.info/userhelp/data/komoku" TargetMode="External"/><Relationship Id="rId17" Type="http://schemas.openxmlformats.org/officeDocument/2006/relationships/hyperlink" Target="https://tools.l2.dwh.sb-sys.info/userhelp/data/komoku" TargetMode="External"/><Relationship Id="rId25" Type="http://schemas.openxmlformats.org/officeDocument/2006/relationships/hyperlink" Target="https://tools.l2.dwh.sb-sys.info/userhelp/data/komoku" TargetMode="External"/><Relationship Id="rId2" Type="http://schemas.openxmlformats.org/officeDocument/2006/relationships/hyperlink" Target="https://tools.l2.dwh.sb-sys.info/userhelp/data/komoku" TargetMode="External"/><Relationship Id="rId16" Type="http://schemas.openxmlformats.org/officeDocument/2006/relationships/hyperlink" Target="https://tools.l2.dwh.sb-sys.info/userhelp/data/komoku" TargetMode="External"/><Relationship Id="rId20" Type="http://schemas.openxmlformats.org/officeDocument/2006/relationships/hyperlink" Target="https://tools.l2.dwh.sb-sys.info/userhelp/data/komoku" TargetMode="External"/><Relationship Id="rId1" Type="http://schemas.openxmlformats.org/officeDocument/2006/relationships/hyperlink" Target="https://tools.l2.dwh.sb-sys.info/userhelp/data/komoku" TargetMode="External"/><Relationship Id="rId6" Type="http://schemas.openxmlformats.org/officeDocument/2006/relationships/hyperlink" Target="https://tools.l2.dwh.sb-sys.info/userhelp/data/komoku" TargetMode="External"/><Relationship Id="rId11" Type="http://schemas.openxmlformats.org/officeDocument/2006/relationships/hyperlink" Target="https://tools.l2.dwh.sb-sys.info/userhelp/data/komoku" TargetMode="External"/><Relationship Id="rId24" Type="http://schemas.openxmlformats.org/officeDocument/2006/relationships/hyperlink" Target="https://tools.l2.dwh.sb-sys.info/userhelp/data/komoku" TargetMode="External"/><Relationship Id="rId5" Type="http://schemas.openxmlformats.org/officeDocument/2006/relationships/hyperlink" Target="https://tools.l2.dwh.sb-sys.info/userhelp/data/komoku" TargetMode="External"/><Relationship Id="rId15" Type="http://schemas.openxmlformats.org/officeDocument/2006/relationships/hyperlink" Target="https://tools.l2.dwh.sb-sys.info/userhelp/data/komoku" TargetMode="External"/><Relationship Id="rId23" Type="http://schemas.openxmlformats.org/officeDocument/2006/relationships/hyperlink" Target="https://tools.l2.dwh.sb-sys.info/userhelp/data/komoku" TargetMode="External"/><Relationship Id="rId28" Type="http://schemas.openxmlformats.org/officeDocument/2006/relationships/printerSettings" Target="../printerSettings/printerSettings14.bin"/><Relationship Id="rId10" Type="http://schemas.openxmlformats.org/officeDocument/2006/relationships/hyperlink" Target="https://tools.l2.dwh.sb-sys.info/userhelp/data/komoku" TargetMode="External"/><Relationship Id="rId19" Type="http://schemas.openxmlformats.org/officeDocument/2006/relationships/hyperlink" Target="https://tools.l2.dwh.sb-sys.info/userhelp/data/komoku" TargetMode="External"/><Relationship Id="rId4" Type="http://schemas.openxmlformats.org/officeDocument/2006/relationships/hyperlink" Target="https://tools.l2.dwh.sb-sys.info/userhelp/data/komoku" TargetMode="External"/><Relationship Id="rId9" Type="http://schemas.openxmlformats.org/officeDocument/2006/relationships/hyperlink" Target="https://tools.l2.dwh.sb-sys.info/userhelp/data/komoku" TargetMode="External"/><Relationship Id="rId14" Type="http://schemas.openxmlformats.org/officeDocument/2006/relationships/hyperlink" Target="https://tools.l2.dwh.sb-sys.info/userhelp/data/komoku" TargetMode="External"/><Relationship Id="rId22" Type="http://schemas.openxmlformats.org/officeDocument/2006/relationships/hyperlink" Target="https://tools.l2.dwh.sb-sys.info/userhelp/data/komoku" TargetMode="External"/><Relationship Id="rId27" Type="http://schemas.openxmlformats.org/officeDocument/2006/relationships/hyperlink" Target="https://tools.l2.dwh.sb-sys.info/userhelp/data/komoku"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8" Type="http://schemas.openxmlformats.org/officeDocument/2006/relationships/hyperlink" Target="https://tools.l2.dwh.sb-sys.info/userhelp/data/komoku" TargetMode="External"/><Relationship Id="rId13" Type="http://schemas.openxmlformats.org/officeDocument/2006/relationships/hyperlink" Target="https://tools.l2.dwh.sb-sys.info/userhelp/data/komoku" TargetMode="External"/><Relationship Id="rId18" Type="http://schemas.openxmlformats.org/officeDocument/2006/relationships/hyperlink" Target="https://tools.l2.dwh.sb-sys.info/userhelp/data/komoku" TargetMode="External"/><Relationship Id="rId26" Type="http://schemas.openxmlformats.org/officeDocument/2006/relationships/hyperlink" Target="https://tools.l2.dwh.sb-sys.info/userhelp/data/komoku" TargetMode="External"/><Relationship Id="rId3" Type="http://schemas.openxmlformats.org/officeDocument/2006/relationships/hyperlink" Target="https://tools.l2.dwh.sb-sys.info/userhelp/data/komoku" TargetMode="External"/><Relationship Id="rId21" Type="http://schemas.openxmlformats.org/officeDocument/2006/relationships/hyperlink" Target="https://tools.l2.dwh.sb-sys.info/userhelp/data/komoku" TargetMode="External"/><Relationship Id="rId7" Type="http://schemas.openxmlformats.org/officeDocument/2006/relationships/hyperlink" Target="https://tools.l2.dwh.sb-sys.info/userhelp/data/komoku" TargetMode="External"/><Relationship Id="rId12" Type="http://schemas.openxmlformats.org/officeDocument/2006/relationships/hyperlink" Target="https://tools.l2.dwh.sb-sys.info/userhelp/data/komoku" TargetMode="External"/><Relationship Id="rId17" Type="http://schemas.openxmlformats.org/officeDocument/2006/relationships/hyperlink" Target="https://tools.l2.dwh.sb-sys.info/userhelp/data/komoku" TargetMode="External"/><Relationship Id="rId25" Type="http://schemas.openxmlformats.org/officeDocument/2006/relationships/hyperlink" Target="https://tools.l2.dwh.sb-sys.info/userhelp/data/komoku" TargetMode="External"/><Relationship Id="rId2" Type="http://schemas.openxmlformats.org/officeDocument/2006/relationships/hyperlink" Target="https://tools.l2.dwh.sb-sys.info/userhelp/data/komoku" TargetMode="External"/><Relationship Id="rId16" Type="http://schemas.openxmlformats.org/officeDocument/2006/relationships/hyperlink" Target="https://tools.l2.dwh.sb-sys.info/userhelp/data/komoku" TargetMode="External"/><Relationship Id="rId20" Type="http://schemas.openxmlformats.org/officeDocument/2006/relationships/hyperlink" Target="https://tools.l2.dwh.sb-sys.info/userhelp/data/komoku" TargetMode="External"/><Relationship Id="rId1" Type="http://schemas.openxmlformats.org/officeDocument/2006/relationships/hyperlink" Target="https://tools.l2.dwh.sb-sys.info/userhelp/data/komoku" TargetMode="External"/><Relationship Id="rId6" Type="http://schemas.openxmlformats.org/officeDocument/2006/relationships/hyperlink" Target="https://tools.l2.dwh.sb-sys.info/userhelp/data/komoku" TargetMode="External"/><Relationship Id="rId11" Type="http://schemas.openxmlformats.org/officeDocument/2006/relationships/hyperlink" Target="https://tools.l2.dwh.sb-sys.info/userhelp/data/komoku" TargetMode="External"/><Relationship Id="rId24" Type="http://schemas.openxmlformats.org/officeDocument/2006/relationships/hyperlink" Target="https://tools.l2.dwh.sb-sys.info/userhelp/data/komoku" TargetMode="External"/><Relationship Id="rId5" Type="http://schemas.openxmlformats.org/officeDocument/2006/relationships/hyperlink" Target="https://tools.l2.dwh.sb-sys.info/userhelp/data/komoku" TargetMode="External"/><Relationship Id="rId15" Type="http://schemas.openxmlformats.org/officeDocument/2006/relationships/hyperlink" Target="https://tools.l2.dwh.sb-sys.info/userhelp/data/komoku" TargetMode="External"/><Relationship Id="rId23" Type="http://schemas.openxmlformats.org/officeDocument/2006/relationships/hyperlink" Target="https://tools.l2.dwh.sb-sys.info/userhelp/data/komoku" TargetMode="External"/><Relationship Id="rId28" Type="http://schemas.openxmlformats.org/officeDocument/2006/relationships/printerSettings" Target="../printerSettings/printerSettings16.bin"/><Relationship Id="rId10" Type="http://schemas.openxmlformats.org/officeDocument/2006/relationships/hyperlink" Target="https://tools.l2.dwh.sb-sys.info/userhelp/data/komoku" TargetMode="External"/><Relationship Id="rId19" Type="http://schemas.openxmlformats.org/officeDocument/2006/relationships/hyperlink" Target="https://tools.l2.dwh.sb-sys.info/userhelp/data/komoku" TargetMode="External"/><Relationship Id="rId4" Type="http://schemas.openxmlformats.org/officeDocument/2006/relationships/hyperlink" Target="https://tools.l2.dwh.sb-sys.info/userhelp/data/komoku" TargetMode="External"/><Relationship Id="rId9" Type="http://schemas.openxmlformats.org/officeDocument/2006/relationships/hyperlink" Target="https://tools.l2.dwh.sb-sys.info/userhelp/data/komoku" TargetMode="External"/><Relationship Id="rId14" Type="http://schemas.openxmlformats.org/officeDocument/2006/relationships/hyperlink" Target="https://tools.l2.dwh.sb-sys.info/userhelp/data/komoku" TargetMode="External"/><Relationship Id="rId22" Type="http://schemas.openxmlformats.org/officeDocument/2006/relationships/hyperlink" Target="https://tools.l2.dwh.sb-sys.info/userhelp/data/komoku" TargetMode="External"/><Relationship Id="rId27" Type="http://schemas.openxmlformats.org/officeDocument/2006/relationships/hyperlink" Target="https://tools.l2.dwh.sb-sys.info/userhelp/data/komoku" TargetMode="External"/></Relationships>
</file>

<file path=xl/worksheets/_rels/sheet20.xml.rels><?xml version="1.0" encoding="UTF-8" standalone="yes"?>
<Relationships xmlns="http://schemas.openxmlformats.org/package/2006/relationships"><Relationship Id="rId26" Type="http://schemas.openxmlformats.org/officeDocument/2006/relationships/hyperlink" Target="https://tools.l2.dwh.sb-sys.info/userhelp/data/komoku" TargetMode="External"/><Relationship Id="rId21" Type="http://schemas.openxmlformats.org/officeDocument/2006/relationships/hyperlink" Target="https://tools.l2.dwh.sb-sys.info/userhelp/data/komoku" TargetMode="External"/><Relationship Id="rId42" Type="http://schemas.openxmlformats.org/officeDocument/2006/relationships/hyperlink" Target="https://tools.l2.dwh.sb-sys.info/userhelp/data/komoku" TargetMode="External"/><Relationship Id="rId47" Type="http://schemas.openxmlformats.org/officeDocument/2006/relationships/hyperlink" Target="https://tools.l2.dwh.sb-sys.info/userhelp/data/komoku" TargetMode="External"/><Relationship Id="rId63" Type="http://schemas.openxmlformats.org/officeDocument/2006/relationships/hyperlink" Target="https://tools.l2.dwh.sb-sys.info/userhelp/data/komoku" TargetMode="External"/><Relationship Id="rId68" Type="http://schemas.openxmlformats.org/officeDocument/2006/relationships/hyperlink" Target="https://tools.l2.dwh.sb-sys.info/userhelp/data/komoku" TargetMode="External"/><Relationship Id="rId84" Type="http://schemas.openxmlformats.org/officeDocument/2006/relationships/hyperlink" Target="https://tools.l2.dwh.sb-sys.info/userhelp/data/komoku" TargetMode="External"/><Relationship Id="rId89" Type="http://schemas.openxmlformats.org/officeDocument/2006/relationships/hyperlink" Target="https://tools.l2.dwh.sb-sys.info/userhelp/data/komoku" TargetMode="External"/><Relationship Id="rId16" Type="http://schemas.openxmlformats.org/officeDocument/2006/relationships/hyperlink" Target="https://tools.l2.dwh.sb-sys.info/userhelp/data/komoku" TargetMode="External"/><Relationship Id="rId11" Type="http://schemas.openxmlformats.org/officeDocument/2006/relationships/hyperlink" Target="https://tools.l2.dwh.sb-sys.info/userhelp/data/komoku" TargetMode="External"/><Relationship Id="rId32" Type="http://schemas.openxmlformats.org/officeDocument/2006/relationships/hyperlink" Target="https://tools.l2.dwh.sb-sys.info/userhelp/data/komoku" TargetMode="External"/><Relationship Id="rId37" Type="http://schemas.openxmlformats.org/officeDocument/2006/relationships/hyperlink" Target="https://tools.l2.dwh.sb-sys.info/userhelp/data/komoku" TargetMode="External"/><Relationship Id="rId53" Type="http://schemas.openxmlformats.org/officeDocument/2006/relationships/hyperlink" Target="https://tools.l2.dwh.sb-sys.info/userhelp/data/komoku" TargetMode="External"/><Relationship Id="rId58" Type="http://schemas.openxmlformats.org/officeDocument/2006/relationships/hyperlink" Target="https://tools.l2.dwh.sb-sys.info/userhelp/data/komoku" TargetMode="External"/><Relationship Id="rId74" Type="http://schemas.openxmlformats.org/officeDocument/2006/relationships/hyperlink" Target="https://tools.l2.dwh.sb-sys.info/userhelp/data/komoku" TargetMode="External"/><Relationship Id="rId79" Type="http://schemas.openxmlformats.org/officeDocument/2006/relationships/hyperlink" Target="https://tools.l2.dwh.sb-sys.info/userhelp/data/komoku" TargetMode="External"/><Relationship Id="rId5" Type="http://schemas.openxmlformats.org/officeDocument/2006/relationships/hyperlink" Target="https://tools.l2.dwh.sb-sys.info/userhelp/data/komoku" TargetMode="External"/><Relationship Id="rId90" Type="http://schemas.openxmlformats.org/officeDocument/2006/relationships/hyperlink" Target="https://tools.l2.dwh.sb-sys.info/userhelp/data/komoku" TargetMode="External"/><Relationship Id="rId95" Type="http://schemas.openxmlformats.org/officeDocument/2006/relationships/hyperlink" Target="https://tools.l2.dwh.sb-sys.info/userhelp/data/komoku" TargetMode="External"/><Relationship Id="rId22" Type="http://schemas.openxmlformats.org/officeDocument/2006/relationships/hyperlink" Target="https://tools.l2.dwh.sb-sys.info/userhelp/data/komoku" TargetMode="External"/><Relationship Id="rId27" Type="http://schemas.openxmlformats.org/officeDocument/2006/relationships/hyperlink" Target="https://tools.l2.dwh.sb-sys.info/userhelp/data/komoku" TargetMode="External"/><Relationship Id="rId43" Type="http://schemas.openxmlformats.org/officeDocument/2006/relationships/hyperlink" Target="https://tools.l2.dwh.sb-sys.info/userhelp/data/komoku" TargetMode="External"/><Relationship Id="rId48" Type="http://schemas.openxmlformats.org/officeDocument/2006/relationships/hyperlink" Target="https://tools.l2.dwh.sb-sys.info/userhelp/data/komoku" TargetMode="External"/><Relationship Id="rId64" Type="http://schemas.openxmlformats.org/officeDocument/2006/relationships/hyperlink" Target="https://tools.l2.dwh.sb-sys.info/userhelp/data/komoku" TargetMode="External"/><Relationship Id="rId69" Type="http://schemas.openxmlformats.org/officeDocument/2006/relationships/hyperlink" Target="https://tools.l2.dwh.sb-sys.info/userhelp/data/komoku" TargetMode="External"/><Relationship Id="rId80" Type="http://schemas.openxmlformats.org/officeDocument/2006/relationships/hyperlink" Target="https://tools.l2.dwh.sb-sys.info/userhelp/data/komoku" TargetMode="External"/><Relationship Id="rId85" Type="http://schemas.openxmlformats.org/officeDocument/2006/relationships/hyperlink" Target="https://tools.l2.dwh.sb-sys.info/userhelp/data/komoku" TargetMode="External"/><Relationship Id="rId3" Type="http://schemas.openxmlformats.org/officeDocument/2006/relationships/hyperlink" Target="https://tools.l2.dwh.sb-sys.info/userhelp/data/komoku" TargetMode="External"/><Relationship Id="rId12" Type="http://schemas.openxmlformats.org/officeDocument/2006/relationships/hyperlink" Target="https://tools.l2.dwh.sb-sys.info/userhelp/data/komoku" TargetMode="External"/><Relationship Id="rId17" Type="http://schemas.openxmlformats.org/officeDocument/2006/relationships/hyperlink" Target="https://tools.l2.dwh.sb-sys.info/userhelp/data/komoku" TargetMode="External"/><Relationship Id="rId25" Type="http://schemas.openxmlformats.org/officeDocument/2006/relationships/hyperlink" Target="https://tools.l2.dwh.sb-sys.info/userhelp/data/komoku" TargetMode="External"/><Relationship Id="rId33" Type="http://schemas.openxmlformats.org/officeDocument/2006/relationships/hyperlink" Target="https://tools.l2.dwh.sb-sys.info/userhelp/data/komoku" TargetMode="External"/><Relationship Id="rId38" Type="http://schemas.openxmlformats.org/officeDocument/2006/relationships/hyperlink" Target="https://tools.l2.dwh.sb-sys.info/userhelp/data/komoku" TargetMode="External"/><Relationship Id="rId46" Type="http://schemas.openxmlformats.org/officeDocument/2006/relationships/hyperlink" Target="https://tools.l2.dwh.sb-sys.info/userhelp/data/komoku" TargetMode="External"/><Relationship Id="rId59" Type="http://schemas.openxmlformats.org/officeDocument/2006/relationships/hyperlink" Target="https://tools.l2.dwh.sb-sys.info/userhelp/data/komoku" TargetMode="External"/><Relationship Id="rId67" Type="http://schemas.openxmlformats.org/officeDocument/2006/relationships/hyperlink" Target="https://tools.l2.dwh.sb-sys.info/userhelp/data/komoku" TargetMode="External"/><Relationship Id="rId20" Type="http://schemas.openxmlformats.org/officeDocument/2006/relationships/hyperlink" Target="https://tools.l2.dwh.sb-sys.info/userhelp/data/komoku" TargetMode="External"/><Relationship Id="rId41" Type="http://schemas.openxmlformats.org/officeDocument/2006/relationships/hyperlink" Target="https://tools.l2.dwh.sb-sys.info/userhelp/data/komoku" TargetMode="External"/><Relationship Id="rId54" Type="http://schemas.openxmlformats.org/officeDocument/2006/relationships/hyperlink" Target="https://tools.l2.dwh.sb-sys.info/userhelp/data/komoku" TargetMode="External"/><Relationship Id="rId62" Type="http://schemas.openxmlformats.org/officeDocument/2006/relationships/hyperlink" Target="https://tools.l2.dwh.sb-sys.info/userhelp/data/komoku" TargetMode="External"/><Relationship Id="rId70" Type="http://schemas.openxmlformats.org/officeDocument/2006/relationships/hyperlink" Target="https://tools.l2.dwh.sb-sys.info/userhelp/data/komoku" TargetMode="External"/><Relationship Id="rId75" Type="http://schemas.openxmlformats.org/officeDocument/2006/relationships/hyperlink" Target="https://tools.l2.dwh.sb-sys.info/userhelp/data/komoku" TargetMode="External"/><Relationship Id="rId83" Type="http://schemas.openxmlformats.org/officeDocument/2006/relationships/hyperlink" Target="https://tools.l2.dwh.sb-sys.info/userhelp/data/komoku" TargetMode="External"/><Relationship Id="rId88" Type="http://schemas.openxmlformats.org/officeDocument/2006/relationships/hyperlink" Target="https://tools.l2.dwh.sb-sys.info/userhelp/data/komoku" TargetMode="External"/><Relationship Id="rId91" Type="http://schemas.openxmlformats.org/officeDocument/2006/relationships/hyperlink" Target="https://tools.l2.dwh.sb-sys.info/userhelp/data/komoku" TargetMode="External"/><Relationship Id="rId96" Type="http://schemas.openxmlformats.org/officeDocument/2006/relationships/hyperlink" Target="https://tools.l2.dwh.sb-sys.info/userhelp/data/komoku" TargetMode="External"/><Relationship Id="rId1" Type="http://schemas.openxmlformats.org/officeDocument/2006/relationships/hyperlink" Target="https://tools.l2.dwh.sb-sys.info/userhelp/data/komoku" TargetMode="External"/><Relationship Id="rId6" Type="http://schemas.openxmlformats.org/officeDocument/2006/relationships/hyperlink" Target="https://tools.l2.dwh.sb-sys.info/userhelp/data/komoku" TargetMode="External"/><Relationship Id="rId15" Type="http://schemas.openxmlformats.org/officeDocument/2006/relationships/hyperlink" Target="https://tools.l2.dwh.sb-sys.info/userhelp/data/komoku" TargetMode="External"/><Relationship Id="rId23" Type="http://schemas.openxmlformats.org/officeDocument/2006/relationships/hyperlink" Target="https://tools.l2.dwh.sb-sys.info/userhelp/data/komoku" TargetMode="External"/><Relationship Id="rId28" Type="http://schemas.openxmlformats.org/officeDocument/2006/relationships/hyperlink" Target="https://tools.l2.dwh.sb-sys.info/userhelp/data/komoku" TargetMode="External"/><Relationship Id="rId36" Type="http://schemas.openxmlformats.org/officeDocument/2006/relationships/hyperlink" Target="https://tools.l2.dwh.sb-sys.info/userhelp/data/komoku" TargetMode="External"/><Relationship Id="rId49" Type="http://schemas.openxmlformats.org/officeDocument/2006/relationships/hyperlink" Target="https://tools.l2.dwh.sb-sys.info/userhelp/data/komoku" TargetMode="External"/><Relationship Id="rId57" Type="http://schemas.openxmlformats.org/officeDocument/2006/relationships/hyperlink" Target="https://tools.l2.dwh.sb-sys.info/userhelp/data/komoku" TargetMode="External"/><Relationship Id="rId10" Type="http://schemas.openxmlformats.org/officeDocument/2006/relationships/hyperlink" Target="https://tools.l2.dwh.sb-sys.info/userhelp/data/komoku" TargetMode="External"/><Relationship Id="rId31" Type="http://schemas.openxmlformats.org/officeDocument/2006/relationships/hyperlink" Target="https://tools.l2.dwh.sb-sys.info/userhelp/data/komoku" TargetMode="External"/><Relationship Id="rId44" Type="http://schemas.openxmlformats.org/officeDocument/2006/relationships/hyperlink" Target="https://tools.l2.dwh.sb-sys.info/userhelp/data/komoku" TargetMode="External"/><Relationship Id="rId52" Type="http://schemas.openxmlformats.org/officeDocument/2006/relationships/hyperlink" Target="https://tools.l2.dwh.sb-sys.info/userhelp/data/komoku" TargetMode="External"/><Relationship Id="rId60" Type="http://schemas.openxmlformats.org/officeDocument/2006/relationships/hyperlink" Target="https://tools.l2.dwh.sb-sys.info/userhelp/data/komoku" TargetMode="External"/><Relationship Id="rId65" Type="http://schemas.openxmlformats.org/officeDocument/2006/relationships/hyperlink" Target="https://tools.l2.dwh.sb-sys.info/userhelp/data/komoku" TargetMode="External"/><Relationship Id="rId73" Type="http://schemas.openxmlformats.org/officeDocument/2006/relationships/hyperlink" Target="https://tools.l2.dwh.sb-sys.info/userhelp/data/komoku" TargetMode="External"/><Relationship Id="rId78" Type="http://schemas.openxmlformats.org/officeDocument/2006/relationships/hyperlink" Target="https://tools.l2.dwh.sb-sys.info/userhelp/data/komoku" TargetMode="External"/><Relationship Id="rId81" Type="http://schemas.openxmlformats.org/officeDocument/2006/relationships/hyperlink" Target="https://tools.l2.dwh.sb-sys.info/userhelp/data/komoku" TargetMode="External"/><Relationship Id="rId86" Type="http://schemas.openxmlformats.org/officeDocument/2006/relationships/hyperlink" Target="https://tools.l2.dwh.sb-sys.info/userhelp/data/komoku" TargetMode="External"/><Relationship Id="rId94" Type="http://schemas.openxmlformats.org/officeDocument/2006/relationships/hyperlink" Target="https://tools.l2.dwh.sb-sys.info/userhelp/data/komoku" TargetMode="External"/><Relationship Id="rId99" Type="http://schemas.openxmlformats.org/officeDocument/2006/relationships/printerSettings" Target="../printerSettings/printerSettings17.bin"/><Relationship Id="rId4" Type="http://schemas.openxmlformats.org/officeDocument/2006/relationships/hyperlink" Target="https://tools.l2.dwh.sb-sys.info/userhelp/data/komoku" TargetMode="External"/><Relationship Id="rId9" Type="http://schemas.openxmlformats.org/officeDocument/2006/relationships/hyperlink" Target="https://tools.l2.dwh.sb-sys.info/userhelp/data/komoku" TargetMode="External"/><Relationship Id="rId13" Type="http://schemas.openxmlformats.org/officeDocument/2006/relationships/hyperlink" Target="https://tools.l2.dwh.sb-sys.info/userhelp/data/komoku" TargetMode="External"/><Relationship Id="rId18" Type="http://schemas.openxmlformats.org/officeDocument/2006/relationships/hyperlink" Target="https://tools.l2.dwh.sb-sys.info/userhelp/data/komoku" TargetMode="External"/><Relationship Id="rId39" Type="http://schemas.openxmlformats.org/officeDocument/2006/relationships/hyperlink" Target="https://tools.l2.dwh.sb-sys.info/userhelp/data/komoku" TargetMode="External"/><Relationship Id="rId34" Type="http://schemas.openxmlformats.org/officeDocument/2006/relationships/hyperlink" Target="https://tools.l2.dwh.sb-sys.info/userhelp/data/komoku" TargetMode="External"/><Relationship Id="rId50" Type="http://schemas.openxmlformats.org/officeDocument/2006/relationships/hyperlink" Target="https://tools.l2.dwh.sb-sys.info/userhelp/data/komoku" TargetMode="External"/><Relationship Id="rId55" Type="http://schemas.openxmlformats.org/officeDocument/2006/relationships/hyperlink" Target="https://tools.l2.dwh.sb-sys.info/userhelp/data/komoku" TargetMode="External"/><Relationship Id="rId76" Type="http://schemas.openxmlformats.org/officeDocument/2006/relationships/hyperlink" Target="https://tools.l2.dwh.sb-sys.info/userhelp/data/komoku" TargetMode="External"/><Relationship Id="rId97" Type="http://schemas.openxmlformats.org/officeDocument/2006/relationships/hyperlink" Target="https://tools.l2.dwh.sb-sys.info/userhelp/data/komoku" TargetMode="External"/><Relationship Id="rId7" Type="http://schemas.openxmlformats.org/officeDocument/2006/relationships/hyperlink" Target="https://tools.l2.dwh.sb-sys.info/userhelp/data/komoku" TargetMode="External"/><Relationship Id="rId71" Type="http://schemas.openxmlformats.org/officeDocument/2006/relationships/hyperlink" Target="https://tools.l2.dwh.sb-sys.info/userhelp/data/komoku" TargetMode="External"/><Relationship Id="rId92" Type="http://schemas.openxmlformats.org/officeDocument/2006/relationships/hyperlink" Target="https://tools.l2.dwh.sb-sys.info/userhelp/data/komoku" TargetMode="External"/><Relationship Id="rId2" Type="http://schemas.openxmlformats.org/officeDocument/2006/relationships/hyperlink" Target="https://tools.l2.dwh.sb-sys.info/userhelp/data/komoku" TargetMode="External"/><Relationship Id="rId29" Type="http://schemas.openxmlformats.org/officeDocument/2006/relationships/hyperlink" Target="https://tools.l2.dwh.sb-sys.info/userhelp/data/komoku" TargetMode="External"/><Relationship Id="rId24" Type="http://schemas.openxmlformats.org/officeDocument/2006/relationships/hyperlink" Target="https://tools.l2.dwh.sb-sys.info/userhelp/data/komoku" TargetMode="External"/><Relationship Id="rId40" Type="http://schemas.openxmlformats.org/officeDocument/2006/relationships/hyperlink" Target="https://tools.l2.dwh.sb-sys.info/userhelp/data/komoku" TargetMode="External"/><Relationship Id="rId45" Type="http://schemas.openxmlformats.org/officeDocument/2006/relationships/hyperlink" Target="https://tools.l2.dwh.sb-sys.info/userhelp/data/komoku" TargetMode="External"/><Relationship Id="rId66" Type="http://schemas.openxmlformats.org/officeDocument/2006/relationships/hyperlink" Target="https://tools.l2.dwh.sb-sys.info/userhelp/data/komoku" TargetMode="External"/><Relationship Id="rId87" Type="http://schemas.openxmlformats.org/officeDocument/2006/relationships/hyperlink" Target="https://tools.l2.dwh.sb-sys.info/userhelp/data/komoku" TargetMode="External"/><Relationship Id="rId61" Type="http://schemas.openxmlformats.org/officeDocument/2006/relationships/hyperlink" Target="https://tools.l2.dwh.sb-sys.info/userhelp/data/komoku" TargetMode="External"/><Relationship Id="rId82" Type="http://schemas.openxmlformats.org/officeDocument/2006/relationships/hyperlink" Target="https://tools.l2.dwh.sb-sys.info/userhelp/data/komoku" TargetMode="External"/><Relationship Id="rId19" Type="http://schemas.openxmlformats.org/officeDocument/2006/relationships/hyperlink" Target="https://tools.l2.dwh.sb-sys.info/userhelp/data/komoku" TargetMode="External"/><Relationship Id="rId14" Type="http://schemas.openxmlformats.org/officeDocument/2006/relationships/hyperlink" Target="https://tools.l2.dwh.sb-sys.info/userhelp/data/komoku" TargetMode="External"/><Relationship Id="rId30" Type="http://schemas.openxmlformats.org/officeDocument/2006/relationships/hyperlink" Target="https://tools.l2.dwh.sb-sys.info/userhelp/data/komoku" TargetMode="External"/><Relationship Id="rId35" Type="http://schemas.openxmlformats.org/officeDocument/2006/relationships/hyperlink" Target="https://tools.l2.dwh.sb-sys.info/userhelp/data/komoku" TargetMode="External"/><Relationship Id="rId56" Type="http://schemas.openxmlformats.org/officeDocument/2006/relationships/hyperlink" Target="https://tools.l2.dwh.sb-sys.info/userhelp/data/komoku" TargetMode="External"/><Relationship Id="rId77" Type="http://schemas.openxmlformats.org/officeDocument/2006/relationships/hyperlink" Target="https://tools.l2.dwh.sb-sys.info/userhelp/data/komoku" TargetMode="External"/><Relationship Id="rId8" Type="http://schemas.openxmlformats.org/officeDocument/2006/relationships/hyperlink" Target="https://tools.l2.dwh.sb-sys.info/userhelp/data/komoku" TargetMode="External"/><Relationship Id="rId51" Type="http://schemas.openxmlformats.org/officeDocument/2006/relationships/hyperlink" Target="https://tools.l2.dwh.sb-sys.info/userhelp/data/komoku" TargetMode="External"/><Relationship Id="rId72" Type="http://schemas.openxmlformats.org/officeDocument/2006/relationships/hyperlink" Target="https://tools.l2.dwh.sb-sys.info/userhelp/data/komoku" TargetMode="External"/><Relationship Id="rId93" Type="http://schemas.openxmlformats.org/officeDocument/2006/relationships/hyperlink" Target="https://tools.l2.dwh.sb-sys.info/userhelp/data/komoku" TargetMode="External"/><Relationship Id="rId98" Type="http://schemas.openxmlformats.org/officeDocument/2006/relationships/hyperlink" Target="https://tools.l2.dwh.sb-sys.info/userhelp/data/komoku"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tools.l2.dwh.sb-sys.info/userhelp/data/komoku" TargetMode="External"/><Relationship Id="rId3" Type="http://schemas.openxmlformats.org/officeDocument/2006/relationships/hyperlink" Target="https://tools.l2.dwh.sb-sys.info/userhelp/data/komoku" TargetMode="External"/><Relationship Id="rId7" Type="http://schemas.openxmlformats.org/officeDocument/2006/relationships/hyperlink" Target="https://tools.l2.dwh.sb-sys.info/userhelp/data/komoku" TargetMode="External"/><Relationship Id="rId2" Type="http://schemas.openxmlformats.org/officeDocument/2006/relationships/hyperlink" Target="https://tools.l2.dwh.sb-sys.info/userhelp/data/komoku" TargetMode="External"/><Relationship Id="rId1" Type="http://schemas.openxmlformats.org/officeDocument/2006/relationships/hyperlink" Target="https://tools.l2.dwh.sb-sys.info/userhelp/data/komoku" TargetMode="External"/><Relationship Id="rId6" Type="http://schemas.openxmlformats.org/officeDocument/2006/relationships/hyperlink" Target="https://tools.l2.dwh.sb-sys.info/userhelp/data/komoku" TargetMode="External"/><Relationship Id="rId5" Type="http://schemas.openxmlformats.org/officeDocument/2006/relationships/hyperlink" Target="https://tools.l2.dwh.sb-sys.info/userhelp/data/komoku" TargetMode="External"/><Relationship Id="rId10" Type="http://schemas.openxmlformats.org/officeDocument/2006/relationships/printerSettings" Target="../printerSettings/printerSettings18.bin"/><Relationship Id="rId4" Type="http://schemas.openxmlformats.org/officeDocument/2006/relationships/hyperlink" Target="https://tools.l2.dwh.sb-sys.info/userhelp/data/komoku" TargetMode="External"/><Relationship Id="rId9" Type="http://schemas.openxmlformats.org/officeDocument/2006/relationships/hyperlink" Target="https://tools.l2.dwh.sb-sys.info/userhelp/data/komoku" TargetMode="External"/></Relationships>
</file>

<file path=xl/worksheets/_rels/sheet22.xml.rels><?xml version="1.0" encoding="UTF-8" standalone="yes"?>
<Relationships xmlns="http://schemas.openxmlformats.org/package/2006/relationships"><Relationship Id="rId117" Type="http://schemas.openxmlformats.org/officeDocument/2006/relationships/hyperlink" Target="https://tools.l2.dwh.sb-sys.info/userhelp/data/komoku" TargetMode="External"/><Relationship Id="rId21" Type="http://schemas.openxmlformats.org/officeDocument/2006/relationships/hyperlink" Target="https://tools.l2.dwh.sb-sys.info/userhelp/data/komoku" TargetMode="External"/><Relationship Id="rId42" Type="http://schemas.openxmlformats.org/officeDocument/2006/relationships/hyperlink" Target="https://tools.l2.dwh.sb-sys.info/userhelp/data/komoku" TargetMode="External"/><Relationship Id="rId63" Type="http://schemas.openxmlformats.org/officeDocument/2006/relationships/hyperlink" Target="https://tools.l2.dwh.sb-sys.info/userhelp/data/komoku" TargetMode="External"/><Relationship Id="rId84" Type="http://schemas.openxmlformats.org/officeDocument/2006/relationships/hyperlink" Target="https://tools.l2.dwh.sb-sys.info/userhelp/data/komoku" TargetMode="External"/><Relationship Id="rId138" Type="http://schemas.openxmlformats.org/officeDocument/2006/relationships/hyperlink" Target="https://tools.l2.dwh.sb-sys.info/userhelp/data/komoku" TargetMode="External"/><Relationship Id="rId159" Type="http://schemas.openxmlformats.org/officeDocument/2006/relationships/hyperlink" Target="https://tools.l2.dwh.sb-sys.info/userhelp/data/komoku" TargetMode="External"/><Relationship Id="rId170" Type="http://schemas.openxmlformats.org/officeDocument/2006/relationships/hyperlink" Target="https://tools.l2.dwh.sb-sys.info/userhelp/data/komoku" TargetMode="External"/><Relationship Id="rId191" Type="http://schemas.openxmlformats.org/officeDocument/2006/relationships/hyperlink" Target="https://tools.l2.dwh.sb-sys.info/userhelp/data/komoku" TargetMode="External"/><Relationship Id="rId205" Type="http://schemas.openxmlformats.org/officeDocument/2006/relationships/hyperlink" Target="https://tools.l2.dwh.sb-sys.info/userhelp/data/komoku" TargetMode="External"/><Relationship Id="rId107" Type="http://schemas.openxmlformats.org/officeDocument/2006/relationships/hyperlink" Target="https://tools.l2.dwh.sb-sys.info/userhelp/data/komoku" TargetMode="External"/><Relationship Id="rId11" Type="http://schemas.openxmlformats.org/officeDocument/2006/relationships/hyperlink" Target="https://tools.l2.dwh.sb-sys.info/userhelp/data/komoku" TargetMode="External"/><Relationship Id="rId32" Type="http://schemas.openxmlformats.org/officeDocument/2006/relationships/hyperlink" Target="https://tools.l2.dwh.sb-sys.info/userhelp/data/komoku" TargetMode="External"/><Relationship Id="rId53" Type="http://schemas.openxmlformats.org/officeDocument/2006/relationships/hyperlink" Target="https://tools.l2.dwh.sb-sys.info/userhelp/data/komoku" TargetMode="External"/><Relationship Id="rId74" Type="http://schemas.openxmlformats.org/officeDocument/2006/relationships/hyperlink" Target="https://tools.l2.dwh.sb-sys.info/userhelp/data/komoku" TargetMode="External"/><Relationship Id="rId128" Type="http://schemas.openxmlformats.org/officeDocument/2006/relationships/hyperlink" Target="https://tools.l2.dwh.sb-sys.info/userhelp/data/komoku" TargetMode="External"/><Relationship Id="rId149" Type="http://schemas.openxmlformats.org/officeDocument/2006/relationships/hyperlink" Target="https://tools.l2.dwh.sb-sys.info/userhelp/data/komoku" TargetMode="External"/><Relationship Id="rId5" Type="http://schemas.openxmlformats.org/officeDocument/2006/relationships/hyperlink" Target="https://tools.l2.dwh.sb-sys.info/userhelp/data/komoku" TargetMode="External"/><Relationship Id="rId95" Type="http://schemas.openxmlformats.org/officeDocument/2006/relationships/hyperlink" Target="https://tools.l2.dwh.sb-sys.info/userhelp/data/komoku" TargetMode="External"/><Relationship Id="rId160" Type="http://schemas.openxmlformats.org/officeDocument/2006/relationships/hyperlink" Target="https://tools.l2.dwh.sb-sys.info/userhelp/data/komoku" TargetMode="External"/><Relationship Id="rId181" Type="http://schemas.openxmlformats.org/officeDocument/2006/relationships/hyperlink" Target="https://tools.l2.dwh.sb-sys.info/userhelp/data/komoku" TargetMode="External"/><Relationship Id="rId22" Type="http://schemas.openxmlformats.org/officeDocument/2006/relationships/hyperlink" Target="https://tools.l2.dwh.sb-sys.info/userhelp/data/komoku" TargetMode="External"/><Relationship Id="rId43" Type="http://schemas.openxmlformats.org/officeDocument/2006/relationships/hyperlink" Target="https://tools.l2.dwh.sb-sys.info/userhelp/data/komoku" TargetMode="External"/><Relationship Id="rId64" Type="http://schemas.openxmlformats.org/officeDocument/2006/relationships/hyperlink" Target="https://tools.l2.dwh.sb-sys.info/userhelp/data/komoku" TargetMode="External"/><Relationship Id="rId118" Type="http://schemas.openxmlformats.org/officeDocument/2006/relationships/hyperlink" Target="https://tools.l2.dwh.sb-sys.info/userhelp/data/komoku" TargetMode="External"/><Relationship Id="rId139" Type="http://schemas.openxmlformats.org/officeDocument/2006/relationships/hyperlink" Target="https://tools.l2.dwh.sb-sys.info/userhelp/data/komoku" TargetMode="External"/><Relationship Id="rId85" Type="http://schemas.openxmlformats.org/officeDocument/2006/relationships/hyperlink" Target="https://tools.l2.dwh.sb-sys.info/userhelp/data/komoku" TargetMode="External"/><Relationship Id="rId150" Type="http://schemas.openxmlformats.org/officeDocument/2006/relationships/hyperlink" Target="https://tools.l2.dwh.sb-sys.info/userhelp/data/komoku" TargetMode="External"/><Relationship Id="rId171" Type="http://schemas.openxmlformats.org/officeDocument/2006/relationships/hyperlink" Target="https://tools.l2.dwh.sb-sys.info/userhelp/data/komoku" TargetMode="External"/><Relationship Id="rId192" Type="http://schemas.openxmlformats.org/officeDocument/2006/relationships/hyperlink" Target="https://tools.l2.dwh.sb-sys.info/userhelp/data/komoku" TargetMode="External"/><Relationship Id="rId206" Type="http://schemas.openxmlformats.org/officeDocument/2006/relationships/hyperlink" Target="https://tools.l2.dwh.sb-sys.info/userhelp/data/komoku" TargetMode="External"/><Relationship Id="rId12" Type="http://schemas.openxmlformats.org/officeDocument/2006/relationships/hyperlink" Target="https://tools.l2.dwh.sb-sys.info/userhelp/data/komoku" TargetMode="External"/><Relationship Id="rId33" Type="http://schemas.openxmlformats.org/officeDocument/2006/relationships/hyperlink" Target="https://tools.l2.dwh.sb-sys.info/userhelp/data/komoku" TargetMode="External"/><Relationship Id="rId108" Type="http://schemas.openxmlformats.org/officeDocument/2006/relationships/hyperlink" Target="https://tools.l2.dwh.sb-sys.info/userhelp/data/komoku" TargetMode="External"/><Relationship Id="rId129" Type="http://schemas.openxmlformats.org/officeDocument/2006/relationships/hyperlink" Target="https://tools.l2.dwh.sb-sys.info/userhelp/data/komoku" TargetMode="External"/><Relationship Id="rId54" Type="http://schemas.openxmlformats.org/officeDocument/2006/relationships/hyperlink" Target="https://tools.l2.dwh.sb-sys.info/userhelp/data/komoku" TargetMode="External"/><Relationship Id="rId75" Type="http://schemas.openxmlformats.org/officeDocument/2006/relationships/hyperlink" Target="https://tools.l2.dwh.sb-sys.info/userhelp/data/komoku" TargetMode="External"/><Relationship Id="rId96" Type="http://schemas.openxmlformats.org/officeDocument/2006/relationships/hyperlink" Target="https://tools.l2.dwh.sb-sys.info/userhelp/data/komoku" TargetMode="External"/><Relationship Id="rId140" Type="http://schemas.openxmlformats.org/officeDocument/2006/relationships/hyperlink" Target="https://tools.l2.dwh.sb-sys.info/userhelp/data/komoku" TargetMode="External"/><Relationship Id="rId161" Type="http://schemas.openxmlformats.org/officeDocument/2006/relationships/hyperlink" Target="https://tools.l2.dwh.sb-sys.info/userhelp/data/komoku" TargetMode="External"/><Relationship Id="rId182" Type="http://schemas.openxmlformats.org/officeDocument/2006/relationships/hyperlink" Target="https://tools.l2.dwh.sb-sys.info/userhelp/data/komoku" TargetMode="External"/><Relationship Id="rId6" Type="http://schemas.openxmlformats.org/officeDocument/2006/relationships/hyperlink" Target="https://tools.l2.dwh.sb-sys.info/userhelp/data/komoku" TargetMode="External"/><Relationship Id="rId23" Type="http://schemas.openxmlformats.org/officeDocument/2006/relationships/hyperlink" Target="https://tools.l2.dwh.sb-sys.info/userhelp/data/komoku" TargetMode="External"/><Relationship Id="rId119" Type="http://schemas.openxmlformats.org/officeDocument/2006/relationships/hyperlink" Target="https://tools.l2.dwh.sb-sys.info/userhelp/data/komoku" TargetMode="External"/><Relationship Id="rId44" Type="http://schemas.openxmlformats.org/officeDocument/2006/relationships/hyperlink" Target="https://tools.l2.dwh.sb-sys.info/userhelp/data/komoku" TargetMode="External"/><Relationship Id="rId65" Type="http://schemas.openxmlformats.org/officeDocument/2006/relationships/hyperlink" Target="https://tools.l2.dwh.sb-sys.info/userhelp/data/komoku" TargetMode="External"/><Relationship Id="rId86" Type="http://schemas.openxmlformats.org/officeDocument/2006/relationships/hyperlink" Target="https://tools.l2.dwh.sb-sys.info/userhelp/data/komoku" TargetMode="External"/><Relationship Id="rId130" Type="http://schemas.openxmlformats.org/officeDocument/2006/relationships/hyperlink" Target="https://tools.l2.dwh.sb-sys.info/userhelp/data/komoku" TargetMode="External"/><Relationship Id="rId151" Type="http://schemas.openxmlformats.org/officeDocument/2006/relationships/hyperlink" Target="https://tools.l2.dwh.sb-sys.info/userhelp/data/komoku" TargetMode="External"/><Relationship Id="rId172" Type="http://schemas.openxmlformats.org/officeDocument/2006/relationships/hyperlink" Target="https://tools.l2.dwh.sb-sys.info/userhelp/data/komoku" TargetMode="External"/><Relationship Id="rId193" Type="http://schemas.openxmlformats.org/officeDocument/2006/relationships/hyperlink" Target="https://tools.l2.dwh.sb-sys.info/userhelp/data/komoku" TargetMode="External"/><Relationship Id="rId207" Type="http://schemas.openxmlformats.org/officeDocument/2006/relationships/hyperlink" Target="https://tools.l2.dwh.sb-sys.info/userhelp/data/komoku" TargetMode="External"/><Relationship Id="rId13" Type="http://schemas.openxmlformats.org/officeDocument/2006/relationships/hyperlink" Target="https://tools.l2.dwh.sb-sys.info/userhelp/data/komoku" TargetMode="External"/><Relationship Id="rId109" Type="http://schemas.openxmlformats.org/officeDocument/2006/relationships/hyperlink" Target="https://tools.l2.dwh.sb-sys.info/userhelp/data/komoku" TargetMode="External"/><Relationship Id="rId34" Type="http://schemas.openxmlformats.org/officeDocument/2006/relationships/hyperlink" Target="https://tools.l2.dwh.sb-sys.info/userhelp/data/komoku" TargetMode="External"/><Relationship Id="rId55" Type="http://schemas.openxmlformats.org/officeDocument/2006/relationships/hyperlink" Target="https://tools.l2.dwh.sb-sys.info/userhelp/data/komoku" TargetMode="External"/><Relationship Id="rId76" Type="http://schemas.openxmlformats.org/officeDocument/2006/relationships/hyperlink" Target="https://tools.l2.dwh.sb-sys.info/userhelp/data/komoku" TargetMode="External"/><Relationship Id="rId97" Type="http://schemas.openxmlformats.org/officeDocument/2006/relationships/hyperlink" Target="https://tools.l2.dwh.sb-sys.info/userhelp/data/komoku" TargetMode="External"/><Relationship Id="rId120" Type="http://schemas.openxmlformats.org/officeDocument/2006/relationships/hyperlink" Target="https://tools.l2.dwh.sb-sys.info/userhelp/data/komoku" TargetMode="External"/><Relationship Id="rId141" Type="http://schemas.openxmlformats.org/officeDocument/2006/relationships/hyperlink" Target="https://tools.l2.dwh.sb-sys.info/userhelp/data/komoku" TargetMode="External"/><Relationship Id="rId7" Type="http://schemas.openxmlformats.org/officeDocument/2006/relationships/hyperlink" Target="https://tools.l2.dwh.sb-sys.info/userhelp/data/komoku" TargetMode="External"/><Relationship Id="rId162" Type="http://schemas.openxmlformats.org/officeDocument/2006/relationships/hyperlink" Target="https://tools.l2.dwh.sb-sys.info/userhelp/data/komoku" TargetMode="External"/><Relationship Id="rId183" Type="http://schemas.openxmlformats.org/officeDocument/2006/relationships/hyperlink" Target="https://tools.l2.dwh.sb-sys.info/userhelp/data/komoku" TargetMode="External"/><Relationship Id="rId24" Type="http://schemas.openxmlformats.org/officeDocument/2006/relationships/hyperlink" Target="https://tools.l2.dwh.sb-sys.info/userhelp/data/komoku" TargetMode="External"/><Relationship Id="rId45" Type="http://schemas.openxmlformats.org/officeDocument/2006/relationships/hyperlink" Target="https://tools.l2.dwh.sb-sys.info/userhelp/data/komoku" TargetMode="External"/><Relationship Id="rId66" Type="http://schemas.openxmlformats.org/officeDocument/2006/relationships/hyperlink" Target="https://tools.l2.dwh.sb-sys.info/userhelp/data/komoku" TargetMode="External"/><Relationship Id="rId87" Type="http://schemas.openxmlformats.org/officeDocument/2006/relationships/hyperlink" Target="https://tools.l2.dwh.sb-sys.info/userhelp/data/komoku" TargetMode="External"/><Relationship Id="rId110" Type="http://schemas.openxmlformats.org/officeDocument/2006/relationships/hyperlink" Target="https://tools.l2.dwh.sb-sys.info/userhelp/data/komoku" TargetMode="External"/><Relationship Id="rId131" Type="http://schemas.openxmlformats.org/officeDocument/2006/relationships/hyperlink" Target="https://tools.l2.dwh.sb-sys.info/userhelp/data/komoku" TargetMode="External"/><Relationship Id="rId152" Type="http://schemas.openxmlformats.org/officeDocument/2006/relationships/hyperlink" Target="https://tools.l2.dwh.sb-sys.info/userhelp/data/komoku" TargetMode="External"/><Relationship Id="rId173" Type="http://schemas.openxmlformats.org/officeDocument/2006/relationships/hyperlink" Target="https://tools.l2.dwh.sb-sys.info/userhelp/data/komoku" TargetMode="External"/><Relationship Id="rId194" Type="http://schemas.openxmlformats.org/officeDocument/2006/relationships/hyperlink" Target="https://tools.l2.dwh.sb-sys.info/userhelp/data/komoku" TargetMode="External"/><Relationship Id="rId208" Type="http://schemas.openxmlformats.org/officeDocument/2006/relationships/hyperlink" Target="https://tools.l2.dwh.sb-sys.info/userhelp/data/komoku" TargetMode="External"/><Relationship Id="rId19" Type="http://schemas.openxmlformats.org/officeDocument/2006/relationships/hyperlink" Target="https://tools.l2.dwh.sb-sys.info/userhelp/data/komoku" TargetMode="External"/><Relationship Id="rId14" Type="http://schemas.openxmlformats.org/officeDocument/2006/relationships/hyperlink" Target="https://tools.l2.dwh.sb-sys.info/userhelp/data/komoku" TargetMode="External"/><Relationship Id="rId30" Type="http://schemas.openxmlformats.org/officeDocument/2006/relationships/hyperlink" Target="https://tools.l2.dwh.sb-sys.info/userhelp/data/komoku" TargetMode="External"/><Relationship Id="rId35" Type="http://schemas.openxmlformats.org/officeDocument/2006/relationships/hyperlink" Target="https://tools.l2.dwh.sb-sys.info/userhelp/data/komoku" TargetMode="External"/><Relationship Id="rId56" Type="http://schemas.openxmlformats.org/officeDocument/2006/relationships/hyperlink" Target="https://tools.l2.dwh.sb-sys.info/userhelp/data/komoku" TargetMode="External"/><Relationship Id="rId77" Type="http://schemas.openxmlformats.org/officeDocument/2006/relationships/hyperlink" Target="https://tools.l2.dwh.sb-sys.info/userhelp/data/komoku" TargetMode="External"/><Relationship Id="rId100" Type="http://schemas.openxmlformats.org/officeDocument/2006/relationships/hyperlink" Target="https://tools.l2.dwh.sb-sys.info/userhelp/data/komoku" TargetMode="External"/><Relationship Id="rId105" Type="http://schemas.openxmlformats.org/officeDocument/2006/relationships/hyperlink" Target="https://tools.l2.dwh.sb-sys.info/userhelp/data/komoku" TargetMode="External"/><Relationship Id="rId126" Type="http://schemas.openxmlformats.org/officeDocument/2006/relationships/hyperlink" Target="https://tools.l2.dwh.sb-sys.info/userhelp/data/komoku" TargetMode="External"/><Relationship Id="rId147" Type="http://schemas.openxmlformats.org/officeDocument/2006/relationships/hyperlink" Target="https://tools.l2.dwh.sb-sys.info/userhelp/data/komoku" TargetMode="External"/><Relationship Id="rId168" Type="http://schemas.openxmlformats.org/officeDocument/2006/relationships/hyperlink" Target="https://tools.l2.dwh.sb-sys.info/userhelp/data/komoku" TargetMode="External"/><Relationship Id="rId8" Type="http://schemas.openxmlformats.org/officeDocument/2006/relationships/hyperlink" Target="https://tools.l2.dwh.sb-sys.info/userhelp/data/komoku" TargetMode="External"/><Relationship Id="rId51" Type="http://schemas.openxmlformats.org/officeDocument/2006/relationships/hyperlink" Target="https://tools.l2.dwh.sb-sys.info/userhelp/data/komoku" TargetMode="External"/><Relationship Id="rId72" Type="http://schemas.openxmlformats.org/officeDocument/2006/relationships/hyperlink" Target="https://tools.l2.dwh.sb-sys.info/userhelp/data/komoku" TargetMode="External"/><Relationship Id="rId93" Type="http://schemas.openxmlformats.org/officeDocument/2006/relationships/hyperlink" Target="https://tools.l2.dwh.sb-sys.info/userhelp/data/komoku" TargetMode="External"/><Relationship Id="rId98" Type="http://schemas.openxmlformats.org/officeDocument/2006/relationships/hyperlink" Target="https://tools.l2.dwh.sb-sys.info/userhelp/data/komoku" TargetMode="External"/><Relationship Id="rId121" Type="http://schemas.openxmlformats.org/officeDocument/2006/relationships/hyperlink" Target="https://tools.l2.dwh.sb-sys.info/userhelp/data/komoku" TargetMode="External"/><Relationship Id="rId142" Type="http://schemas.openxmlformats.org/officeDocument/2006/relationships/hyperlink" Target="https://tools.l2.dwh.sb-sys.info/userhelp/data/komoku" TargetMode="External"/><Relationship Id="rId163" Type="http://schemas.openxmlformats.org/officeDocument/2006/relationships/hyperlink" Target="https://tools.l2.dwh.sb-sys.info/userhelp/data/komoku" TargetMode="External"/><Relationship Id="rId184" Type="http://schemas.openxmlformats.org/officeDocument/2006/relationships/hyperlink" Target="https://tools.l2.dwh.sb-sys.info/userhelp/data/komoku" TargetMode="External"/><Relationship Id="rId189" Type="http://schemas.openxmlformats.org/officeDocument/2006/relationships/hyperlink" Target="https://tools.l2.dwh.sb-sys.info/userhelp/data/komoku" TargetMode="External"/><Relationship Id="rId3" Type="http://schemas.openxmlformats.org/officeDocument/2006/relationships/hyperlink" Target="https://tools.l2.dwh.sb-sys.info/userhelp/data/komoku" TargetMode="External"/><Relationship Id="rId214" Type="http://schemas.openxmlformats.org/officeDocument/2006/relationships/hyperlink" Target="https://tools.l2.dwh.sb-sys.info/userhelp/data/komoku" TargetMode="External"/><Relationship Id="rId25" Type="http://schemas.openxmlformats.org/officeDocument/2006/relationships/hyperlink" Target="https://tools.l2.dwh.sb-sys.info/userhelp/data/komoku" TargetMode="External"/><Relationship Id="rId46" Type="http://schemas.openxmlformats.org/officeDocument/2006/relationships/hyperlink" Target="https://tools.l2.dwh.sb-sys.info/userhelp/data/komoku" TargetMode="External"/><Relationship Id="rId67" Type="http://schemas.openxmlformats.org/officeDocument/2006/relationships/hyperlink" Target="https://tools.l2.dwh.sb-sys.info/userhelp/data/komoku" TargetMode="External"/><Relationship Id="rId116" Type="http://schemas.openxmlformats.org/officeDocument/2006/relationships/hyperlink" Target="https://tools.l2.dwh.sb-sys.info/userhelp/data/komoku" TargetMode="External"/><Relationship Id="rId137" Type="http://schemas.openxmlformats.org/officeDocument/2006/relationships/hyperlink" Target="https://tools.l2.dwh.sb-sys.info/userhelp/data/komoku" TargetMode="External"/><Relationship Id="rId158" Type="http://schemas.openxmlformats.org/officeDocument/2006/relationships/hyperlink" Target="https://tools.l2.dwh.sb-sys.info/userhelp/data/komoku" TargetMode="External"/><Relationship Id="rId20" Type="http://schemas.openxmlformats.org/officeDocument/2006/relationships/hyperlink" Target="https://tools.l2.dwh.sb-sys.info/userhelp/data/komoku" TargetMode="External"/><Relationship Id="rId41" Type="http://schemas.openxmlformats.org/officeDocument/2006/relationships/hyperlink" Target="https://tools.l2.dwh.sb-sys.info/userhelp/data/komoku" TargetMode="External"/><Relationship Id="rId62" Type="http://schemas.openxmlformats.org/officeDocument/2006/relationships/hyperlink" Target="https://tools.l2.dwh.sb-sys.info/userhelp/data/komoku" TargetMode="External"/><Relationship Id="rId83" Type="http://schemas.openxmlformats.org/officeDocument/2006/relationships/hyperlink" Target="https://tools.l2.dwh.sb-sys.info/userhelp/data/komoku" TargetMode="External"/><Relationship Id="rId88" Type="http://schemas.openxmlformats.org/officeDocument/2006/relationships/hyperlink" Target="https://tools.l2.dwh.sb-sys.info/userhelp/data/komoku" TargetMode="External"/><Relationship Id="rId111" Type="http://schemas.openxmlformats.org/officeDocument/2006/relationships/hyperlink" Target="https://tools.l2.dwh.sb-sys.info/userhelp/data/komoku" TargetMode="External"/><Relationship Id="rId132" Type="http://schemas.openxmlformats.org/officeDocument/2006/relationships/hyperlink" Target="https://tools.l2.dwh.sb-sys.info/userhelp/data/komoku" TargetMode="External"/><Relationship Id="rId153" Type="http://schemas.openxmlformats.org/officeDocument/2006/relationships/hyperlink" Target="https://tools.l2.dwh.sb-sys.info/userhelp/data/komoku" TargetMode="External"/><Relationship Id="rId174" Type="http://schemas.openxmlformats.org/officeDocument/2006/relationships/hyperlink" Target="https://tools.l2.dwh.sb-sys.info/userhelp/data/komoku" TargetMode="External"/><Relationship Id="rId179" Type="http://schemas.openxmlformats.org/officeDocument/2006/relationships/hyperlink" Target="https://tools.l2.dwh.sb-sys.info/userhelp/data/komoku" TargetMode="External"/><Relationship Id="rId195" Type="http://schemas.openxmlformats.org/officeDocument/2006/relationships/hyperlink" Target="https://tools.l2.dwh.sb-sys.info/userhelp/data/komoku" TargetMode="External"/><Relationship Id="rId209" Type="http://schemas.openxmlformats.org/officeDocument/2006/relationships/hyperlink" Target="https://tools.l2.dwh.sb-sys.info/userhelp/data/komoku" TargetMode="External"/><Relationship Id="rId190" Type="http://schemas.openxmlformats.org/officeDocument/2006/relationships/hyperlink" Target="https://tools.l2.dwh.sb-sys.info/userhelp/data/komoku" TargetMode="External"/><Relationship Id="rId204" Type="http://schemas.openxmlformats.org/officeDocument/2006/relationships/hyperlink" Target="https://tools.l2.dwh.sb-sys.info/userhelp/data/komoku" TargetMode="External"/><Relationship Id="rId15" Type="http://schemas.openxmlformats.org/officeDocument/2006/relationships/hyperlink" Target="https://tools.l2.dwh.sb-sys.info/userhelp/data/komoku" TargetMode="External"/><Relationship Id="rId36" Type="http://schemas.openxmlformats.org/officeDocument/2006/relationships/hyperlink" Target="https://tools.l2.dwh.sb-sys.info/userhelp/data/komoku" TargetMode="External"/><Relationship Id="rId57" Type="http://schemas.openxmlformats.org/officeDocument/2006/relationships/hyperlink" Target="https://tools.l2.dwh.sb-sys.info/userhelp/data/komoku" TargetMode="External"/><Relationship Id="rId106" Type="http://schemas.openxmlformats.org/officeDocument/2006/relationships/hyperlink" Target="https://tools.l2.dwh.sb-sys.info/userhelp/data/komoku" TargetMode="External"/><Relationship Id="rId127" Type="http://schemas.openxmlformats.org/officeDocument/2006/relationships/hyperlink" Target="https://tools.l2.dwh.sb-sys.info/userhelp/data/komoku" TargetMode="External"/><Relationship Id="rId10" Type="http://schemas.openxmlformats.org/officeDocument/2006/relationships/hyperlink" Target="https://tools.l2.dwh.sb-sys.info/userhelp/data/komoku" TargetMode="External"/><Relationship Id="rId31" Type="http://schemas.openxmlformats.org/officeDocument/2006/relationships/hyperlink" Target="https://tools.l2.dwh.sb-sys.info/userhelp/data/komoku" TargetMode="External"/><Relationship Id="rId52" Type="http://schemas.openxmlformats.org/officeDocument/2006/relationships/hyperlink" Target="https://tools.l2.dwh.sb-sys.info/userhelp/data/komoku" TargetMode="External"/><Relationship Id="rId73" Type="http://schemas.openxmlformats.org/officeDocument/2006/relationships/hyperlink" Target="https://tools.l2.dwh.sb-sys.info/userhelp/data/komoku" TargetMode="External"/><Relationship Id="rId78" Type="http://schemas.openxmlformats.org/officeDocument/2006/relationships/hyperlink" Target="https://tools.l2.dwh.sb-sys.info/userhelp/data/komoku" TargetMode="External"/><Relationship Id="rId94" Type="http://schemas.openxmlformats.org/officeDocument/2006/relationships/hyperlink" Target="https://tools.l2.dwh.sb-sys.info/userhelp/data/komoku" TargetMode="External"/><Relationship Id="rId99" Type="http://schemas.openxmlformats.org/officeDocument/2006/relationships/hyperlink" Target="https://tools.l2.dwh.sb-sys.info/userhelp/data/komoku" TargetMode="External"/><Relationship Id="rId101" Type="http://schemas.openxmlformats.org/officeDocument/2006/relationships/hyperlink" Target="https://tools.l2.dwh.sb-sys.info/userhelp/data/komoku" TargetMode="External"/><Relationship Id="rId122" Type="http://schemas.openxmlformats.org/officeDocument/2006/relationships/hyperlink" Target="https://tools.l2.dwh.sb-sys.info/userhelp/data/komoku" TargetMode="External"/><Relationship Id="rId143" Type="http://schemas.openxmlformats.org/officeDocument/2006/relationships/hyperlink" Target="https://tools.l2.dwh.sb-sys.info/userhelp/data/komoku" TargetMode="External"/><Relationship Id="rId148" Type="http://schemas.openxmlformats.org/officeDocument/2006/relationships/hyperlink" Target="https://tools.l2.dwh.sb-sys.info/userhelp/data/komoku" TargetMode="External"/><Relationship Id="rId164" Type="http://schemas.openxmlformats.org/officeDocument/2006/relationships/hyperlink" Target="https://tools.l2.dwh.sb-sys.info/userhelp/data/komoku" TargetMode="External"/><Relationship Id="rId169" Type="http://schemas.openxmlformats.org/officeDocument/2006/relationships/hyperlink" Target="https://tools.l2.dwh.sb-sys.info/userhelp/data/komoku" TargetMode="External"/><Relationship Id="rId185" Type="http://schemas.openxmlformats.org/officeDocument/2006/relationships/hyperlink" Target="https://tools.l2.dwh.sb-sys.info/userhelp/data/komoku" TargetMode="External"/><Relationship Id="rId4" Type="http://schemas.openxmlformats.org/officeDocument/2006/relationships/hyperlink" Target="https://tools.l2.dwh.sb-sys.info/userhelp/data/komoku" TargetMode="External"/><Relationship Id="rId9" Type="http://schemas.openxmlformats.org/officeDocument/2006/relationships/hyperlink" Target="https://tools.l2.dwh.sb-sys.info/userhelp/data/komoku" TargetMode="External"/><Relationship Id="rId180" Type="http://schemas.openxmlformats.org/officeDocument/2006/relationships/hyperlink" Target="https://tools.l2.dwh.sb-sys.info/userhelp/data/komoku" TargetMode="External"/><Relationship Id="rId210" Type="http://schemas.openxmlformats.org/officeDocument/2006/relationships/hyperlink" Target="https://tools.l2.dwh.sb-sys.info/userhelp/data/komoku" TargetMode="External"/><Relationship Id="rId215" Type="http://schemas.openxmlformats.org/officeDocument/2006/relationships/hyperlink" Target="https://tools.l2.dwh.sb-sys.info/userhelp/data/komoku" TargetMode="External"/><Relationship Id="rId26" Type="http://schemas.openxmlformats.org/officeDocument/2006/relationships/hyperlink" Target="https://tools.l2.dwh.sb-sys.info/userhelp/data/komoku" TargetMode="External"/><Relationship Id="rId47" Type="http://schemas.openxmlformats.org/officeDocument/2006/relationships/hyperlink" Target="https://tools.l2.dwh.sb-sys.info/userhelp/data/komoku" TargetMode="External"/><Relationship Id="rId68" Type="http://schemas.openxmlformats.org/officeDocument/2006/relationships/hyperlink" Target="https://tools.l2.dwh.sb-sys.info/userhelp/data/komoku" TargetMode="External"/><Relationship Id="rId89" Type="http://schemas.openxmlformats.org/officeDocument/2006/relationships/hyperlink" Target="https://tools.l2.dwh.sb-sys.info/userhelp/data/komoku" TargetMode="External"/><Relationship Id="rId112" Type="http://schemas.openxmlformats.org/officeDocument/2006/relationships/hyperlink" Target="https://tools.l2.dwh.sb-sys.info/userhelp/data/komoku" TargetMode="External"/><Relationship Id="rId133" Type="http://schemas.openxmlformats.org/officeDocument/2006/relationships/hyperlink" Target="https://tools.l2.dwh.sb-sys.info/userhelp/data/komoku" TargetMode="External"/><Relationship Id="rId154" Type="http://schemas.openxmlformats.org/officeDocument/2006/relationships/hyperlink" Target="https://tools.l2.dwh.sb-sys.info/userhelp/data/komoku" TargetMode="External"/><Relationship Id="rId175" Type="http://schemas.openxmlformats.org/officeDocument/2006/relationships/hyperlink" Target="https://tools.l2.dwh.sb-sys.info/userhelp/data/komoku" TargetMode="External"/><Relationship Id="rId196" Type="http://schemas.openxmlformats.org/officeDocument/2006/relationships/hyperlink" Target="https://tools.l2.dwh.sb-sys.info/userhelp/data/komoku" TargetMode="External"/><Relationship Id="rId200" Type="http://schemas.openxmlformats.org/officeDocument/2006/relationships/hyperlink" Target="https://tools.l2.dwh.sb-sys.info/userhelp/data/komoku" TargetMode="External"/><Relationship Id="rId16" Type="http://schemas.openxmlformats.org/officeDocument/2006/relationships/hyperlink" Target="https://tools.l2.dwh.sb-sys.info/userhelp/data/komoku" TargetMode="External"/><Relationship Id="rId37" Type="http://schemas.openxmlformats.org/officeDocument/2006/relationships/hyperlink" Target="https://tools.l2.dwh.sb-sys.info/userhelp/data/komoku" TargetMode="External"/><Relationship Id="rId58" Type="http://schemas.openxmlformats.org/officeDocument/2006/relationships/hyperlink" Target="https://tools.l2.dwh.sb-sys.info/userhelp/data/komoku" TargetMode="External"/><Relationship Id="rId79" Type="http://schemas.openxmlformats.org/officeDocument/2006/relationships/hyperlink" Target="https://tools.l2.dwh.sb-sys.info/userhelp/data/komoku" TargetMode="External"/><Relationship Id="rId102" Type="http://schemas.openxmlformats.org/officeDocument/2006/relationships/hyperlink" Target="https://tools.l2.dwh.sb-sys.info/userhelp/data/komoku" TargetMode="External"/><Relationship Id="rId123" Type="http://schemas.openxmlformats.org/officeDocument/2006/relationships/hyperlink" Target="https://tools.l2.dwh.sb-sys.info/userhelp/data/komoku" TargetMode="External"/><Relationship Id="rId144" Type="http://schemas.openxmlformats.org/officeDocument/2006/relationships/hyperlink" Target="https://tools.l2.dwh.sb-sys.info/userhelp/data/komoku" TargetMode="External"/><Relationship Id="rId90" Type="http://schemas.openxmlformats.org/officeDocument/2006/relationships/hyperlink" Target="https://tools.l2.dwh.sb-sys.info/userhelp/data/komoku" TargetMode="External"/><Relationship Id="rId165" Type="http://schemas.openxmlformats.org/officeDocument/2006/relationships/hyperlink" Target="https://tools.l2.dwh.sb-sys.info/userhelp/data/komoku" TargetMode="External"/><Relationship Id="rId186" Type="http://schemas.openxmlformats.org/officeDocument/2006/relationships/hyperlink" Target="https://tools.l2.dwh.sb-sys.info/userhelp/data/komoku" TargetMode="External"/><Relationship Id="rId211" Type="http://schemas.openxmlformats.org/officeDocument/2006/relationships/hyperlink" Target="https://tools.l2.dwh.sb-sys.info/userhelp/data/komoku" TargetMode="External"/><Relationship Id="rId27" Type="http://schemas.openxmlformats.org/officeDocument/2006/relationships/hyperlink" Target="https://tools.l2.dwh.sb-sys.info/userhelp/data/komoku" TargetMode="External"/><Relationship Id="rId48" Type="http://schemas.openxmlformats.org/officeDocument/2006/relationships/hyperlink" Target="https://tools.l2.dwh.sb-sys.info/userhelp/data/komoku" TargetMode="External"/><Relationship Id="rId69" Type="http://schemas.openxmlformats.org/officeDocument/2006/relationships/hyperlink" Target="https://tools.l2.dwh.sb-sys.info/userhelp/data/komoku" TargetMode="External"/><Relationship Id="rId113" Type="http://schemas.openxmlformats.org/officeDocument/2006/relationships/hyperlink" Target="https://tools.l2.dwh.sb-sys.info/userhelp/data/komoku" TargetMode="External"/><Relationship Id="rId134" Type="http://schemas.openxmlformats.org/officeDocument/2006/relationships/hyperlink" Target="https://tools.l2.dwh.sb-sys.info/userhelp/data/komoku" TargetMode="External"/><Relationship Id="rId80" Type="http://schemas.openxmlformats.org/officeDocument/2006/relationships/hyperlink" Target="https://tools.l2.dwh.sb-sys.info/userhelp/data/komoku" TargetMode="External"/><Relationship Id="rId155" Type="http://schemas.openxmlformats.org/officeDocument/2006/relationships/hyperlink" Target="https://tools.l2.dwh.sb-sys.info/userhelp/data/komoku" TargetMode="External"/><Relationship Id="rId176" Type="http://schemas.openxmlformats.org/officeDocument/2006/relationships/hyperlink" Target="https://tools.l2.dwh.sb-sys.info/userhelp/data/komoku" TargetMode="External"/><Relationship Id="rId197" Type="http://schemas.openxmlformats.org/officeDocument/2006/relationships/hyperlink" Target="https://tools.l2.dwh.sb-sys.info/userhelp/data/komoku" TargetMode="External"/><Relationship Id="rId201" Type="http://schemas.openxmlformats.org/officeDocument/2006/relationships/hyperlink" Target="https://tools.l2.dwh.sb-sys.info/userhelp/data/komoku" TargetMode="External"/><Relationship Id="rId17" Type="http://schemas.openxmlformats.org/officeDocument/2006/relationships/hyperlink" Target="https://tools.l2.dwh.sb-sys.info/userhelp/data/komoku" TargetMode="External"/><Relationship Id="rId38" Type="http://schemas.openxmlformats.org/officeDocument/2006/relationships/hyperlink" Target="https://tools.l2.dwh.sb-sys.info/userhelp/data/komoku" TargetMode="External"/><Relationship Id="rId59" Type="http://schemas.openxmlformats.org/officeDocument/2006/relationships/hyperlink" Target="https://tools.l2.dwh.sb-sys.info/userhelp/data/komoku" TargetMode="External"/><Relationship Id="rId103" Type="http://schemas.openxmlformats.org/officeDocument/2006/relationships/hyperlink" Target="https://tools.l2.dwh.sb-sys.info/userhelp/data/komoku" TargetMode="External"/><Relationship Id="rId124" Type="http://schemas.openxmlformats.org/officeDocument/2006/relationships/hyperlink" Target="https://tools.l2.dwh.sb-sys.info/userhelp/data/komoku" TargetMode="External"/><Relationship Id="rId70" Type="http://schemas.openxmlformats.org/officeDocument/2006/relationships/hyperlink" Target="https://tools.l2.dwh.sb-sys.info/userhelp/data/komoku" TargetMode="External"/><Relationship Id="rId91" Type="http://schemas.openxmlformats.org/officeDocument/2006/relationships/hyperlink" Target="https://tools.l2.dwh.sb-sys.info/userhelp/data/komoku" TargetMode="External"/><Relationship Id="rId145" Type="http://schemas.openxmlformats.org/officeDocument/2006/relationships/hyperlink" Target="https://tools.l2.dwh.sb-sys.info/userhelp/data/komoku" TargetMode="External"/><Relationship Id="rId166" Type="http://schemas.openxmlformats.org/officeDocument/2006/relationships/hyperlink" Target="https://tools.l2.dwh.sb-sys.info/userhelp/data/komoku" TargetMode="External"/><Relationship Id="rId187" Type="http://schemas.openxmlformats.org/officeDocument/2006/relationships/hyperlink" Target="https://tools.l2.dwh.sb-sys.info/userhelp/data/komoku" TargetMode="External"/><Relationship Id="rId1" Type="http://schemas.openxmlformats.org/officeDocument/2006/relationships/hyperlink" Target="https://tools.l2.dwh.sb-sys.info/userhelp/data/komoku" TargetMode="External"/><Relationship Id="rId212" Type="http://schemas.openxmlformats.org/officeDocument/2006/relationships/hyperlink" Target="https://tools.l2.dwh.sb-sys.info/userhelp/data/komoku" TargetMode="External"/><Relationship Id="rId28" Type="http://schemas.openxmlformats.org/officeDocument/2006/relationships/hyperlink" Target="https://tools.l2.dwh.sb-sys.info/userhelp/data/komoku" TargetMode="External"/><Relationship Id="rId49" Type="http://schemas.openxmlformats.org/officeDocument/2006/relationships/hyperlink" Target="https://tools.l2.dwh.sb-sys.info/userhelp/data/komoku" TargetMode="External"/><Relationship Id="rId114" Type="http://schemas.openxmlformats.org/officeDocument/2006/relationships/hyperlink" Target="https://tools.l2.dwh.sb-sys.info/userhelp/data/komoku" TargetMode="External"/><Relationship Id="rId60" Type="http://schemas.openxmlformats.org/officeDocument/2006/relationships/hyperlink" Target="https://tools.l2.dwh.sb-sys.info/userhelp/data/komoku" TargetMode="External"/><Relationship Id="rId81" Type="http://schemas.openxmlformats.org/officeDocument/2006/relationships/hyperlink" Target="https://tools.l2.dwh.sb-sys.info/userhelp/data/komoku" TargetMode="External"/><Relationship Id="rId135" Type="http://schemas.openxmlformats.org/officeDocument/2006/relationships/hyperlink" Target="https://tools.l2.dwh.sb-sys.info/userhelp/data/komoku" TargetMode="External"/><Relationship Id="rId156" Type="http://schemas.openxmlformats.org/officeDocument/2006/relationships/hyperlink" Target="https://tools.l2.dwh.sb-sys.info/userhelp/data/komoku" TargetMode="External"/><Relationship Id="rId177" Type="http://schemas.openxmlformats.org/officeDocument/2006/relationships/hyperlink" Target="https://tools.l2.dwh.sb-sys.info/userhelp/data/komoku" TargetMode="External"/><Relationship Id="rId198" Type="http://schemas.openxmlformats.org/officeDocument/2006/relationships/hyperlink" Target="https://tools.l2.dwh.sb-sys.info/userhelp/data/komoku" TargetMode="External"/><Relationship Id="rId202" Type="http://schemas.openxmlformats.org/officeDocument/2006/relationships/hyperlink" Target="https://tools.l2.dwh.sb-sys.info/userhelp/data/komoku" TargetMode="External"/><Relationship Id="rId18" Type="http://schemas.openxmlformats.org/officeDocument/2006/relationships/hyperlink" Target="https://tools.l2.dwh.sb-sys.info/userhelp/data/komoku" TargetMode="External"/><Relationship Id="rId39" Type="http://schemas.openxmlformats.org/officeDocument/2006/relationships/hyperlink" Target="https://tools.l2.dwh.sb-sys.info/userhelp/data/komoku" TargetMode="External"/><Relationship Id="rId50" Type="http://schemas.openxmlformats.org/officeDocument/2006/relationships/hyperlink" Target="https://tools.l2.dwh.sb-sys.info/userhelp/data/komoku" TargetMode="External"/><Relationship Id="rId104" Type="http://schemas.openxmlformats.org/officeDocument/2006/relationships/hyperlink" Target="https://tools.l2.dwh.sb-sys.info/userhelp/data/komoku" TargetMode="External"/><Relationship Id="rId125" Type="http://schemas.openxmlformats.org/officeDocument/2006/relationships/hyperlink" Target="https://tools.l2.dwh.sb-sys.info/userhelp/data/komoku" TargetMode="External"/><Relationship Id="rId146" Type="http://schemas.openxmlformats.org/officeDocument/2006/relationships/hyperlink" Target="https://tools.l2.dwh.sb-sys.info/userhelp/data/komoku" TargetMode="External"/><Relationship Id="rId167" Type="http://schemas.openxmlformats.org/officeDocument/2006/relationships/hyperlink" Target="https://tools.l2.dwh.sb-sys.info/userhelp/data/komoku" TargetMode="External"/><Relationship Id="rId188" Type="http://schemas.openxmlformats.org/officeDocument/2006/relationships/hyperlink" Target="https://tools.l2.dwh.sb-sys.info/userhelp/data/komoku" TargetMode="External"/><Relationship Id="rId71" Type="http://schemas.openxmlformats.org/officeDocument/2006/relationships/hyperlink" Target="https://tools.l2.dwh.sb-sys.info/userhelp/data/komoku" TargetMode="External"/><Relationship Id="rId92" Type="http://schemas.openxmlformats.org/officeDocument/2006/relationships/hyperlink" Target="https://tools.l2.dwh.sb-sys.info/userhelp/data/komoku" TargetMode="External"/><Relationship Id="rId213" Type="http://schemas.openxmlformats.org/officeDocument/2006/relationships/hyperlink" Target="https://tools.l2.dwh.sb-sys.info/userhelp/data/komoku" TargetMode="External"/><Relationship Id="rId2" Type="http://schemas.openxmlformats.org/officeDocument/2006/relationships/hyperlink" Target="https://tools.l2.dwh.sb-sys.info/userhelp/data/komoku" TargetMode="External"/><Relationship Id="rId29" Type="http://schemas.openxmlformats.org/officeDocument/2006/relationships/hyperlink" Target="https://tools.l2.dwh.sb-sys.info/userhelp/data/komoku" TargetMode="External"/><Relationship Id="rId40" Type="http://schemas.openxmlformats.org/officeDocument/2006/relationships/hyperlink" Target="https://tools.l2.dwh.sb-sys.info/userhelp/data/komoku" TargetMode="External"/><Relationship Id="rId115" Type="http://schemas.openxmlformats.org/officeDocument/2006/relationships/hyperlink" Target="https://tools.l2.dwh.sb-sys.info/userhelp/data/komoku" TargetMode="External"/><Relationship Id="rId136" Type="http://schemas.openxmlformats.org/officeDocument/2006/relationships/hyperlink" Target="https://tools.l2.dwh.sb-sys.info/userhelp/data/komoku" TargetMode="External"/><Relationship Id="rId157" Type="http://schemas.openxmlformats.org/officeDocument/2006/relationships/hyperlink" Target="https://tools.l2.dwh.sb-sys.info/userhelp/data/komoku" TargetMode="External"/><Relationship Id="rId178" Type="http://schemas.openxmlformats.org/officeDocument/2006/relationships/hyperlink" Target="https://tools.l2.dwh.sb-sys.info/userhelp/data/komoku" TargetMode="External"/><Relationship Id="rId61" Type="http://schemas.openxmlformats.org/officeDocument/2006/relationships/hyperlink" Target="https://tools.l2.dwh.sb-sys.info/userhelp/data/komoku" TargetMode="External"/><Relationship Id="rId82" Type="http://schemas.openxmlformats.org/officeDocument/2006/relationships/hyperlink" Target="https://tools.l2.dwh.sb-sys.info/userhelp/data/komoku" TargetMode="External"/><Relationship Id="rId199" Type="http://schemas.openxmlformats.org/officeDocument/2006/relationships/hyperlink" Target="https://tools.l2.dwh.sb-sys.info/userhelp/data/komoku" TargetMode="External"/><Relationship Id="rId203" Type="http://schemas.openxmlformats.org/officeDocument/2006/relationships/hyperlink" Target="https://tools.l2.dwh.sb-sys.info/userhelp/data/komok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
  <sheetViews>
    <sheetView zoomScale="85" zoomScaleNormal="85" workbookViewId="0">
      <selection activeCell="F4" sqref="F4"/>
    </sheetView>
  </sheetViews>
  <sheetFormatPr defaultRowHeight="18.75"/>
  <cols>
    <col min="1" max="1" width="10.625" style="25" customWidth="1"/>
    <col min="2" max="2" width="26.625" customWidth="1"/>
    <col min="3" max="17" width="12.625" customWidth="1"/>
  </cols>
  <sheetData>
    <row r="1" spans="1:17">
      <c r="A1" s="26" t="s">
        <v>0</v>
      </c>
      <c r="B1" s="27"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row>
    <row r="2" spans="1:17">
      <c r="A2" s="24" t="s">
        <v>17</v>
      </c>
      <c r="B2" s="23" t="s">
        <v>18</v>
      </c>
      <c r="C2" s="24" t="str">
        <f>IFERROR(VLOOKUP(C$1, '(BFSエントリ)モバイル_サービスサマリ_付属品'!$C$9:$C$30, 1, FALSE), "")</f>
        <v/>
      </c>
      <c r="D2" s="24" t="str">
        <f>IFERROR(VLOOKUP(D$1, '(BFSエントリ)モバイル_サービスサマリ_付属品'!$C$9:$C$30, 1, FALSE), "")</f>
        <v/>
      </c>
      <c r="E2" s="24" t="str">
        <f>IFERROR(VLOOKUP(E$1, '(BFSエントリ)モバイル_サービスサマリ_付属品'!$C$9:$C$30, 1, FALSE), "")</f>
        <v>エントリ番号</v>
      </c>
      <c r="F2" s="24" t="str">
        <f>IFERROR(VLOOKUP(F$1, '(BFSエントリ)モバイル_サービスサマリ_付属品'!$C$9:$C$30, 1, FALSE), "")</f>
        <v/>
      </c>
      <c r="G2" s="24" t="str">
        <f>IFERROR(VLOOKUP(G$1, '(BFSエントリ)モバイル_サービスサマリ_付属品'!$C$9:$C$30, 1, FALSE), "")</f>
        <v/>
      </c>
      <c r="H2" s="24" t="str">
        <f>IFERROR(VLOOKUP(H$1, '(BFSエントリ)モバイル_サービスサマリ_付属品'!$C$9:$C$30, 1, FALSE), "")</f>
        <v/>
      </c>
      <c r="I2" s="24" t="str">
        <f>IFERROR(VLOOKUP(I$1, '(BFSエントリ)モバイル_サービスサマリ_付属品'!$C$9:$C$30, 1, FALSE), "")</f>
        <v/>
      </c>
      <c r="J2" s="24" t="str">
        <f>IFERROR(VLOOKUP(J$1, '(BFSエントリ)モバイル_サービスサマリ_付属品'!$C$9:$C$30, 1, FALSE), "")</f>
        <v/>
      </c>
      <c r="K2" s="24" t="str">
        <f>IFERROR(VLOOKUP(K$1, '(BFSエントリ)モバイル_サービスサマリ_付属品'!$C$9:$C$30, 1, FALSE), "")</f>
        <v/>
      </c>
      <c r="L2" s="24" t="str">
        <f>IFERROR(VLOOKUP(L$1, '(BFSエントリ)モバイル_サービスサマリ_付属品'!$C$9:$C$30, 1, FALSE), "")</f>
        <v/>
      </c>
      <c r="M2" s="24" t="str">
        <f>IFERROR(VLOOKUP(M$1, '(BFSエントリ)モバイル_サービスサマリ_付属品'!$C$9:$C$30, 1, FALSE), "")</f>
        <v/>
      </c>
      <c r="N2" s="24" t="str">
        <f>IFERROR(VLOOKUP(N$1, '(BFSエントリ)モバイル_サービスサマリ_付属品'!$C$9:$C$30, 1, FALSE), "")</f>
        <v/>
      </c>
      <c r="O2" s="24" t="str">
        <f>IFERROR(VLOOKUP(O$1, '(BFSエントリ)モバイル_サービスサマリ_付属品'!$C$9:$C$30, 1, FALSE), "")</f>
        <v/>
      </c>
      <c r="P2" s="24" t="str">
        <f>IFERROR(VLOOKUP(P$1, '(BFSエントリ)モバイル_サービスサマリ_付属品'!$C$9:$C$30, 1, FALSE), "")</f>
        <v/>
      </c>
      <c r="Q2" s="24" t="str">
        <f>IFERROR(VLOOKUP(Q$1, '(BFSエントリ)モバイル_サービスサマリ_付属品'!$C$9:$C$30, 1, FALSE), "")</f>
        <v/>
      </c>
    </row>
    <row r="3" spans="1:17">
      <c r="A3" s="24" t="s">
        <v>17</v>
      </c>
      <c r="B3" s="23" t="s">
        <v>19</v>
      </c>
      <c r="C3" s="24" t="str">
        <f>IFERROR(VLOOKUP(C$1, '(BFSエントリ)モバイル_サービスサマリ_端末'!$C$9:$C$504, 1, FALSE),"")</f>
        <v/>
      </c>
      <c r="D3" s="24" t="str">
        <f>IFERROR(VLOOKUP(D$1, '(BFSエントリ)モバイル_サービスサマリ_端末'!$C$9:$C$504, 1, FALSE),"")</f>
        <v/>
      </c>
      <c r="E3" s="24" t="str">
        <f>IFERROR(VLOOKUP(E$1, '(BFSエントリ)モバイル_サービスサマリ_端末'!$C$9:$C$504, 1, FALSE),"")</f>
        <v/>
      </c>
      <c r="F3" s="24" t="str">
        <f>IFERROR(VLOOKUP(F$1, '(BFSエントリ)モバイル_サービスサマリ_端末'!$C$9:$C$504, 1, FALSE),"")</f>
        <v/>
      </c>
      <c r="G3" s="24" t="str">
        <f>IFERROR(VLOOKUP(G$1, '(BFSエントリ)モバイル_サービスサマリ_端末'!$C$9:$C$504, 1, FALSE),"")</f>
        <v/>
      </c>
      <c r="H3" s="24" t="str">
        <f>IFERROR(VLOOKUP(H$1, '(BFSエントリ)モバイル_サービスサマリ_端末'!$C$9:$C$504, 1, FALSE),"")</f>
        <v/>
      </c>
      <c r="I3" s="24" t="str">
        <f>IFERROR(VLOOKUP(I$1, '(BFSエントリ)モバイル_サービスサマリ_端末'!$C$9:$C$504, 1, FALSE),"")</f>
        <v/>
      </c>
      <c r="J3" s="24" t="str">
        <f>IFERROR(VLOOKUP(J$1, '(BFSエントリ)モバイル_サービスサマリ_端末'!$C$9:$C$504, 1, FALSE),"")</f>
        <v/>
      </c>
      <c r="K3" s="24" t="str">
        <f>IFERROR(VLOOKUP(K$1, '(BFSエントリ)モバイル_サービスサマリ_端末'!$C$9:$C$504, 1, FALSE),"")</f>
        <v/>
      </c>
      <c r="L3" s="24" t="str">
        <f>IFERROR(VLOOKUP(L$1, '(BFSエントリ)モバイル_サービスサマリ_端末'!$C$9:$C$504, 1, FALSE),"")</f>
        <v/>
      </c>
      <c r="M3" s="24" t="str">
        <f>IFERROR(VLOOKUP(M$1, '(BFSエントリ)モバイル_サービスサマリ_端末'!$C$9:$C$504, 1, FALSE),"")</f>
        <v/>
      </c>
      <c r="N3" s="24" t="str">
        <f>IFERROR(VLOOKUP(N$1, '(BFSエントリ)モバイル_サービスサマリ_端末'!$C$9:$C$504, 1, FALSE),"")</f>
        <v/>
      </c>
      <c r="O3" s="24" t="str">
        <f>IFERROR(VLOOKUP(O$1, '(BFSエントリ)モバイル_サービスサマリ_端末'!$C$9:$C$504, 1, FALSE),"")</f>
        <v/>
      </c>
      <c r="P3" s="24" t="str">
        <f>IFERROR(VLOOKUP(P$1, '(BFSエントリ)モバイル_サービスサマリ_端末'!$C$9:$C$504, 1, FALSE),"")</f>
        <v/>
      </c>
      <c r="Q3" s="24" t="str">
        <f>IFERROR(VLOOKUP(Q$1, '(BFSエントリ)モバイル_サービスサマリ_端末'!$C$9:$C$504, 1, FALSE),"")</f>
        <v/>
      </c>
    </row>
    <row r="4" spans="1:17">
      <c r="A4" s="24" t="s">
        <v>17</v>
      </c>
      <c r="B4" s="23" t="s">
        <v>20</v>
      </c>
      <c r="C4" s="24" t="str">
        <f>IFERROR(VLOOKUP(C$1, '(BFSエントリ)モバイル_エントリ情報'!$C$9:$C$224, 1, FALSE), "")</f>
        <v/>
      </c>
      <c r="D4" s="24" t="str">
        <f>IFERROR(VLOOKUP(D$1, '(BFSエントリ)モバイル_エントリ情報'!$C$9:$C$224, 1, FALSE), "")</f>
        <v/>
      </c>
      <c r="E4" s="24" t="str">
        <f>IFERROR(VLOOKUP(E$1, '(BFSエントリ)モバイル_エントリ情報'!$C$9:$C$224, 1, FALSE), "")</f>
        <v>エントリ番号</v>
      </c>
      <c r="F4" s="24" t="str">
        <f>IFERROR(VLOOKUP(F$1, '(BFSエントリ)モバイル_エントリ情報'!$C$9:$C$224, 1, FALSE), "")</f>
        <v>統一企業コード</v>
      </c>
      <c r="G4" s="24" t="str">
        <f>IFERROR(VLOOKUP(G$1, '(BFSエントリ)モバイル_エントリ情報'!$C$9:$C$224, 1, FALSE), "")</f>
        <v/>
      </c>
      <c r="H4" s="24" t="str">
        <f>IFERROR(VLOOKUP(H$1, '(BFSエントリ)モバイル_エントリ情報'!$C$9:$C$224, 1, FALSE), "")</f>
        <v/>
      </c>
      <c r="I4" s="24" t="str">
        <f>IFERROR(VLOOKUP(I$1, '(BFSエントリ)モバイル_エントリ情報'!$C$9:$C$224, 1, FALSE), "")</f>
        <v/>
      </c>
      <c r="J4" s="24" t="str">
        <f>IFERROR(VLOOKUP(J$1, '(BFSエントリ)モバイル_エントリ情報'!$C$9:$C$224, 1, FALSE), "")</f>
        <v/>
      </c>
      <c r="K4" s="24" t="str">
        <f>IFERROR(VLOOKUP(K$1, '(BFSエントリ)モバイル_エントリ情報'!$C$9:$C$224, 1, FALSE), "")</f>
        <v/>
      </c>
      <c r="L4" s="24" t="str">
        <f>IFERROR(VLOOKUP(L$1, '(BFSエントリ)モバイル_エントリ情報'!$C$9:$C$224, 1, FALSE), "")</f>
        <v/>
      </c>
      <c r="M4" s="24" t="str">
        <f>IFERROR(VLOOKUP(M$1, '(BFSエントリ)モバイル_エントリ情報'!$C$9:$C$224, 1, FALSE), "")</f>
        <v/>
      </c>
      <c r="N4" s="24" t="str">
        <f>IFERROR(VLOOKUP(N$1, '(BFSエントリ)モバイル_エントリ情報'!$C$9:$C$224, 1, FALSE), "")</f>
        <v/>
      </c>
      <c r="O4" s="24" t="str">
        <f>IFERROR(VLOOKUP(O$1, '(BFSエントリ)モバイル_エントリ情報'!$C$9:$C$224, 1, FALSE), "")</f>
        <v/>
      </c>
      <c r="P4" s="24" t="str">
        <f>IFERROR(VLOOKUP(P$1, '(BFSエントリ)モバイル_エントリ情報'!$C$9:$C$224, 1, FALSE), "")</f>
        <v/>
      </c>
      <c r="Q4" s="24" t="str">
        <f>IFERROR(VLOOKUP(Q$1, '(BFSエントリ)モバイル_エントリ情報'!$C$9:$C$224, 1, FALSE), "")</f>
        <v/>
      </c>
    </row>
    <row r="5" spans="1:17">
      <c r="A5" s="24" t="s">
        <v>21</v>
      </c>
      <c r="B5" s="23" t="s">
        <v>22</v>
      </c>
      <c r="C5" s="24" t="str">
        <f>IFERROR(VLOOKUP(C$1, '(RMS)契約基本情報'!$C$9:$C$999, 1, FALSE), "")</f>
        <v/>
      </c>
      <c r="D5" s="24" t="str">
        <f>IFERROR(VLOOKUP(D$1, '(RMS)契約基本情報'!$C$9:$C$999, 1, FALSE), "")</f>
        <v>オーダ番号</v>
      </c>
      <c r="E5" s="24" t="str">
        <f>IFERROR(VLOOKUP(E$1, '(RMS)契約基本情報'!$C$9:$C$999, 1, FALSE), "")</f>
        <v/>
      </c>
      <c r="F5" s="24" t="str">
        <f>IFERROR(VLOOKUP(F$1, '(RMS)契約基本情報'!$C$9:$C$999, 1, FALSE), "")</f>
        <v/>
      </c>
      <c r="G5" s="24" t="str">
        <f>IFERROR(VLOOKUP(G$1, '(RMS)契約基本情報'!$C$9:$C$999, 1, FALSE), "")</f>
        <v>summit統一企業番号</v>
      </c>
      <c r="H5" s="24" t="str">
        <f>IFERROR(VLOOKUP(H$1, '(RMS)契約基本情報'!$C$9:$C$999, 1, FALSE), "")</f>
        <v>s#</v>
      </c>
      <c r="I5" s="24" t="str">
        <f>IFERROR(VLOOKUP(I$1, '(RMS)契約基本情報'!$C$9:$C$999, 1, FALSE), "")</f>
        <v/>
      </c>
      <c r="J5" s="24" t="str">
        <f>IFERROR(VLOOKUP(J$1, '(RMS)契約基本情報'!$C$9:$C$999, 1, FALSE), "")</f>
        <v/>
      </c>
      <c r="K5" s="24" t="str">
        <f>IFERROR(VLOOKUP(K$1, '(RMS)契約基本情報'!$C$9:$C$999, 1, FALSE), "")</f>
        <v>b#</v>
      </c>
      <c r="L5" s="24" t="str">
        <f>IFERROR(VLOOKUP(L$1, '(RMS)契約基本情報'!$C$9:$C$999, 1, FALSE), "")</f>
        <v/>
      </c>
      <c r="M5" s="24" t="str">
        <f>IFERROR(VLOOKUP(M$1, '(RMS)契約基本情報'!$C$9:$C$999, 1, FALSE), "")</f>
        <v/>
      </c>
      <c r="N5" s="24" t="str">
        <f>IFERROR(VLOOKUP(N$1, '(RMS)契約基本情報'!$C$9:$C$999, 1, FALSE), "")</f>
        <v/>
      </c>
      <c r="O5" s="24" t="str">
        <f>IFERROR(VLOOKUP(O$1, '(RMS)契約基本情報'!$C$9:$C$999, 1, FALSE), "")</f>
        <v/>
      </c>
      <c r="P5" s="24" t="str">
        <f>IFERROR(VLOOKUP(P$1, '(RMS)契約基本情報'!$C$9:$C$999, 1, FALSE), "")</f>
        <v/>
      </c>
      <c r="Q5" s="24" t="str">
        <f>IFERROR(VLOOKUP(Q$1, '(RMS)契約基本情報'!$C$9:$C$999, 1, FALSE), "")</f>
        <v/>
      </c>
    </row>
    <row r="6" spans="1:17">
      <c r="A6" s="24" t="s">
        <v>21</v>
      </c>
      <c r="B6" s="23" t="s">
        <v>23</v>
      </c>
      <c r="C6" s="24" t="str">
        <f>IFERROR(VLOOKUP(C$1, '(RMS)契約料金情報'!$C$9:$C$999, 1, FALSE), "")</f>
        <v>決裁番号</v>
      </c>
      <c r="D6" s="24" t="str">
        <f>IFERROR(VLOOKUP(D$1, '(RMS)契約料金情報'!$C$9:$C$999, 1, FALSE), "")</f>
        <v>オーダ番号</v>
      </c>
      <c r="E6" s="24" t="str">
        <f>IFERROR(VLOOKUP(E$1, '(RMS)契約料金情報'!$C$9:$C$999, 1, FALSE), "")</f>
        <v/>
      </c>
      <c r="F6" s="24" t="str">
        <f>IFERROR(VLOOKUP(F$1, '(RMS)契約料金情報'!$C$9:$C$999, 1, FALSE), "")</f>
        <v/>
      </c>
      <c r="G6" s="24" t="str">
        <f>IFERROR(VLOOKUP(G$1, '(RMS)契約料金情報'!$C$9:$C$999, 1, FALSE), "")</f>
        <v/>
      </c>
      <c r="H6" s="24" t="str">
        <f>IFERROR(VLOOKUP(H$1, '(RMS)契約料金情報'!$C$9:$C$999, 1, FALSE), "")</f>
        <v/>
      </c>
      <c r="I6" s="24" t="str">
        <f>IFERROR(VLOOKUP(I$1, '(RMS)契約料金情報'!$C$9:$C$999, 1, FALSE), "")</f>
        <v/>
      </c>
      <c r="J6" s="24" t="str">
        <f>IFERROR(VLOOKUP(J$1, '(RMS)契約料金情報'!$C$9:$C$999, 1, FALSE), "")</f>
        <v/>
      </c>
      <c r="K6" s="24" t="str">
        <f>IFERROR(VLOOKUP(K$1, '(RMS)契約料金情報'!$C$9:$C$999, 1, FALSE), "")</f>
        <v/>
      </c>
      <c r="L6" s="24" t="str">
        <f>IFERROR(VLOOKUP(L$1, '(RMS)契約料金情報'!$C$9:$C$999, 1, FALSE), "")</f>
        <v/>
      </c>
      <c r="M6" s="24" t="str">
        <f>IFERROR(VLOOKUP(M$1, '(RMS)契約料金情報'!$C$9:$C$999, 1, FALSE), "")</f>
        <v/>
      </c>
      <c r="N6" s="24" t="str">
        <f>IFERROR(VLOOKUP(N$1, '(RMS)契約料金情報'!$C$9:$C$999, 1, FALSE), "")</f>
        <v/>
      </c>
      <c r="O6" s="24" t="str">
        <f>IFERROR(VLOOKUP(O$1, '(RMS)契約料金情報'!$C$9:$C$999, 1, FALSE), "")</f>
        <v/>
      </c>
      <c r="P6" s="24" t="str">
        <f>IFERROR(VLOOKUP(P$1, '(RMS)契約料金情報'!$C$9:$C$999, 1, FALSE), "")</f>
        <v/>
      </c>
      <c r="Q6" s="24" t="str">
        <f>IFERROR(VLOOKUP(Q$1, '(RMS)契約料金情報'!$C$9:$C$999, 1, FALSE), "")</f>
        <v/>
      </c>
    </row>
    <row r="7" spans="1:17">
      <c r="A7" s="24" t="s">
        <v>24</v>
      </c>
      <c r="B7" s="23" t="s">
        <v>25</v>
      </c>
      <c r="C7" s="24" t="str">
        <f>IFERROR(VLOOKUP(C$1, '(COP)支払情報'!$C$9:$C$999, 1, FALSE), "")</f>
        <v/>
      </c>
      <c r="D7" s="24" t="str">
        <f>IFERROR(VLOOKUP(D$1, '(COP)支払情報'!$C$9:$C$999, 1, FALSE), "")</f>
        <v/>
      </c>
      <c r="E7" s="24" t="str">
        <f>IFERROR(VLOOKUP(E$1, '(COP)支払情報'!$C$9:$C$999, 1, FALSE), "")</f>
        <v/>
      </c>
      <c r="F7" s="24" t="str">
        <f>IFERROR(VLOOKUP(F$1, '(COP)支払情報'!$C$9:$C$999, 1, FALSE), "")</f>
        <v/>
      </c>
      <c r="G7" s="24" t="str">
        <f>IFERROR(VLOOKUP(G$1, '(COP)支払情報'!$C$9:$C$999, 1, FALSE), "")</f>
        <v/>
      </c>
      <c r="H7" s="24" t="str">
        <f>IFERROR(VLOOKUP(H$1, '(COP)支払情報'!$C$9:$C$999, 1, FALSE), "")</f>
        <v/>
      </c>
      <c r="I7" s="24" t="str">
        <f>IFERROR(VLOOKUP(I$1, '(COP)支払情報'!$C$9:$C$999, 1, FALSE), "")</f>
        <v/>
      </c>
      <c r="J7" s="24" t="str">
        <f>IFERROR(VLOOKUP(J$1, '(COP)支払情報'!$C$9:$C$999, 1, FALSE), "")</f>
        <v/>
      </c>
      <c r="K7" s="24" t="str">
        <f>IFERROR(VLOOKUP(K$1, '(COP)支払情報'!$C$9:$C$999, 1, FALSE), "")</f>
        <v/>
      </c>
      <c r="L7" s="24" t="str">
        <f>IFERROR(VLOOKUP(L$1, '(COP)支払情報'!$C$9:$C$999, 1, FALSE), "")</f>
        <v/>
      </c>
      <c r="M7" s="24" t="str">
        <f>IFERROR(VLOOKUP(M$1, '(COP)支払情報'!$C$9:$C$999, 1, FALSE), "")</f>
        <v>請求グループid</v>
      </c>
      <c r="N7" s="24" t="str">
        <f>IFERROR(VLOOKUP(N$1, '(COP)支払情報'!$C$9:$C$999, 1, FALSE), "")</f>
        <v/>
      </c>
      <c r="O7" s="24" t="str">
        <f>IFERROR(VLOOKUP(O$1, '(COP)支払情報'!$C$9:$C$999, 1, FALSE), "")</f>
        <v/>
      </c>
      <c r="P7" s="24" t="str">
        <f>IFERROR(VLOOKUP(P$1, '(COP)支払情報'!$C$9:$C$999, 1, FALSE), "")</f>
        <v/>
      </c>
      <c r="Q7" s="24" t="str">
        <f>IFERROR(VLOOKUP(Q$1, '(COP)支払情報'!$C$9:$C$999, 1, FALSE), "")</f>
        <v/>
      </c>
    </row>
    <row r="8" spans="1:17">
      <c r="A8" s="24" t="s">
        <v>24</v>
      </c>
      <c r="B8" s="23" t="s">
        <v>26</v>
      </c>
      <c r="C8" s="24" t="str">
        <f>IFERROR(VLOOKUP(C$1, '(COP)契約者リンク履歴'!$H$9:$H$999, 1, FALSE), "")</f>
        <v/>
      </c>
      <c r="D8" s="24" t="str">
        <f>IFERROR(VLOOKUP(D$1, '(COP)契約者リンク履歴'!$H$9:$H$999, 1, FALSE), "")</f>
        <v/>
      </c>
      <c r="E8" s="24" t="str">
        <f>IFERROR(VLOOKUP(E$1, '(COP)契約者リンク履歴'!$H$9:$H$999, 1, FALSE), "")</f>
        <v/>
      </c>
      <c r="F8" s="24" t="str">
        <f>IFERROR(VLOOKUP(F$1, '(COP)契約者リンク履歴'!$H$9:$H$999, 1, FALSE), "")</f>
        <v/>
      </c>
      <c r="G8" s="24" t="str">
        <f>IFERROR(VLOOKUP(G$1, '(COP)契約者リンク履歴'!$H$9:$H$999, 1, FALSE), "")</f>
        <v/>
      </c>
      <c r="H8" s="24" t="str">
        <f>IFERROR(VLOOKUP(H$1, '(COP)契約者リンク履歴'!$H$9:$H$999, 1, FALSE), "")</f>
        <v/>
      </c>
      <c r="I8" s="24" t="str">
        <f>IFERROR(VLOOKUP(I$1, '(COP)契約者リンク履歴'!$H$9:$H$999, 1, FALSE), "")</f>
        <v>サービスID(S#)</v>
      </c>
      <c r="J8" s="24" t="str">
        <f>IFERROR(VLOOKUP(J$1, '(COP)契約者リンク履歴'!$H$9:$H$999, 1, FALSE), "")</f>
        <v/>
      </c>
      <c r="K8" s="24" t="str">
        <f>IFERROR(VLOOKUP(K$1, '(COP)契約者リンク履歴'!$H$9:$H$999, 1, FALSE), "")</f>
        <v/>
      </c>
      <c r="L8" s="24" t="str">
        <f>IFERROR(VLOOKUP(L$1, '(COP)契約者リンク履歴'!$H$9:$H$999, 1, FALSE), "")</f>
        <v/>
      </c>
      <c r="M8" s="24" t="str">
        <f>IFERROR(VLOOKUP(M$1, '(COP)契約者リンク履歴'!$H$9:$H$999, 1, FALSE), "")</f>
        <v/>
      </c>
      <c r="N8" s="24" t="str">
        <f>IFERROR(VLOOKUP(N$1, '(COP)契約者リンク履歴'!$H$9:$H$999, 1, FALSE), "")</f>
        <v/>
      </c>
      <c r="O8" s="24" t="str">
        <f>IFERROR(VLOOKUP(O$1, '(COP)契約者リンク履歴'!$H$9:$H$999, 1, FALSE), "")</f>
        <v>契約者ID(C#)</v>
      </c>
      <c r="P8" s="24" t="str">
        <f>IFERROR(VLOOKUP(P$1, '(COP)契約者リンク履歴'!$H$9:$H$999, 1, FALSE), "")</f>
        <v/>
      </c>
      <c r="Q8" s="24" t="str">
        <f>IFERROR(VLOOKUP(Q$1, '(COP)契約者リンク履歴'!$H$9:$H$999, 1, FALSE), "")</f>
        <v/>
      </c>
    </row>
    <row r="9" spans="1:17">
      <c r="A9" s="24" t="s">
        <v>24</v>
      </c>
      <c r="B9" s="23" t="s">
        <v>27</v>
      </c>
      <c r="C9" s="24" t="str">
        <f>IFERROR(VLOOKUP(C$1, '(COP)svcリンク履歴'!$H$9:$H$999, 1, FALSE), "")</f>
        <v/>
      </c>
      <c r="D9" s="24" t="str">
        <f>IFERROR(VLOOKUP(D$1, '(COP)svcリンク履歴'!$H$9:$H$999, 1, FALSE), "")</f>
        <v/>
      </c>
      <c r="E9" s="24" t="str">
        <f>IFERROR(VLOOKUP(E$1, '(COP)svcリンク履歴'!$H$9:$H$999, 1, FALSE), "")</f>
        <v/>
      </c>
      <c r="F9" s="24" t="str">
        <f>IFERROR(VLOOKUP(F$1, '(COP)svcリンク履歴'!$H$9:$H$999, 1, FALSE), "")</f>
        <v/>
      </c>
      <c r="G9" s="24" t="str">
        <f>IFERROR(VLOOKUP(G$1, '(COP)svcリンク履歴'!$H$9:$H$999, 1, FALSE), "")</f>
        <v/>
      </c>
      <c r="H9" s="24" t="str">
        <f>IFERROR(VLOOKUP(H$1, '(COP)svcリンク履歴'!$H$9:$H$999, 1, FALSE), "")</f>
        <v/>
      </c>
      <c r="I9" s="24" t="str">
        <f>IFERROR(VLOOKUP(I$1, '(COP)svcリンク履歴'!$H$9:$H$999, 1, FALSE), "")</f>
        <v>サービスID(S#)</v>
      </c>
      <c r="J9" s="24" t="str">
        <f>IFERROR(VLOOKUP(J$1, '(COP)svcリンク履歴'!$H$9:$H$999, 1, FALSE), "")</f>
        <v/>
      </c>
      <c r="K9" s="24" t="str">
        <f>IFERROR(VLOOKUP(K$1, '(COP)svcリンク履歴'!$H$9:$H$999, 1, FALSE), "")</f>
        <v/>
      </c>
      <c r="L9" s="24" t="str">
        <f>IFERROR(VLOOKUP(L$1, '(COP)svcリンク履歴'!$H$9:$H$999, 1, FALSE), "")</f>
        <v>請求グループID(B#)</v>
      </c>
      <c r="M9" s="24" t="str">
        <f>IFERROR(VLOOKUP(M$1, '(COP)svcリンク履歴'!$H$9:$H$999, 1, FALSE), "")</f>
        <v/>
      </c>
      <c r="N9" s="24" t="str">
        <f>IFERROR(VLOOKUP(N$1, '(COP)svcリンク履歴'!$H$9:$H$999, 1, FALSE), "")</f>
        <v/>
      </c>
      <c r="O9" s="24" t="str">
        <f>IFERROR(VLOOKUP(O$1, '(COP)svcリンク履歴'!$H$9:$H$999, 1, FALSE), "")</f>
        <v/>
      </c>
      <c r="P9" s="24" t="str">
        <f>IFERROR(VLOOKUP(P$1, '(COP)svcリンク履歴'!$H$9:$H$999, 1, FALSE), "")</f>
        <v/>
      </c>
      <c r="Q9" s="24" t="str">
        <f>IFERROR(VLOOKUP(Q$1, '(COP)svcリンク履歴'!$H$9:$H$999, 1, FALSE), "")</f>
        <v>トランザクション番号</v>
      </c>
    </row>
    <row r="10" spans="1:17">
      <c r="A10" s="24" t="s">
        <v>24</v>
      </c>
      <c r="B10" s="23" t="s">
        <v>28</v>
      </c>
      <c r="C10" s="24" t="str">
        <f>IFERROR(VLOOKUP(C$1, '(COP)販売履歴'!$H$9:$H$999, 1, FALSE), "")</f>
        <v/>
      </c>
      <c r="D10" s="24" t="str">
        <f>IFERROR(VLOOKUP(D$1, '(COP)販売履歴'!$H$9:$H$999, 1, FALSE), "")</f>
        <v/>
      </c>
      <c r="E10" s="24" t="str">
        <f>IFERROR(VLOOKUP(E$1, '(COP)販売履歴'!$H$9:$H$999, 1, FALSE), "")</f>
        <v/>
      </c>
      <c r="F10" s="24" t="str">
        <f>IFERROR(VLOOKUP(F$1, '(COP)販売履歴'!$H$9:$H$999, 1, FALSE), "")</f>
        <v/>
      </c>
      <c r="G10" s="24" t="str">
        <f>IFERROR(VLOOKUP(G$1, '(COP)販売履歴'!$H$9:$H$999, 1, FALSE), "")</f>
        <v/>
      </c>
      <c r="H10" s="24" t="str">
        <f>IFERROR(VLOOKUP(H$1, '(COP)販売履歴'!$H$9:$H$999, 1, FALSE), "")</f>
        <v/>
      </c>
      <c r="I10" s="24" t="str">
        <f>IFERROR(VLOOKUP(I$1, '(COP)販売履歴'!$H$9:$H$999, 1, FALSE), "")</f>
        <v>サービスID(S#)</v>
      </c>
      <c r="J10" s="24" t="str">
        <f>IFERROR(VLOOKUP(J$1, '(COP)販売履歴'!$H$9:$H$999, 1, FALSE), "")</f>
        <v/>
      </c>
      <c r="K10" s="24" t="str">
        <f>IFERROR(VLOOKUP(K$1, '(COP)販売履歴'!$H$9:$H$999, 1, FALSE), "")</f>
        <v/>
      </c>
      <c r="L10" s="24" t="str">
        <f>IFERROR(VLOOKUP(L$1, '(COP)販売履歴'!$H$9:$H$999, 1, FALSE), "")</f>
        <v>請求グループID(B#)</v>
      </c>
      <c r="M10" s="24" t="str">
        <f>IFERROR(VLOOKUP(M$1, '(COP)販売履歴'!$H$9:$H$999, 1, FALSE), "")</f>
        <v/>
      </c>
      <c r="N10" s="24" t="str">
        <f>IFERROR(VLOOKUP(N$1, '(COP)販売履歴'!$H$9:$H$999, 1, FALSE), "")</f>
        <v/>
      </c>
      <c r="O10" s="24" t="str">
        <f>IFERROR(VLOOKUP(O$1, '(COP)販売履歴'!$H$9:$H$999, 1, FALSE), "")</f>
        <v>契約者ID(C#)</v>
      </c>
      <c r="P10" s="24" t="str">
        <f>IFERROR(VLOOKUP(P$1, '(COP)販売履歴'!$H$9:$H$999, 1, FALSE), "")</f>
        <v/>
      </c>
      <c r="Q10" s="24" t="str">
        <f>IFERROR(VLOOKUP(Q$1, '(COP)販売履歴'!$H$9:$H$999, 1, FALSE), "")</f>
        <v/>
      </c>
    </row>
    <row r="11" spans="1:17">
      <c r="A11" s="24" t="s">
        <v>24</v>
      </c>
      <c r="B11" s="23" t="s">
        <v>29</v>
      </c>
      <c r="C11" s="24" t="str">
        <f>IFERROR(VLOOKUP(C$1, '(COP)機器割当'!$H$9:$H$999, 1, FALSE), "")</f>
        <v/>
      </c>
      <c r="D11" s="24" t="str">
        <f>IFERROR(VLOOKUP(D$1, '(COP)機器割当'!$H$9:$H$999, 1, FALSE), "")</f>
        <v/>
      </c>
      <c r="E11" s="24" t="str">
        <f>IFERROR(VLOOKUP(E$1, '(COP)機器割当'!$H$9:$H$999, 1, FALSE), "")</f>
        <v/>
      </c>
      <c r="F11" s="24" t="str">
        <f>IFERROR(VLOOKUP(F$1, '(COP)機器割当'!$H$9:$H$999, 1, FALSE), "")</f>
        <v/>
      </c>
      <c r="G11" s="24" t="str">
        <f>IFERROR(VLOOKUP(G$1, '(COP)機器割当'!$H$9:$H$999, 1, FALSE), "")</f>
        <v/>
      </c>
      <c r="H11" s="24" t="str">
        <f>IFERROR(VLOOKUP(H$1, '(COP)機器割当'!$H$9:$H$999, 1, FALSE), "")</f>
        <v/>
      </c>
      <c r="I11" s="24" t="str">
        <f>IFERROR(VLOOKUP(I$1, '(COP)機器割当'!$H$9:$H$999, 1, FALSE), "")</f>
        <v>サービスID(S#)</v>
      </c>
      <c r="J11" s="24" t="str">
        <f>IFERROR(VLOOKUP(J$1, '(COP)機器割当'!$H$9:$H$999, 1, FALSE), "")</f>
        <v/>
      </c>
      <c r="K11" s="24" t="str">
        <f>IFERROR(VLOOKUP(K$1, '(COP)機器割当'!$H$9:$H$999, 1, FALSE), "")</f>
        <v/>
      </c>
      <c r="L11" s="24" t="str">
        <f>IFERROR(VLOOKUP(L$1, '(COP)機器割当'!$H$9:$H$999, 1, FALSE), "")</f>
        <v/>
      </c>
      <c r="M11" s="24" t="str">
        <f>IFERROR(VLOOKUP(M$1, '(COP)機器割当'!$H$9:$H$999, 1, FALSE), "")</f>
        <v/>
      </c>
      <c r="N11" s="24" t="str">
        <f>IFERROR(VLOOKUP(N$1, '(COP)機器割当'!$H$9:$H$999, 1, FALSE), "")</f>
        <v/>
      </c>
      <c r="O11" s="24" t="str">
        <f>IFERROR(VLOOKUP(O$1, '(COP)機器割当'!$H$9:$H$999, 1, FALSE), "")</f>
        <v/>
      </c>
      <c r="P11" s="24" t="str">
        <f>IFERROR(VLOOKUP(P$1, '(COP)機器割当'!$H$9:$H$999, 1, FALSE), "")</f>
        <v/>
      </c>
      <c r="Q11" s="24" t="str">
        <f>IFERROR(VLOOKUP(Q$1, '(COP)機器割当'!$H$9:$H$999, 1, FALSE), "")</f>
        <v>トランザクション番号</v>
      </c>
    </row>
    <row r="12" spans="1:17">
      <c r="A12" s="24" t="s">
        <v>24</v>
      </c>
      <c r="B12" s="23" t="s">
        <v>30</v>
      </c>
      <c r="C12" s="24" t="str">
        <f>IFERROR(VLOOKUP(C$1, '(COP)プロダクト'!$H$9:$H$999, 1, FALSE), "")</f>
        <v/>
      </c>
      <c r="D12" s="24" t="str">
        <f>IFERROR(VLOOKUP(D$1, '(COP)プロダクト'!$H$9:$H$999, 1, FALSE), "")</f>
        <v/>
      </c>
      <c r="E12" s="24" t="str">
        <f>IFERROR(VLOOKUP(E$1, '(COP)プロダクト'!$H$9:$H$999, 1, FALSE), "")</f>
        <v/>
      </c>
      <c r="F12" s="24" t="str">
        <f>IFERROR(VLOOKUP(F$1, '(COP)プロダクト'!$H$9:$H$999, 1, FALSE), "")</f>
        <v/>
      </c>
      <c r="G12" s="24" t="str">
        <f>IFERROR(VLOOKUP(G$1, '(COP)プロダクト'!$H$9:$H$999, 1, FALSE), "")</f>
        <v/>
      </c>
      <c r="H12" s="24" t="str">
        <f>IFERROR(VLOOKUP(H$1, '(COP)プロダクト'!$H$9:$H$999, 1, FALSE), "")</f>
        <v/>
      </c>
      <c r="I12" s="24" t="str">
        <f>IFERROR(VLOOKUP(I$1, '(COP)プロダクト'!$H$9:$H$999, 1, FALSE), "")</f>
        <v/>
      </c>
      <c r="J12" s="24" t="str">
        <f>IFERROR(VLOOKUP(J$1, '(COP)プロダクト'!$H$9:$H$999, 1, FALSE), "")</f>
        <v/>
      </c>
      <c r="K12" s="24" t="str">
        <f>IFERROR(VLOOKUP(K$1, '(COP)プロダクト'!$H$9:$H$999, 1, FALSE), "")</f>
        <v/>
      </c>
      <c r="L12" s="24" t="str">
        <f>IFERROR(VLOOKUP(L$1, '(COP)プロダクト'!$H$9:$H$999, 1, FALSE), "")</f>
        <v/>
      </c>
      <c r="M12" s="24" t="str">
        <f>IFERROR(VLOOKUP(M$1, '(COP)プロダクト'!$H$9:$H$999, 1, FALSE), "")</f>
        <v/>
      </c>
      <c r="N12" s="24" t="str">
        <f>IFERROR(VLOOKUP(N$1, '(COP)プロダクト'!$H$9:$H$999, 1, FALSE), "")</f>
        <v/>
      </c>
      <c r="O12" s="24" t="str">
        <f>IFERROR(VLOOKUP(O$1, '(COP)プロダクト'!$H$9:$H$999, 1, FALSE), "")</f>
        <v/>
      </c>
      <c r="P12" s="24" t="str">
        <f>IFERROR(VLOOKUP(P$1, '(COP)プロダクト'!$H$9:$H$999, 1, FALSE), "")</f>
        <v/>
      </c>
      <c r="Q12" s="24" t="str">
        <f>IFERROR(VLOOKUP(Q$1, '(COP)プロダクト'!$H$9:$H$999, 1, FALSE), "")</f>
        <v>トランザクション番号</v>
      </c>
    </row>
    <row r="13" spans="1:17">
      <c r="A13" s="24" t="s">
        <v>31</v>
      </c>
      <c r="B13" s="23" t="s">
        <v>32</v>
      </c>
      <c r="C13" s="24" t="str">
        <f>IFERROR(VLOOKUP(C$1, '(Mars)取次店'!$C$9:$C$999, 1, FALSE), "")</f>
        <v/>
      </c>
      <c r="D13" s="24" t="str">
        <f>IFERROR(VLOOKUP(D$1, '(Mars)取次店'!$C$9:$C$999, 1, FALSE), "")</f>
        <v/>
      </c>
      <c r="E13" s="24" t="str">
        <f>IFERROR(VLOOKUP(E$1, '(Mars)取次店'!$C$9:$C$999, 1, FALSE), "")</f>
        <v/>
      </c>
      <c r="F13" s="24" t="str">
        <f>IFERROR(VLOOKUP(F$1, '(Mars)取次店'!$C$9:$C$999, 1, FALSE), "")</f>
        <v/>
      </c>
      <c r="G13" s="24" t="str">
        <f>IFERROR(VLOOKUP(G$1, '(Mars)取次店'!$C$9:$C$999, 1, FALSE), "")</f>
        <v/>
      </c>
      <c r="H13" s="24" t="str">
        <f>IFERROR(VLOOKUP(H$1, '(Mars)取次店'!$C$9:$C$999, 1, FALSE), "")</f>
        <v/>
      </c>
      <c r="I13" s="24" t="str">
        <f>IFERROR(VLOOKUP(I$1, '(Mars)取次店'!$C$9:$C$999, 1, FALSE), "")</f>
        <v/>
      </c>
      <c r="J13" s="24" t="str">
        <f>IFERROR(VLOOKUP(J$1, '(Mars)取次店'!$C$9:$C$999, 1, FALSE), "")</f>
        <v/>
      </c>
      <c r="K13" s="24" t="str">
        <f>IFERROR(VLOOKUP(K$1, '(Mars)取次店'!$C$9:$C$999, 1, FALSE), "")</f>
        <v/>
      </c>
      <c r="L13" s="24" t="str">
        <f>IFERROR(VLOOKUP(L$1, '(Mars)取次店'!$C$9:$C$999, 1, FALSE), "")</f>
        <v/>
      </c>
      <c r="M13" s="24" t="str">
        <f>IFERROR(VLOOKUP(M$1, '(Mars)取次店'!$C$9:$C$999, 1, FALSE), "")</f>
        <v/>
      </c>
      <c r="N13" s="24" t="str">
        <f>IFERROR(VLOOKUP(N$1, '(Mars)取次店'!$C$9:$C$999, 1, FALSE), "")</f>
        <v/>
      </c>
      <c r="O13" s="24" t="str">
        <f>IFERROR(VLOOKUP(O$1, '(Mars)取次店'!$C$9:$C$999, 1, FALSE), "")</f>
        <v/>
      </c>
      <c r="P13" s="24" t="str">
        <f>IFERROR(VLOOKUP(P$1, '(Mars)取次店'!$C$9:$C$999, 1, FALSE), "")</f>
        <v/>
      </c>
      <c r="Q13" s="24" t="str">
        <f>IFERROR(VLOOKUP(Q$1, '(Mars)取次店'!$C$9:$C$999, 1, FALSE), "")</f>
        <v/>
      </c>
    </row>
    <row r="14" spans="1:17">
      <c r="A14" s="24" t="s">
        <v>31</v>
      </c>
      <c r="B14" s="23" t="s">
        <v>33</v>
      </c>
      <c r="C14" s="24" t="str">
        <f>IFERROR(VLOOKUP(C$1, '(Mars)キャンペーン'!$C$9:$C$999, 1, FALSE), "")</f>
        <v/>
      </c>
      <c r="D14" s="24" t="str">
        <f>IFERROR(VLOOKUP(D$1, '(Mars)キャンペーン'!$C$9:$C$999, 1, FALSE), "")</f>
        <v/>
      </c>
      <c r="E14" s="24" t="str">
        <f>IFERROR(VLOOKUP(E$1, '(Mars)キャンペーン'!$C$9:$C$999, 1, FALSE), "")</f>
        <v/>
      </c>
      <c r="F14" s="24" t="str">
        <f>IFERROR(VLOOKUP(F$1, '(Mars)キャンペーン'!$C$9:$C$999, 1, FALSE), "")</f>
        <v/>
      </c>
      <c r="G14" s="24" t="str">
        <f>IFERROR(VLOOKUP(G$1, '(Mars)キャンペーン'!$C$9:$C$999, 1, FALSE), "")</f>
        <v/>
      </c>
      <c r="H14" s="24" t="str">
        <f>IFERROR(VLOOKUP(H$1, '(Mars)キャンペーン'!$C$9:$C$999, 1, FALSE), "")</f>
        <v/>
      </c>
      <c r="I14" s="24" t="str">
        <f>IFERROR(VLOOKUP(I$1, '(Mars)キャンペーン'!$C$9:$C$999, 1, FALSE), "")</f>
        <v/>
      </c>
      <c r="J14" s="24" t="str">
        <f>IFERROR(VLOOKUP(J$1, '(Mars)キャンペーン'!$C$9:$C$999, 1, FALSE), "")</f>
        <v/>
      </c>
      <c r="K14" s="24" t="str">
        <f>IFERROR(VLOOKUP(K$1, '(Mars)キャンペーン'!$C$9:$C$999, 1, FALSE), "")</f>
        <v/>
      </c>
      <c r="L14" s="24" t="str">
        <f>IFERROR(VLOOKUP(L$1, '(Mars)キャンペーン'!$C$9:$C$999, 1, FALSE), "")</f>
        <v/>
      </c>
      <c r="M14" s="24" t="str">
        <f>IFERROR(VLOOKUP(M$1, '(Mars)キャンペーン'!$C$9:$C$999, 1, FALSE), "")</f>
        <v/>
      </c>
      <c r="N14" s="24" t="str">
        <f>IFERROR(VLOOKUP(N$1, '(Mars)キャンペーン'!$C$9:$C$999, 1, FALSE), "")</f>
        <v/>
      </c>
      <c r="O14" s="24" t="str">
        <f>IFERROR(VLOOKUP(O$1, '(Mars)キャンペーン'!$C$9:$C$999, 1, FALSE), "")</f>
        <v/>
      </c>
      <c r="P14" s="24" t="str">
        <f>IFERROR(VLOOKUP(P$1, '(Mars)キャンペーン'!$C$9:$C$999, 1, FALSE), "")</f>
        <v/>
      </c>
      <c r="Q14" s="24" t="str">
        <f>IFERROR(VLOOKUP(Q$1, '(Mars)キャンペーン'!$C$9:$C$999, 1, FALSE), "")</f>
        <v/>
      </c>
    </row>
    <row r="15" spans="1:17">
      <c r="A15" s="24" t="s">
        <v>31</v>
      </c>
      <c r="B15" s="23" t="s">
        <v>34</v>
      </c>
      <c r="C15" s="24" t="str">
        <f>IFERROR(VLOOKUP(C$1, '(Mars)商品'!$C$9:$C$999, 1, FALSE), "")</f>
        <v/>
      </c>
      <c r="D15" s="24" t="str">
        <f>IFERROR(VLOOKUP(D$1, '(Mars)商品'!$C$9:$C$999, 1, FALSE), "")</f>
        <v/>
      </c>
      <c r="E15" s="24" t="str">
        <f>IFERROR(VLOOKUP(E$1, '(Mars)商品'!$C$9:$C$999, 1, FALSE), "")</f>
        <v/>
      </c>
      <c r="F15" s="24" t="str">
        <f>IFERROR(VLOOKUP(F$1, '(Mars)商品'!$C$9:$C$999, 1, FALSE), "")</f>
        <v/>
      </c>
      <c r="G15" s="24" t="str">
        <f>IFERROR(VLOOKUP(G$1, '(Mars)商品'!$C$9:$C$999, 1, FALSE), "")</f>
        <v/>
      </c>
      <c r="H15" s="24" t="str">
        <f>IFERROR(VLOOKUP(H$1, '(Mars)商品'!$C$9:$C$999, 1, FALSE), "")</f>
        <v/>
      </c>
      <c r="I15" s="24" t="str">
        <f>IFERROR(VLOOKUP(I$1, '(Mars)商品'!$C$9:$C$999, 1, FALSE), "")</f>
        <v/>
      </c>
      <c r="J15" s="24" t="str">
        <f>IFERROR(VLOOKUP(J$1, '(Mars)商品'!$C$9:$C$999, 1, FALSE), "")</f>
        <v/>
      </c>
      <c r="K15" s="24" t="str">
        <f>IFERROR(VLOOKUP(K$1, '(Mars)商品'!$C$9:$C$999, 1, FALSE), "")</f>
        <v/>
      </c>
      <c r="L15" s="24" t="str">
        <f>IFERROR(VLOOKUP(L$1, '(Mars)商品'!$C$9:$C$999, 1, FALSE), "")</f>
        <v/>
      </c>
      <c r="M15" s="24" t="str">
        <f>IFERROR(VLOOKUP(M$1, '(Mars)商品'!$C$9:$C$999, 1, FALSE), "")</f>
        <v/>
      </c>
      <c r="N15" s="24" t="str">
        <f>IFERROR(VLOOKUP(N$1, '(Mars)商品'!$C$9:$C$999, 1, FALSE), "")</f>
        <v/>
      </c>
      <c r="O15" s="24" t="str">
        <f>IFERROR(VLOOKUP(O$1, '(Mars)商品'!$C$9:$C$999, 1, FALSE), "")</f>
        <v/>
      </c>
      <c r="P15" s="24" t="str">
        <f>IFERROR(VLOOKUP(P$1, '(Mars)商品'!$C$9:$C$999, 1, FALSE), "")</f>
        <v/>
      </c>
      <c r="Q15" s="24" t="str">
        <f>IFERROR(VLOOKUP(Q$1, '(Mars)商品'!$C$9:$C$999, 1, FALSE), "")</f>
        <v/>
      </c>
    </row>
    <row r="16" spans="1:17">
      <c r="A16" s="24" t="s">
        <v>35</v>
      </c>
      <c r="B16" s="23" t="s">
        <v>36</v>
      </c>
      <c r="C16" s="24" t="str">
        <f>IFERROR(VLOOKUP(C$1, '(SUMMIT)決裁_料金決裁'!$C$9:$C$999, 1, FALSE), "")</f>
        <v>決裁番号</v>
      </c>
      <c r="D16" s="24" t="str">
        <f>IFERROR(VLOOKUP(D$1, '(SUMMIT)決裁_料金決裁'!$C$9:$C$999, 1, FALSE), "")</f>
        <v/>
      </c>
      <c r="E16" s="24" t="str">
        <f>IFERROR(VLOOKUP(E$1, '(SUMMIT)決裁_料金決裁'!$C$9:$C$999, 1, FALSE), "")</f>
        <v/>
      </c>
      <c r="F16" s="24" t="str">
        <f>IFERROR(VLOOKUP(F$1, '(SUMMIT)決裁_料金決裁'!$C$9:$C$999, 1, FALSE), "")</f>
        <v/>
      </c>
      <c r="G16" s="24" t="str">
        <f>IFERROR(VLOOKUP(G$1, '(SUMMIT)決裁_料金決裁'!$C$9:$C$999, 1, FALSE), "")</f>
        <v/>
      </c>
      <c r="H16" s="24" t="str">
        <f>IFERROR(VLOOKUP(H$1, '(SUMMIT)決裁_料金決裁'!$C$9:$C$999, 1, FALSE), "")</f>
        <v/>
      </c>
      <c r="I16" s="24" t="str">
        <f>IFERROR(VLOOKUP(I$1, '(SUMMIT)決裁_料金決裁'!$C$9:$C$999, 1, FALSE), "")</f>
        <v/>
      </c>
      <c r="J16" s="24" t="str">
        <f>IFERROR(VLOOKUP(J$1, '(SUMMIT)決裁_料金決裁'!$C$9:$C$999, 1, FALSE), "")</f>
        <v/>
      </c>
      <c r="K16" s="24" t="str">
        <f>IFERROR(VLOOKUP(K$1, '(SUMMIT)決裁_料金決裁'!$C$9:$C$999, 1, FALSE), "")</f>
        <v/>
      </c>
      <c r="L16" s="24" t="str">
        <f>IFERROR(VLOOKUP(L$1, '(SUMMIT)決裁_料金決裁'!$C$9:$C$999, 1, FALSE), "")</f>
        <v/>
      </c>
      <c r="M16" s="24" t="str">
        <f>IFERROR(VLOOKUP(M$1, '(SUMMIT)決裁_料金決裁'!$C$9:$C$999, 1, FALSE), "")</f>
        <v/>
      </c>
      <c r="N16" s="24" t="str">
        <f>IFERROR(VLOOKUP(N$1, '(SUMMIT)決裁_料金決裁'!$C$9:$C$999, 1, FALSE), "")</f>
        <v/>
      </c>
      <c r="O16" s="24" t="str">
        <f>IFERROR(VLOOKUP(O$1, '(SUMMIT)決裁_料金決裁'!$C$9:$C$999, 1, FALSE), "")</f>
        <v/>
      </c>
      <c r="P16" s="24" t="str">
        <f>IFERROR(VLOOKUP(P$1, '(SUMMIT)決裁_料金決裁'!$C$9:$C$999, 1, FALSE), "")</f>
        <v/>
      </c>
      <c r="Q16" s="24" t="str">
        <f>IFERROR(VLOOKUP(Q$1, '(SUMMIT)決裁_料金決裁'!$C$9:$C$999, 1, FALSE), "")</f>
        <v/>
      </c>
    </row>
    <row r="17" spans="1:17">
      <c r="A17" s="24" t="s">
        <v>35</v>
      </c>
      <c r="B17" s="23" t="s">
        <v>37</v>
      </c>
      <c r="C17" s="24" t="str">
        <f>IFERROR(VLOOKUP(C$1, '(SUMMIT)決裁_提案モバイル'!$C$9:$C$999, 1, FALSE), "")</f>
        <v>決裁番号</v>
      </c>
      <c r="D17" s="24" t="str">
        <f>IFERROR(VLOOKUP(D$1, '(SUMMIT)決裁_提案モバイル'!$C$9:$C$999, 1, FALSE), "")</f>
        <v/>
      </c>
      <c r="E17" s="24" t="str">
        <f>IFERROR(VLOOKUP(E$1, '(SUMMIT)決裁_提案モバイル'!$C$9:$C$999, 1, FALSE), "")</f>
        <v/>
      </c>
      <c r="F17" s="24" t="str">
        <f>IFERROR(VLOOKUP(F$1, '(SUMMIT)決裁_提案モバイル'!$C$9:$C$999, 1, FALSE), "")</f>
        <v/>
      </c>
      <c r="G17" s="24" t="str">
        <f>IFERROR(VLOOKUP(G$1, '(SUMMIT)決裁_提案モバイル'!$C$9:$C$999, 1, FALSE), "")</f>
        <v/>
      </c>
      <c r="H17" s="24" t="str">
        <f>IFERROR(VLOOKUP(H$1, '(SUMMIT)決裁_提案モバイル'!$C$9:$C$999, 1, FALSE), "")</f>
        <v/>
      </c>
      <c r="I17" s="24" t="str">
        <f>IFERROR(VLOOKUP(I$1, '(SUMMIT)決裁_提案モバイル'!$C$9:$C$999, 1, FALSE), "")</f>
        <v/>
      </c>
      <c r="J17" s="24" t="str">
        <f>IFERROR(VLOOKUP(J$1, '(SUMMIT)決裁_提案モバイル'!$C$9:$C$999, 1, FALSE), "")</f>
        <v/>
      </c>
      <c r="K17" s="24" t="str">
        <f>IFERROR(VLOOKUP(K$1, '(SUMMIT)決裁_提案モバイル'!$C$9:$C$999, 1, FALSE), "")</f>
        <v/>
      </c>
      <c r="L17" s="24" t="str">
        <f>IFERROR(VLOOKUP(L$1, '(SUMMIT)決裁_提案モバイル'!$C$9:$C$999, 1, FALSE), "")</f>
        <v/>
      </c>
      <c r="M17" s="24" t="str">
        <f>IFERROR(VLOOKUP(M$1, '(SUMMIT)決裁_提案モバイル'!$C$9:$C$999, 1, FALSE), "")</f>
        <v/>
      </c>
      <c r="N17" s="23"/>
      <c r="O17" s="23"/>
      <c r="P17" s="23"/>
      <c r="Q17" s="24" t="str">
        <f>IFERROR(VLOOKUP(Q$1, '(SUMMIT)決裁_提案モバイル'!$C$9:$C$999, 1, FALSE), "")</f>
        <v/>
      </c>
    </row>
    <row r="18" spans="1:17">
      <c r="A18" s="24" t="s">
        <v>35</v>
      </c>
      <c r="B18" s="23" t="s">
        <v>38</v>
      </c>
      <c r="C18" s="24" t="str">
        <f>IFERROR(VLOOKUP(C$1, '(SUMMIT)決裁_共通決裁'!$C$9:$C$999, 1, FALSE), "")</f>
        <v>決裁番号</v>
      </c>
      <c r="D18" s="24" t="str">
        <f>IFERROR(VLOOKUP(D$1, '(SUMMIT)決裁_共通決裁'!$C$9:$C$999, 1, FALSE), "")</f>
        <v/>
      </c>
      <c r="E18" s="24" t="str">
        <f>IFERROR(VLOOKUP(E$1, '(SUMMIT)決裁_共通決裁'!$C$9:$C$999, 1, FALSE), "")</f>
        <v/>
      </c>
      <c r="F18" s="24" t="str">
        <f>IFERROR(VLOOKUP(F$1, '(SUMMIT)決裁_共通決裁'!$C$9:$C$999, 1, FALSE), "")</f>
        <v/>
      </c>
      <c r="G18" s="24" t="str">
        <f>IFERROR(VLOOKUP(G$1, '(SUMMIT)決裁_共通決裁'!$C$9:$C$999, 1, FALSE), "")</f>
        <v/>
      </c>
      <c r="H18" s="24" t="str">
        <f>IFERROR(VLOOKUP(H$1, '(SUMMIT)決裁_共通決裁'!$C$9:$C$999, 1, FALSE), "")</f>
        <v/>
      </c>
      <c r="I18" s="24" t="str">
        <f>IFERROR(VLOOKUP(I$1, '(SUMMIT)決裁_共通決裁'!$C$9:$C$999, 1, FALSE), "")</f>
        <v/>
      </c>
      <c r="J18" s="24" t="str">
        <f>IFERROR(VLOOKUP(J$1, '(SUMMIT)決裁_共通決裁'!$C$9:$C$999, 1, FALSE), "")</f>
        <v/>
      </c>
      <c r="K18" s="24" t="str">
        <f>IFERROR(VLOOKUP(K$1, '(SUMMIT)決裁_共通決裁'!$C$9:$C$999, 1, FALSE), "")</f>
        <v/>
      </c>
      <c r="L18" s="24" t="str">
        <f>IFERROR(VLOOKUP(L$1, '(SUMMIT)決裁_共通決裁'!$C$9:$C$999, 1, FALSE), "")</f>
        <v/>
      </c>
      <c r="M18" s="24" t="str">
        <f>IFERROR(VLOOKUP(M$1, '(SUMMIT)決裁_共通決裁'!$C$9:$C$999, 1, FALSE), "")</f>
        <v/>
      </c>
      <c r="N18" s="24" t="str">
        <f>IFERROR(VLOOKUP(N$1, '(SUMMIT)決裁_共通決裁'!$C$9:$C$999, 1, FALSE), "")</f>
        <v/>
      </c>
      <c r="O18" s="24" t="str">
        <f>IFERROR(VLOOKUP(O$1, '(SUMMIT)決裁_共通決裁'!$C$9:$C$999, 1, FALSE), "")</f>
        <v/>
      </c>
      <c r="P18" s="24" t="str">
        <f>IFERROR(VLOOKUP(P$1, '(SUMMIT)決裁_共通決裁'!$C$9:$C$999, 1, FALSE), "")</f>
        <v/>
      </c>
      <c r="Q18" s="24" t="str">
        <f>IFERROR(VLOOKUP(Q$1, '(SUMMIT)決裁_共通決裁'!$C$9:$C$999, 1, FALSE), "")</f>
        <v/>
      </c>
    </row>
    <row r="19" spans="1:17">
      <c r="A19" s="24" t="s">
        <v>35</v>
      </c>
      <c r="B19" s="23" t="s">
        <v>39</v>
      </c>
      <c r="C19" s="24" t="str">
        <f>IFERROR(VLOOKUP(C$1, '(SUMMIT)決裁_基本_補足'!$C$9:$C$999, 1, FALSE), "")</f>
        <v>決裁番号</v>
      </c>
      <c r="D19" s="24" t="str">
        <f>IFERROR(VLOOKUP(D$1, '(SUMMIT)決裁_基本_補足'!$C$9:$C$999, 1, FALSE), "")</f>
        <v/>
      </c>
      <c r="E19" s="24" t="str">
        <f>IFERROR(VLOOKUP(E$1, '(SUMMIT)決裁_基本_補足'!$C$9:$C$999, 1, FALSE), "")</f>
        <v/>
      </c>
      <c r="F19" s="24" t="str">
        <f>IFERROR(VLOOKUP(F$1, '(SUMMIT)決裁_基本_補足'!$C$9:$C$999, 1, FALSE), "")</f>
        <v>統一企業コード</v>
      </c>
      <c r="G19" s="24" t="str">
        <f>IFERROR(VLOOKUP(G$1, '(SUMMIT)決裁_基本_補足'!$C$9:$C$999, 1, FALSE), "")</f>
        <v/>
      </c>
      <c r="H19" s="24" t="str">
        <f>IFERROR(VLOOKUP(H$1, '(SUMMIT)決裁_基本_補足'!$C$9:$C$999, 1, FALSE), "")</f>
        <v/>
      </c>
      <c r="I19" s="24" t="str">
        <f>IFERROR(VLOOKUP(I$1, '(SUMMIT)決裁_基本_補足'!$C$9:$C$999, 1, FALSE), "")</f>
        <v/>
      </c>
      <c r="J19" s="24" t="str">
        <f>IFERROR(VLOOKUP(J$1, '(SUMMIT)決裁_基本_補足'!$C$9:$C$999, 1, FALSE), "")</f>
        <v/>
      </c>
      <c r="K19" s="24" t="str">
        <f>IFERROR(VLOOKUP(K$1, '(SUMMIT)決裁_基本_補足'!$C$9:$C$999, 1, FALSE), "")</f>
        <v/>
      </c>
      <c r="L19" s="24" t="str">
        <f>IFERROR(VLOOKUP(L$1, '(SUMMIT)決裁_基本_補足'!$C$9:$C$999, 1, FALSE), "")</f>
        <v/>
      </c>
      <c r="M19" s="24" t="str">
        <f>IFERROR(VLOOKUP(M$1, '(SUMMIT)決裁_基本_補足'!$C$9:$C$999, 1, FALSE), "")</f>
        <v/>
      </c>
      <c r="N19" s="24" t="str">
        <f>IFERROR(VLOOKUP(N$1, '(SUMMIT)決裁_基本_補足'!$C$9:$C$999, 1, FALSE), "")</f>
        <v/>
      </c>
      <c r="O19" s="24" t="str">
        <f>IFERROR(VLOOKUP(O$1, '(SUMMIT)決裁_基本_補足'!$C$9:$C$999, 1, FALSE), "")</f>
        <v/>
      </c>
      <c r="P19" s="24" t="str">
        <f>IFERROR(VLOOKUP(P$1, '(SUMMIT)決裁_基本_補足'!$C$9:$C$999, 1, FALSE), "")</f>
        <v/>
      </c>
      <c r="Q19" s="24" t="str">
        <f>IFERROR(VLOOKUP(Q$1, '(SUMMIT)決裁_基本_補足'!$C$9:$C$999, 1, FALSE), "")</f>
        <v/>
      </c>
    </row>
    <row r="20" spans="1:17">
      <c r="A20" s="24" t="s">
        <v>35</v>
      </c>
      <c r="B20" s="23" t="s">
        <v>40</v>
      </c>
      <c r="C20" s="24" t="str">
        <f>IFERROR(VLOOKUP(C$1, '(SUMMIT)決裁_関連申請書'!$C$9:$C$999, 1, FALSE), "")</f>
        <v/>
      </c>
      <c r="D20" s="24" t="str">
        <f>IFERROR(VLOOKUP(D$1, '(SUMMIT)決裁_関連申請書'!$C$9:$C$999, 1, FALSE), "")</f>
        <v/>
      </c>
      <c r="E20" s="24" t="str">
        <f>IFERROR(VLOOKUP(E$1, '(SUMMIT)決裁_関連申請書'!$C$9:$C$999, 1, FALSE), "")</f>
        <v/>
      </c>
      <c r="F20" s="24" t="str">
        <f>IFERROR(VLOOKUP(F$1, '(SUMMIT)決裁_関連申請書'!$C$9:$C$999, 1, FALSE), "")</f>
        <v/>
      </c>
      <c r="G20" s="24" t="str">
        <f>IFERROR(VLOOKUP(G$1, '(SUMMIT)決裁_関連申請書'!$C$9:$C$999, 1, FALSE), "")</f>
        <v/>
      </c>
      <c r="H20" s="24" t="str">
        <f>IFERROR(VLOOKUP(H$1, '(SUMMIT)決裁_関連申請書'!$C$9:$C$999, 1, FALSE), "")</f>
        <v/>
      </c>
      <c r="I20" s="24" t="str">
        <f>IFERROR(VLOOKUP(I$1, '(SUMMIT)決裁_関連申請書'!$C$9:$C$999, 1, FALSE), "")</f>
        <v/>
      </c>
      <c r="J20" s="24" t="str">
        <f>IFERROR(VLOOKUP(J$1, '(SUMMIT)決裁_関連申請書'!$C$9:$C$999, 1, FALSE), "")</f>
        <v/>
      </c>
      <c r="K20" s="24" t="str">
        <f>IFERROR(VLOOKUP(K$1, '(SUMMIT)決裁_関連申請書'!$C$9:$C$999, 1, FALSE), "")</f>
        <v/>
      </c>
      <c r="L20" s="24" t="str">
        <f>IFERROR(VLOOKUP(L$1, '(SUMMIT)決裁_関連申請書'!$C$9:$C$999, 1, FALSE), "")</f>
        <v/>
      </c>
      <c r="M20" s="24" t="str">
        <f>IFERROR(VLOOKUP(M$1, '(SUMMIT)決裁_関連申請書'!$C$9:$C$999, 1, FALSE), "")</f>
        <v/>
      </c>
      <c r="N20" s="24" t="str">
        <f>IFERROR(VLOOKUP(N$1, '(SUMMIT)決裁_関連申請書'!$C$9:$C$999, 1, FALSE), "")</f>
        <v/>
      </c>
      <c r="O20" s="24" t="str">
        <f>IFERROR(VLOOKUP(O$1, '(SUMMIT)決裁_関連申請書'!$C$9:$C$999, 1, FALSE), "")</f>
        <v/>
      </c>
      <c r="P20" s="24" t="str">
        <f>IFERROR(VLOOKUP(P$1, '(SUMMIT)決裁_関連申請書'!$C$9:$C$999, 1, FALSE), "")</f>
        <v/>
      </c>
      <c r="Q20" s="24" t="str">
        <f>IFERROR(VLOOKUP(Q$1, '(SUMMIT)決裁_関連申請書'!$C$9:$C$999, 1, FALSE), "")</f>
        <v/>
      </c>
    </row>
  </sheetData>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A26D0-A522-432B-9095-0467BA27557B}">
  <dimension ref="A1"/>
  <sheetViews>
    <sheetView topLeftCell="A4" zoomScale="175" zoomScaleNormal="175" workbookViewId="0">
      <selection activeCell="W10" sqref="A1:XFD1048576"/>
    </sheetView>
  </sheetViews>
  <sheetFormatPr defaultColWidth="3.375" defaultRowHeight="18.75"/>
  <sheetData/>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4D477-715A-412B-9D78-7A91BC0298DB}">
  <sheetPr>
    <tabColor rgb="FFFF3300"/>
  </sheetPr>
  <dimension ref="A1:R55"/>
  <sheetViews>
    <sheetView zoomScale="70" zoomScaleNormal="70" workbookViewId="0">
      <selection activeCell="L3" sqref="L3"/>
    </sheetView>
  </sheetViews>
  <sheetFormatPr defaultRowHeight="18.75"/>
  <cols>
    <col min="1" max="1" width="3.375" bestFit="1" customWidth="1"/>
    <col min="2" max="2" width="4.375" bestFit="1" customWidth="1"/>
    <col min="3" max="3" width="13.875" bestFit="1" customWidth="1"/>
    <col min="4" max="4" width="9.375" bestFit="1" customWidth="1"/>
    <col min="5" max="5" width="5" bestFit="1" customWidth="1"/>
    <col min="6" max="6" width="6" bestFit="1" customWidth="1"/>
    <col min="7" max="7" width="18.875" bestFit="1" customWidth="1"/>
    <col min="8" max="8" width="20.5" bestFit="1" customWidth="1"/>
    <col min="9" max="9" width="4.5" bestFit="1" customWidth="1"/>
    <col min="10" max="10" width="6" bestFit="1" customWidth="1"/>
    <col min="11" max="11" width="15.75" customWidth="1"/>
    <col min="12" max="12" width="30.5" bestFit="1" customWidth="1"/>
    <col min="13" max="13" width="20.625" customWidth="1"/>
  </cols>
  <sheetData>
    <row r="1" spans="1:18" ht="19.5" thickBot="1"/>
    <row r="2" spans="1:18" ht="60.75" thickBot="1">
      <c r="G2" s="1" t="s">
        <v>41</v>
      </c>
      <c r="H2" s="1" t="s">
        <v>42</v>
      </c>
      <c r="I2" s="1" t="s">
        <v>43</v>
      </c>
      <c r="J2" s="1" t="s">
        <v>44</v>
      </c>
      <c r="K2" s="1" t="s">
        <v>45</v>
      </c>
    </row>
    <row r="3" spans="1:18" ht="30.75" thickBot="1">
      <c r="G3" s="2" t="s">
        <v>46</v>
      </c>
      <c r="H3" s="3" t="s">
        <v>47</v>
      </c>
      <c r="I3" s="3"/>
      <c r="J3" s="3" t="s">
        <v>48</v>
      </c>
      <c r="K3" s="3" t="s">
        <v>49</v>
      </c>
      <c r="L3" t="s">
        <v>50</v>
      </c>
    </row>
    <row r="4" spans="1:18">
      <c r="G4" s="41" t="s">
        <v>51</v>
      </c>
      <c r="H4" s="42"/>
      <c r="I4" s="42"/>
      <c r="J4" s="42"/>
      <c r="K4" s="43"/>
    </row>
    <row r="5" spans="1:18" ht="19.5" thickBot="1">
      <c r="G5" s="44">
        <v>0</v>
      </c>
      <c r="H5" s="45"/>
      <c r="I5" s="45"/>
      <c r="J5" s="45"/>
      <c r="K5" s="46"/>
    </row>
    <row r="6" spans="1:18">
      <c r="K6" t="str">
        <f>"DROP TABLE IF EXISTS "&amp;L3&amp;" CASCADE;"</f>
        <v>DROP TABLE IF EXISTS bfs_service_summary_accessories CASCADE;</v>
      </c>
      <c r="R6" s="33" t="s">
        <v>52</v>
      </c>
    </row>
    <row r="7" spans="1:18" ht="19.5" thickBot="1">
      <c r="K7" t="str">
        <f>"CREATE TABLE IF NOT EXISTS "&amp;L3&amp;" ("</f>
        <v>CREATE TABLE IF NOT EXISTS bfs_service_summary_accessories (</v>
      </c>
      <c r="N7" s="39" t="str">
        <f>"COMMENT ON TABLE "&amp;L3&amp;" IS '"&amp;H3&amp;"';"</f>
        <v>COMMENT ON TABLE bfs_service_summary_accessories IS 'b_hjn_bfs_モバイル_サービスサマリ_付属品';</v>
      </c>
      <c r="R7" s="33" t="s">
        <v>53</v>
      </c>
    </row>
    <row r="8" spans="1:18" ht="19.5" thickBot="1">
      <c r="A8" s="4" t="s">
        <v>54</v>
      </c>
      <c r="B8" s="4" t="s">
        <v>55</v>
      </c>
      <c r="C8" s="4" t="s">
        <v>56</v>
      </c>
      <c r="D8" s="4" t="s">
        <v>57</v>
      </c>
      <c r="E8" s="4" t="s">
        <v>58</v>
      </c>
      <c r="F8" s="4" t="s">
        <v>59</v>
      </c>
      <c r="G8" s="4" t="s">
        <v>60</v>
      </c>
      <c r="H8" s="4" t="s">
        <v>61</v>
      </c>
      <c r="I8" s="4" t="s">
        <v>62</v>
      </c>
      <c r="J8" s="4" t="s">
        <v>63</v>
      </c>
      <c r="K8" t="s">
        <v>64</v>
      </c>
      <c r="N8" t="str">
        <f>"COMMENT ON COLUMN "&amp;$L$3&amp;".id IS '"&amp;C8&amp;"';"</f>
        <v>COMMENT ON COLUMN bfs_service_summary_accessories.id IS '項目名';</v>
      </c>
      <c r="R8" s="34" t="s">
        <v>65</v>
      </c>
    </row>
    <row r="9" spans="1:18" ht="19.5" thickBot="1">
      <c r="A9" s="3"/>
      <c r="B9" s="3">
        <v>1</v>
      </c>
      <c r="C9" s="3" t="s">
        <v>4</v>
      </c>
      <c r="D9" s="3" t="s">
        <v>66</v>
      </c>
      <c r="E9" s="3">
        <v>54</v>
      </c>
      <c r="F9" s="2" t="s">
        <v>67</v>
      </c>
      <c r="G9" s="3"/>
      <c r="H9" s="5"/>
      <c r="I9" s="3"/>
      <c r="J9" s="3"/>
      <c r="K9" s="25" t="s">
        <v>68</v>
      </c>
      <c r="L9" t="str">
        <f>D9&amp;"("&amp;E9&amp;"),"</f>
        <v>VARCHAR(54),</v>
      </c>
      <c r="N9" t="str">
        <f>"COMMENT ON COLUMN "&amp;$L$3&amp;"."&amp;K9&amp;" IS '"&amp;C9&amp;"';"</f>
        <v>COMMENT ON COLUMN bfs_service_summary_accessories.entry_number IS 'エントリ番号';</v>
      </c>
      <c r="R9" s="34" t="s">
        <v>69</v>
      </c>
    </row>
    <row r="10" spans="1:18" ht="19.5" thickBot="1">
      <c r="A10" s="6"/>
      <c r="B10" s="6">
        <v>2</v>
      </c>
      <c r="C10" s="6" t="s">
        <v>70</v>
      </c>
      <c r="D10" s="6" t="s">
        <v>66</v>
      </c>
      <c r="E10" s="6">
        <v>36</v>
      </c>
      <c r="F10" s="7" t="s">
        <v>67</v>
      </c>
      <c r="G10" s="6"/>
      <c r="H10" s="8"/>
      <c r="I10" s="6"/>
      <c r="J10" s="6"/>
      <c r="K10" s="25" t="s">
        <v>71</v>
      </c>
      <c r="L10" t="str">
        <f t="shared" ref="L10:L30" si="0">D10&amp;"("&amp;E10&amp;"),"</f>
        <v>VARCHAR(36),</v>
      </c>
      <c r="N10" t="str">
        <f t="shared" ref="N10:N30" si="1">"COMMENT ON COLUMN "&amp;$L$3&amp;"."&amp;K10&amp;" IS '"&amp;C10&amp;"';"</f>
        <v>COMMENT ON COLUMN bfs_service_summary_accessories.summary_number IS 'サマリ番号';</v>
      </c>
      <c r="R10" s="34" t="s">
        <v>72</v>
      </c>
    </row>
    <row r="11" spans="1:18" ht="19.5" thickBot="1">
      <c r="A11" s="3"/>
      <c r="B11" s="3">
        <v>3</v>
      </c>
      <c r="C11" s="3" t="s">
        <v>73</v>
      </c>
      <c r="D11" s="3" t="s">
        <v>66</v>
      </c>
      <c r="E11" s="3">
        <v>2295</v>
      </c>
      <c r="F11" s="2" t="s">
        <v>67</v>
      </c>
      <c r="G11" s="3"/>
      <c r="H11" s="5"/>
      <c r="I11" s="3"/>
      <c r="J11" s="3"/>
      <c r="K11" s="25" t="s">
        <v>74</v>
      </c>
      <c r="L11" t="str">
        <f t="shared" si="0"/>
        <v>VARCHAR(2295),</v>
      </c>
      <c r="N11" t="str">
        <f t="shared" si="1"/>
        <v>COMMENT ON COLUMN bfs_service_summary_accessories.serial_number_accessories IS 'シリアル付付属品';</v>
      </c>
      <c r="R11" s="34" t="s">
        <v>75</v>
      </c>
    </row>
    <row r="12" spans="1:18" ht="19.5" thickBot="1">
      <c r="A12" s="6"/>
      <c r="B12" s="6">
        <v>4</v>
      </c>
      <c r="C12" s="6" t="s">
        <v>76</v>
      </c>
      <c r="D12" s="6" t="s">
        <v>66</v>
      </c>
      <c r="E12" s="6">
        <v>45</v>
      </c>
      <c r="F12" s="7" t="s">
        <v>67</v>
      </c>
      <c r="G12" s="6"/>
      <c r="H12" s="8"/>
      <c r="I12" s="6"/>
      <c r="J12" s="6"/>
      <c r="K12" s="25" t="s">
        <v>77</v>
      </c>
      <c r="L12" t="str">
        <f t="shared" si="0"/>
        <v>VARCHAR(45),</v>
      </c>
      <c r="N12" t="str">
        <f t="shared" si="1"/>
        <v>COMMENT ON COLUMN bfs_service_summary_accessories.product_code IS '商品コード';</v>
      </c>
      <c r="R12" s="34" t="s">
        <v>78</v>
      </c>
    </row>
    <row r="13" spans="1:18" ht="19.5" thickBot="1">
      <c r="A13" s="3"/>
      <c r="B13" s="3">
        <v>5</v>
      </c>
      <c r="C13" s="3" t="s">
        <v>79</v>
      </c>
      <c r="D13" s="3" t="s">
        <v>66</v>
      </c>
      <c r="E13" s="3">
        <v>1800</v>
      </c>
      <c r="F13" s="2" t="s">
        <v>67</v>
      </c>
      <c r="G13" s="3"/>
      <c r="H13" s="5"/>
      <c r="I13" s="3"/>
      <c r="J13" s="3"/>
      <c r="K13" s="25" t="s">
        <v>80</v>
      </c>
      <c r="L13" t="str">
        <f t="shared" si="0"/>
        <v>VARCHAR(1800),</v>
      </c>
      <c r="N13" t="str">
        <f t="shared" si="1"/>
        <v>COMMENT ON COLUMN bfs_service_summary_accessories.manufacturer IS 'メーカ';</v>
      </c>
      <c r="R13" s="34" t="s">
        <v>81</v>
      </c>
    </row>
    <row r="14" spans="1:18" ht="19.5" thickBot="1">
      <c r="A14" s="6"/>
      <c r="B14" s="6">
        <v>6</v>
      </c>
      <c r="C14" s="6" t="s">
        <v>82</v>
      </c>
      <c r="D14" s="6" t="s">
        <v>66</v>
      </c>
      <c r="E14" s="6">
        <v>900</v>
      </c>
      <c r="F14" s="7" t="s">
        <v>67</v>
      </c>
      <c r="G14" s="6"/>
      <c r="H14" s="8"/>
      <c r="I14" s="6"/>
      <c r="J14" s="6"/>
      <c r="K14" s="25" t="s">
        <v>83</v>
      </c>
      <c r="L14" t="str">
        <f t="shared" si="0"/>
        <v>VARCHAR(900),</v>
      </c>
      <c r="N14" t="str">
        <f t="shared" si="1"/>
        <v>COMMENT ON COLUMN bfs_service_summary_accessories.product_name IS '商品名';</v>
      </c>
      <c r="R14" s="34" t="s">
        <v>84</v>
      </c>
    </row>
    <row r="15" spans="1:18" ht="19.5" thickBot="1">
      <c r="A15" s="3"/>
      <c r="B15" s="3">
        <v>7</v>
      </c>
      <c r="C15" s="3" t="s">
        <v>85</v>
      </c>
      <c r="D15" s="3" t="s">
        <v>66</v>
      </c>
      <c r="E15" s="3">
        <v>900</v>
      </c>
      <c r="F15" s="2" t="s">
        <v>67</v>
      </c>
      <c r="G15" s="3"/>
      <c r="H15" s="5"/>
      <c r="I15" s="3"/>
      <c r="J15" s="3"/>
      <c r="K15" s="25" t="s">
        <v>86</v>
      </c>
      <c r="L15" t="str">
        <f t="shared" si="0"/>
        <v>VARCHAR(900),</v>
      </c>
      <c r="N15" t="str">
        <f t="shared" si="1"/>
        <v>COMMENT ON COLUMN bfs_service_summary_accessories.color_1 IS 'カラー1';</v>
      </c>
      <c r="R15" s="34" t="s">
        <v>87</v>
      </c>
    </row>
    <row r="16" spans="1:18" ht="19.5" thickBot="1">
      <c r="A16" s="6"/>
      <c r="B16" s="6">
        <v>8</v>
      </c>
      <c r="C16" s="6" t="s">
        <v>88</v>
      </c>
      <c r="D16" s="6" t="s">
        <v>89</v>
      </c>
      <c r="E16" s="6">
        <v>6</v>
      </c>
      <c r="F16" s="7" t="s">
        <v>67</v>
      </c>
      <c r="G16" s="6"/>
      <c r="H16" s="8"/>
      <c r="I16" s="6"/>
      <c r="J16" s="6"/>
      <c r="K16" s="25" t="s">
        <v>90</v>
      </c>
      <c r="L16" t="str">
        <f t="shared" si="0"/>
        <v>DECIMAL(6),</v>
      </c>
      <c r="N16" t="str">
        <f t="shared" si="1"/>
        <v>COMMENT ON COLUMN bfs_service_summary_accessories.quantity_1 IS '台数1';</v>
      </c>
      <c r="R16" s="34" t="s">
        <v>91</v>
      </c>
    </row>
    <row r="17" spans="1:18" ht="19.5" thickBot="1">
      <c r="A17" s="3"/>
      <c r="B17" s="3">
        <v>9</v>
      </c>
      <c r="C17" s="3" t="s">
        <v>92</v>
      </c>
      <c r="D17" s="3" t="s">
        <v>66</v>
      </c>
      <c r="E17" s="3">
        <v>900</v>
      </c>
      <c r="F17" s="2" t="s">
        <v>67</v>
      </c>
      <c r="G17" s="3"/>
      <c r="H17" s="5"/>
      <c r="I17" s="3"/>
      <c r="J17" s="3"/>
      <c r="K17" s="25" t="s">
        <v>93</v>
      </c>
      <c r="L17" t="str">
        <f t="shared" si="0"/>
        <v>VARCHAR(900),</v>
      </c>
      <c r="N17" t="str">
        <f t="shared" si="1"/>
        <v>COMMENT ON COLUMN bfs_service_summary_accessories.color_2 IS 'カラー2';</v>
      </c>
      <c r="R17" s="34" t="s">
        <v>94</v>
      </c>
    </row>
    <row r="18" spans="1:18" ht="19.5" thickBot="1">
      <c r="A18" s="6"/>
      <c r="B18" s="6">
        <v>10</v>
      </c>
      <c r="C18" s="6" t="s">
        <v>95</v>
      </c>
      <c r="D18" s="6" t="s">
        <v>89</v>
      </c>
      <c r="E18" s="6">
        <v>6</v>
      </c>
      <c r="F18" s="7" t="s">
        <v>67</v>
      </c>
      <c r="G18" s="6"/>
      <c r="H18" s="8"/>
      <c r="I18" s="6"/>
      <c r="J18" s="6"/>
      <c r="K18" s="25" t="s">
        <v>96</v>
      </c>
      <c r="L18" t="str">
        <f t="shared" si="0"/>
        <v>DECIMAL(6),</v>
      </c>
      <c r="N18" t="str">
        <f t="shared" si="1"/>
        <v>COMMENT ON COLUMN bfs_service_summary_accessories.quantity_2 IS '台数2';</v>
      </c>
      <c r="R18" s="34" t="s">
        <v>97</v>
      </c>
    </row>
    <row r="19" spans="1:18" ht="19.5" thickBot="1">
      <c r="A19" s="3"/>
      <c r="B19" s="3">
        <v>11</v>
      </c>
      <c r="C19" s="3" t="s">
        <v>98</v>
      </c>
      <c r="D19" s="3" t="s">
        <v>66</v>
      </c>
      <c r="E19" s="3">
        <v>900</v>
      </c>
      <c r="F19" s="2" t="s">
        <v>67</v>
      </c>
      <c r="G19" s="3"/>
      <c r="H19" s="5"/>
      <c r="I19" s="3"/>
      <c r="J19" s="3"/>
      <c r="K19" s="25" t="s">
        <v>99</v>
      </c>
      <c r="L19" t="str">
        <f t="shared" si="0"/>
        <v>VARCHAR(900),</v>
      </c>
      <c r="N19" t="str">
        <f t="shared" si="1"/>
        <v>COMMENT ON COLUMN bfs_service_summary_accessories.color_3 IS 'カラー3';</v>
      </c>
      <c r="R19" s="34" t="s">
        <v>100</v>
      </c>
    </row>
    <row r="20" spans="1:18" ht="19.5" thickBot="1">
      <c r="A20" s="6"/>
      <c r="B20" s="6">
        <v>12</v>
      </c>
      <c r="C20" s="6" t="s">
        <v>101</v>
      </c>
      <c r="D20" s="6" t="s">
        <v>89</v>
      </c>
      <c r="E20" s="6">
        <v>6</v>
      </c>
      <c r="F20" s="7" t="s">
        <v>67</v>
      </c>
      <c r="G20" s="6"/>
      <c r="H20" s="8"/>
      <c r="I20" s="6"/>
      <c r="J20" s="6"/>
      <c r="K20" s="25" t="s">
        <v>102</v>
      </c>
      <c r="L20" t="str">
        <f t="shared" si="0"/>
        <v>DECIMAL(6),</v>
      </c>
      <c r="N20" t="str">
        <f t="shared" si="1"/>
        <v>COMMENT ON COLUMN bfs_service_summary_accessories.quantity_3 IS '台数3';</v>
      </c>
      <c r="R20" s="34" t="s">
        <v>103</v>
      </c>
    </row>
    <row r="21" spans="1:18" ht="19.5" thickBot="1">
      <c r="A21" s="3"/>
      <c r="B21" s="3">
        <v>13</v>
      </c>
      <c r="C21" s="3" t="s">
        <v>104</v>
      </c>
      <c r="D21" s="3" t="s">
        <v>66</v>
      </c>
      <c r="E21" s="3">
        <v>900</v>
      </c>
      <c r="F21" s="2" t="s">
        <v>67</v>
      </c>
      <c r="G21" s="3"/>
      <c r="H21" s="5"/>
      <c r="I21" s="3"/>
      <c r="J21" s="3"/>
      <c r="K21" s="25" t="s">
        <v>105</v>
      </c>
      <c r="L21" t="str">
        <f t="shared" si="0"/>
        <v>VARCHAR(900),</v>
      </c>
      <c r="N21" t="str">
        <f t="shared" si="1"/>
        <v>COMMENT ON COLUMN bfs_service_summary_accessories.color_4 IS 'カラー4';</v>
      </c>
      <c r="R21" s="34" t="s">
        <v>106</v>
      </c>
    </row>
    <row r="22" spans="1:18" ht="19.5" thickBot="1">
      <c r="A22" s="6"/>
      <c r="B22" s="6">
        <v>14</v>
      </c>
      <c r="C22" s="6" t="s">
        <v>107</v>
      </c>
      <c r="D22" s="6" t="s">
        <v>89</v>
      </c>
      <c r="E22" s="6">
        <v>6</v>
      </c>
      <c r="F22" s="7" t="s">
        <v>67</v>
      </c>
      <c r="G22" s="6"/>
      <c r="H22" s="8"/>
      <c r="I22" s="6"/>
      <c r="J22" s="6"/>
      <c r="K22" s="25" t="s">
        <v>108</v>
      </c>
      <c r="L22" t="str">
        <f t="shared" si="0"/>
        <v>DECIMAL(6),</v>
      </c>
      <c r="N22" t="str">
        <f t="shared" si="1"/>
        <v>COMMENT ON COLUMN bfs_service_summary_accessories.quantity_4 IS '台数4';</v>
      </c>
      <c r="R22" s="34" t="s">
        <v>109</v>
      </c>
    </row>
    <row r="23" spans="1:18" ht="19.5" thickBot="1">
      <c r="A23" s="3"/>
      <c r="B23" s="3">
        <v>15</v>
      </c>
      <c r="C23" s="3" t="s">
        <v>110</v>
      </c>
      <c r="D23" s="3" t="s">
        <v>66</v>
      </c>
      <c r="E23" s="3">
        <v>900</v>
      </c>
      <c r="F23" s="2" t="s">
        <v>67</v>
      </c>
      <c r="G23" s="3"/>
      <c r="H23" s="5"/>
      <c r="I23" s="3"/>
      <c r="J23" s="3"/>
      <c r="K23" s="25" t="s">
        <v>111</v>
      </c>
      <c r="L23" t="str">
        <f t="shared" si="0"/>
        <v>VARCHAR(900),</v>
      </c>
      <c r="N23" t="str">
        <f t="shared" si="1"/>
        <v>COMMENT ON COLUMN bfs_service_summary_accessories.color_5 IS 'カラー5';</v>
      </c>
      <c r="R23" s="34" t="s">
        <v>112</v>
      </c>
    </row>
    <row r="24" spans="1:18" ht="19.5" thickBot="1">
      <c r="A24" s="6"/>
      <c r="B24" s="6">
        <v>16</v>
      </c>
      <c r="C24" s="6" t="s">
        <v>113</v>
      </c>
      <c r="D24" s="6" t="s">
        <v>89</v>
      </c>
      <c r="E24" s="6">
        <v>6</v>
      </c>
      <c r="F24" s="7" t="s">
        <v>67</v>
      </c>
      <c r="G24" s="6"/>
      <c r="H24" s="8"/>
      <c r="I24" s="6"/>
      <c r="J24" s="6"/>
      <c r="K24" s="25" t="s">
        <v>114</v>
      </c>
      <c r="L24" t="str">
        <f t="shared" si="0"/>
        <v>DECIMAL(6),</v>
      </c>
      <c r="N24" t="str">
        <f t="shared" si="1"/>
        <v>COMMENT ON COLUMN bfs_service_summary_accessories.quantity_5 IS '台数5';</v>
      </c>
      <c r="R24" s="34" t="s">
        <v>115</v>
      </c>
    </row>
    <row r="25" spans="1:18" ht="19.5" thickBot="1">
      <c r="A25" s="3"/>
      <c r="B25" s="3">
        <v>17</v>
      </c>
      <c r="C25" s="3" t="s">
        <v>116</v>
      </c>
      <c r="D25" s="3" t="s">
        <v>89</v>
      </c>
      <c r="E25" s="3">
        <v>10</v>
      </c>
      <c r="F25" s="2" t="s">
        <v>67</v>
      </c>
      <c r="G25" s="3"/>
      <c r="H25" s="5"/>
      <c r="I25" s="3"/>
      <c r="J25" s="3"/>
      <c r="K25" s="25" t="s">
        <v>117</v>
      </c>
      <c r="L25" t="str">
        <f t="shared" si="0"/>
        <v>DECIMAL(10),</v>
      </c>
      <c r="N25" t="str">
        <f t="shared" si="1"/>
        <v>COMMENT ON COLUMN bfs_service_summary_accessories.standard_price_of_accessories IS '付属品標準価格';</v>
      </c>
      <c r="R25" s="34" t="s">
        <v>118</v>
      </c>
    </row>
    <row r="26" spans="1:18" ht="19.5" thickBot="1">
      <c r="A26" s="6"/>
      <c r="B26" s="6">
        <v>18</v>
      </c>
      <c r="C26" s="6" t="s">
        <v>119</v>
      </c>
      <c r="D26" s="6" t="s">
        <v>89</v>
      </c>
      <c r="E26" s="6">
        <v>10</v>
      </c>
      <c r="F26" s="7" t="s">
        <v>67</v>
      </c>
      <c r="G26" s="6"/>
      <c r="H26" s="8"/>
      <c r="I26" s="6"/>
      <c r="J26" s="6"/>
      <c r="K26" s="25" t="s">
        <v>120</v>
      </c>
      <c r="L26" t="str">
        <f t="shared" si="0"/>
        <v>DECIMAL(10),</v>
      </c>
      <c r="N26" t="str">
        <f t="shared" si="1"/>
        <v>COMMENT ON COLUMN bfs_service_summary_accessories.provision_fee IS '提供代金';</v>
      </c>
      <c r="R26" s="34" t="s">
        <v>121</v>
      </c>
    </row>
    <row r="27" spans="1:18" ht="19.5" thickBot="1">
      <c r="A27" s="3"/>
      <c r="B27" s="3">
        <v>19</v>
      </c>
      <c r="C27" s="3" t="s">
        <v>122</v>
      </c>
      <c r="D27" s="3" t="s">
        <v>89</v>
      </c>
      <c r="E27" s="3">
        <v>6</v>
      </c>
      <c r="F27" s="2" t="s">
        <v>67</v>
      </c>
      <c r="G27" s="3"/>
      <c r="H27" s="5"/>
      <c r="I27" s="3"/>
      <c r="J27" s="3"/>
      <c r="K27" s="25" t="s">
        <v>123</v>
      </c>
      <c r="L27" t="str">
        <f t="shared" si="0"/>
        <v>DECIMAL(6),</v>
      </c>
      <c r="N27" t="str">
        <f t="shared" si="1"/>
        <v>COMMENT ON COLUMN bfs_service_summary_accessories.usage_points IS '使用ポイント';</v>
      </c>
      <c r="R27" s="34" t="s">
        <v>124</v>
      </c>
    </row>
    <row r="28" spans="1:18" ht="19.5" thickBot="1">
      <c r="A28" s="6"/>
      <c r="B28" s="6">
        <v>20</v>
      </c>
      <c r="C28" s="6" t="s">
        <v>125</v>
      </c>
      <c r="D28" s="6" t="s">
        <v>89</v>
      </c>
      <c r="E28" s="6">
        <v>11</v>
      </c>
      <c r="F28" s="7" t="s">
        <v>67</v>
      </c>
      <c r="G28" s="6"/>
      <c r="H28" s="8"/>
      <c r="I28" s="6"/>
      <c r="J28" s="6"/>
      <c r="K28" s="25" t="s">
        <v>126</v>
      </c>
      <c r="L28" t="str">
        <f t="shared" si="0"/>
        <v>DECIMAL(11),</v>
      </c>
      <c r="N28" t="str">
        <f t="shared" si="1"/>
        <v>COMMENT ON COLUMN bfs_service_summary_accessories.cost IS '原価';</v>
      </c>
      <c r="R28" s="34" t="s">
        <v>127</v>
      </c>
    </row>
    <row r="29" spans="1:18" ht="19.5" thickBot="1">
      <c r="A29" s="3"/>
      <c r="B29" s="3">
        <v>21</v>
      </c>
      <c r="C29" s="3" t="s">
        <v>128</v>
      </c>
      <c r="D29" s="3" t="s">
        <v>66</v>
      </c>
      <c r="E29" s="3">
        <v>90</v>
      </c>
      <c r="F29" s="2" t="s">
        <v>67</v>
      </c>
      <c r="G29" s="3"/>
      <c r="H29" s="5"/>
      <c r="I29" s="3"/>
      <c r="J29" s="3"/>
      <c r="K29" s="25" t="s">
        <v>129</v>
      </c>
      <c r="L29" t="str">
        <f t="shared" si="0"/>
        <v>VARCHAR(90),</v>
      </c>
      <c r="N29" t="str">
        <f t="shared" si="1"/>
        <v>COMMENT ON COLUMN bfs_service_summary_accessories.linked_summary_number IS '紐付けサマリ番号';</v>
      </c>
      <c r="R29" s="34" t="s">
        <v>130</v>
      </c>
    </row>
    <row r="30" spans="1:18" ht="19.5" thickBot="1">
      <c r="A30" s="6"/>
      <c r="B30" s="6">
        <v>22</v>
      </c>
      <c r="C30" s="6" t="s">
        <v>131</v>
      </c>
      <c r="D30" s="6" t="s">
        <v>89</v>
      </c>
      <c r="E30" s="6" t="s">
        <v>132</v>
      </c>
      <c r="F30" s="7" t="s">
        <v>67</v>
      </c>
      <c r="G30" s="6"/>
      <c r="H30" s="8"/>
      <c r="I30" s="6"/>
      <c r="J30" s="6"/>
      <c r="K30" s="25" t="s">
        <v>133</v>
      </c>
      <c r="L30" t="str">
        <f t="shared" si="0"/>
        <v>DECIMAL(8,0),</v>
      </c>
      <c r="N30" t="str">
        <f t="shared" si="1"/>
        <v>COMMENT ON COLUMN bfs_service_summary_accessories.cost_contingency IS '原価予備費';</v>
      </c>
      <c r="R30" s="34" t="s">
        <v>134</v>
      </c>
    </row>
    <row r="31" spans="1:18">
      <c r="K31" t="str">
        <f>"CONSTRAINT pk_"&amp;L3&amp;" PRIMARY KEY (id));"</f>
        <v>CONSTRAINT pk_bfs_service_summary_accessories PRIMARY KEY (id));</v>
      </c>
      <c r="R31" s="33" t="s">
        <v>135</v>
      </c>
    </row>
    <row r="32" spans="1:18">
      <c r="R32" s="29" t="s">
        <v>136</v>
      </c>
    </row>
    <row r="33" spans="18:18">
      <c r="R33" s="29" t="s">
        <v>137</v>
      </c>
    </row>
    <row r="34" spans="18:18">
      <c r="R34" s="29" t="s">
        <v>138</v>
      </c>
    </row>
    <row r="35" spans="18:18">
      <c r="R35" s="29" t="s">
        <v>139</v>
      </c>
    </row>
    <row r="36" spans="18:18">
      <c r="R36" s="29" t="s">
        <v>140</v>
      </c>
    </row>
    <row r="37" spans="18:18">
      <c r="R37" s="29" t="s">
        <v>141</v>
      </c>
    </row>
    <row r="38" spans="18:18">
      <c r="R38" s="29" t="s">
        <v>142</v>
      </c>
    </row>
    <row r="39" spans="18:18">
      <c r="R39" s="29" t="s">
        <v>143</v>
      </c>
    </row>
    <row r="40" spans="18:18">
      <c r="R40" s="29" t="s">
        <v>144</v>
      </c>
    </row>
    <row r="41" spans="18:18">
      <c r="R41" s="29" t="s">
        <v>145</v>
      </c>
    </row>
    <row r="42" spans="18:18">
      <c r="R42" s="29" t="s">
        <v>146</v>
      </c>
    </row>
    <row r="43" spans="18:18">
      <c r="R43" s="29" t="s">
        <v>147</v>
      </c>
    </row>
    <row r="44" spans="18:18">
      <c r="R44" s="29" t="s">
        <v>148</v>
      </c>
    </row>
    <row r="45" spans="18:18">
      <c r="R45" s="29" t="s">
        <v>149</v>
      </c>
    </row>
    <row r="46" spans="18:18">
      <c r="R46" s="29" t="s">
        <v>150</v>
      </c>
    </row>
    <row r="47" spans="18:18">
      <c r="R47" s="29" t="s">
        <v>151</v>
      </c>
    </row>
    <row r="48" spans="18:18">
      <c r="R48" s="29" t="s">
        <v>152</v>
      </c>
    </row>
    <row r="49" spans="18:18">
      <c r="R49" s="29" t="s">
        <v>153</v>
      </c>
    </row>
    <row r="50" spans="18:18">
      <c r="R50" s="29" t="s">
        <v>154</v>
      </c>
    </row>
    <row r="51" spans="18:18">
      <c r="R51" s="29" t="s">
        <v>155</v>
      </c>
    </row>
    <row r="52" spans="18:18">
      <c r="R52" s="29" t="s">
        <v>156</v>
      </c>
    </row>
    <row r="53" spans="18:18">
      <c r="R53" s="29" t="s">
        <v>157</v>
      </c>
    </row>
    <row r="54" spans="18:18">
      <c r="R54" s="29" t="s">
        <v>158</v>
      </c>
    </row>
    <row r="55" spans="18:18">
      <c r="R55" s="29" t="s">
        <v>159</v>
      </c>
    </row>
  </sheetData>
  <mergeCells count="2">
    <mergeCell ref="G4:K4"/>
    <mergeCell ref="G5:K5"/>
  </mergeCells>
  <phoneticPr fontId="2"/>
  <hyperlinks>
    <hyperlink ref="H9" r:id="rId1" display="https://tools.l2.dwh.sb-sys.info/userhelp/data/komoku" xr:uid="{16A1966E-3064-4213-B685-878F1496EC2D}"/>
    <hyperlink ref="H10" r:id="rId2" display="https://tools.l2.dwh.sb-sys.info/userhelp/data/komoku" xr:uid="{CCDDF38F-A68A-491D-8F80-518E07896CED}"/>
    <hyperlink ref="H11" r:id="rId3" display="https://tools.l2.dwh.sb-sys.info/userhelp/data/komoku" xr:uid="{FF64FBF4-8716-4DC3-843A-EF95585D9D1E}"/>
    <hyperlink ref="H12" r:id="rId4" display="https://tools.l2.dwh.sb-sys.info/userhelp/data/komoku" xr:uid="{A3FE547F-D327-48D5-9D0B-FF0C03F4F4F6}"/>
    <hyperlink ref="H13" r:id="rId5" display="https://tools.l2.dwh.sb-sys.info/userhelp/data/komoku" xr:uid="{C1771F0C-89AC-4FB4-A86F-91C41A53D695}"/>
    <hyperlink ref="H14" r:id="rId6" display="https://tools.l2.dwh.sb-sys.info/userhelp/data/komoku" xr:uid="{98B0EB43-45F4-4B03-871A-AC02839DC39C}"/>
    <hyperlink ref="H15" r:id="rId7" display="https://tools.l2.dwh.sb-sys.info/userhelp/data/komoku" xr:uid="{49B6679D-CD42-42E6-912A-EBC28275773E}"/>
    <hyperlink ref="H16" r:id="rId8" display="https://tools.l2.dwh.sb-sys.info/userhelp/data/komoku" xr:uid="{6A1CB1E1-A46E-4AB9-92C9-C05081740618}"/>
    <hyperlink ref="H17" r:id="rId9" display="https://tools.l2.dwh.sb-sys.info/userhelp/data/komoku" xr:uid="{EC91E360-97E4-4514-9F5F-F3372633ADC8}"/>
    <hyperlink ref="H18" r:id="rId10" display="https://tools.l2.dwh.sb-sys.info/userhelp/data/komoku" xr:uid="{C1B9BCAC-611B-4837-9F08-1A73CABD274D}"/>
    <hyperlink ref="H19" r:id="rId11" display="https://tools.l2.dwh.sb-sys.info/userhelp/data/komoku" xr:uid="{CCA66F52-7851-4D21-8031-7519BDB82E28}"/>
    <hyperlink ref="H20" r:id="rId12" display="https://tools.l2.dwh.sb-sys.info/userhelp/data/komoku" xr:uid="{BC797892-7F0A-44C7-80DE-DDEE2309892D}"/>
    <hyperlink ref="H21" r:id="rId13" display="https://tools.l2.dwh.sb-sys.info/userhelp/data/komoku" xr:uid="{07F23C82-19B6-4846-9FBA-DBD2E3244BDD}"/>
    <hyperlink ref="H22" r:id="rId14" display="https://tools.l2.dwh.sb-sys.info/userhelp/data/komoku" xr:uid="{B6BEBD56-AA37-4E55-82D7-6BA05E745FEF}"/>
    <hyperlink ref="H23" r:id="rId15" display="https://tools.l2.dwh.sb-sys.info/userhelp/data/komoku" xr:uid="{968D72EE-ED4E-4015-BDDB-ED38AAAF0D1A}"/>
    <hyperlink ref="H24" r:id="rId16" display="https://tools.l2.dwh.sb-sys.info/userhelp/data/komoku" xr:uid="{0BFFFDBF-D7D5-44AE-8E63-B28DBB566EC8}"/>
    <hyperlink ref="H25" r:id="rId17" display="https://tools.l2.dwh.sb-sys.info/userhelp/data/komoku" xr:uid="{598E50C8-C608-46CC-AB39-B1262FD1F890}"/>
    <hyperlink ref="H26" r:id="rId18" display="https://tools.l2.dwh.sb-sys.info/userhelp/data/komoku" xr:uid="{9F4D8735-D934-46F8-8537-A3C321AE11B9}"/>
    <hyperlink ref="H27" r:id="rId19" display="https://tools.l2.dwh.sb-sys.info/userhelp/data/komoku" xr:uid="{841E6FB9-391B-4FC0-B81B-F803E53BFA1F}"/>
    <hyperlink ref="H28" r:id="rId20" display="https://tools.l2.dwh.sb-sys.info/userhelp/data/komoku" xr:uid="{EE15FB0D-E414-424C-8B05-74FF4D87D591}"/>
    <hyperlink ref="H29" r:id="rId21" display="https://tools.l2.dwh.sb-sys.info/userhelp/data/komoku" xr:uid="{55B13347-4E45-4CB1-B8DD-26CAB70216BF}"/>
    <hyperlink ref="H30" r:id="rId22" display="https://tools.l2.dwh.sb-sys.info/userhelp/data/komoku" xr:uid="{6F6F7FFC-02E7-4EFC-842D-67B15D0DA750}"/>
  </hyperlinks>
  <pageMargins left="0.7" right="0.7" top="0.75" bottom="0.75" header="0.3" footer="0.3"/>
  <pageSetup paperSize="9" orientation="portrait" r:id="rId2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C8798-9B26-496D-82C0-742418995FB8}">
  <sheetPr>
    <tabColor rgb="FFFF3300"/>
  </sheetPr>
  <dimension ref="A1:R1017"/>
  <sheetViews>
    <sheetView topLeftCell="A14" zoomScale="70" zoomScaleNormal="70" workbookViewId="0"/>
  </sheetViews>
  <sheetFormatPr defaultRowHeight="18.75"/>
  <cols>
    <col min="1" max="1" width="3.375" bestFit="1" customWidth="1"/>
    <col min="2" max="2" width="4.375" bestFit="1" customWidth="1"/>
    <col min="3" max="3" width="17.875" bestFit="1" customWidth="1"/>
    <col min="4" max="4" width="9.375" bestFit="1" customWidth="1"/>
    <col min="5" max="5" width="5" bestFit="1" customWidth="1"/>
    <col min="6" max="6" width="6" bestFit="1" customWidth="1"/>
    <col min="7" max="7" width="18.875" bestFit="1" customWidth="1"/>
    <col min="8" max="8" width="20.5" bestFit="1" customWidth="1"/>
    <col min="9" max="9" width="4.5" bestFit="1" customWidth="1"/>
    <col min="10" max="10" width="6" bestFit="1" customWidth="1"/>
    <col min="11" max="11" width="28.375" customWidth="1"/>
  </cols>
  <sheetData>
    <row r="1" spans="1:18" ht="19.5" thickBot="1"/>
    <row r="2" spans="1:18" ht="60.75" thickBot="1">
      <c r="C2" s="1" t="s">
        <v>41</v>
      </c>
      <c r="D2" s="1" t="s">
        <v>42</v>
      </c>
      <c r="E2" s="1" t="s">
        <v>43</v>
      </c>
      <c r="F2" s="1" t="s">
        <v>44</v>
      </c>
      <c r="G2" s="1" t="s">
        <v>45</v>
      </c>
    </row>
    <row r="3" spans="1:18" ht="60.75" thickBot="1">
      <c r="C3" s="2" t="s">
        <v>46</v>
      </c>
      <c r="D3" s="3" t="s">
        <v>160</v>
      </c>
      <c r="E3" s="3"/>
      <c r="F3" s="3" t="s">
        <v>161</v>
      </c>
      <c r="G3" s="3" t="s">
        <v>49</v>
      </c>
      <c r="H3" s="28" t="s">
        <v>162</v>
      </c>
    </row>
    <row r="4" spans="1:18" ht="19.5" thickBot="1">
      <c r="K4" t="str">
        <f>"DROP TABLE IF EXISTS "&amp;H3&amp;" CASCADE;"</f>
        <v>DROP TABLE IF EXISTS bfs_service_summary_device CASCADE;</v>
      </c>
      <c r="R4" s="33" t="s">
        <v>163</v>
      </c>
    </row>
    <row r="5" spans="1:18" ht="19.5" thickBot="1">
      <c r="K5" t="str">
        <f>"CREATE TABLE IF NOT EXISTS "&amp;H3&amp;" ("</f>
        <v>CREATE TABLE IF NOT EXISTS bfs_service_summary_device (</v>
      </c>
      <c r="N5" s="40" t="str">
        <f>"COMMENT ON TABLE "&amp;H3&amp;" IS '"&amp;D3&amp;"';"</f>
        <v>COMMENT ON TABLE bfs_service_summary_device IS 'b_hjn_bfs_モバイル_サービスサマリ_端末';</v>
      </c>
      <c r="R5" s="33" t="s">
        <v>164</v>
      </c>
    </row>
    <row r="6" spans="1:18" ht="19.5" thickBot="1">
      <c r="A6" s="4" t="s">
        <v>54</v>
      </c>
      <c r="B6" s="4" t="s">
        <v>55</v>
      </c>
      <c r="C6" s="4" t="s">
        <v>56</v>
      </c>
      <c r="D6" s="4" t="s">
        <v>57</v>
      </c>
      <c r="E6" s="4" t="s">
        <v>58</v>
      </c>
      <c r="F6" s="4" t="s">
        <v>59</v>
      </c>
      <c r="G6" s="4" t="s">
        <v>60</v>
      </c>
      <c r="H6" s="4" t="s">
        <v>61</v>
      </c>
      <c r="I6" s="4" t="s">
        <v>62</v>
      </c>
      <c r="J6" s="4" t="s">
        <v>63</v>
      </c>
      <c r="K6" t="s">
        <v>64</v>
      </c>
      <c r="N6" s="38" t="str">
        <f>"COMMENT ON COLUMN "&amp;$H$3&amp;".id IS 'id';"</f>
        <v>COMMENT ON COLUMN bfs_service_summary_device.id IS 'id';</v>
      </c>
      <c r="R6" s="34" t="s">
        <v>65</v>
      </c>
    </row>
    <row r="7" spans="1:18" ht="19.5" thickBot="1">
      <c r="A7" s="3"/>
      <c r="B7" s="3">
        <v>1</v>
      </c>
      <c r="C7" s="3" t="s">
        <v>165</v>
      </c>
      <c r="D7" s="3" t="s">
        <v>66</v>
      </c>
      <c r="E7" s="3">
        <v>54</v>
      </c>
      <c r="F7" s="2" t="s">
        <v>67</v>
      </c>
      <c r="G7" s="3"/>
      <c r="H7" s="5"/>
      <c r="I7" s="3"/>
      <c r="J7" s="3"/>
      <c r="K7" s="25" t="s">
        <v>68</v>
      </c>
      <c r="L7" t="str">
        <f>D7&amp;"("&amp;E7&amp;"),"</f>
        <v>VARCHAR(54),</v>
      </c>
      <c r="N7" s="38" t="str">
        <f>"COMMENT ON COLUMN "&amp;$H$3&amp;"."&amp;$K7&amp;" IS '"&amp;C7&amp;"';"</f>
        <v>COMMENT ON COLUMN bfs_service_summary_device.entry_number IS 'エントリ番号';</v>
      </c>
      <c r="R7" s="34" t="s">
        <v>69</v>
      </c>
    </row>
    <row r="8" spans="1:18" ht="19.5" thickBot="1">
      <c r="A8" s="6"/>
      <c r="B8" s="6">
        <v>2</v>
      </c>
      <c r="C8" s="6" t="s">
        <v>70</v>
      </c>
      <c r="D8" s="6" t="s">
        <v>66</v>
      </c>
      <c r="E8" s="6">
        <v>36</v>
      </c>
      <c r="F8" s="7" t="s">
        <v>67</v>
      </c>
      <c r="G8" s="6"/>
      <c r="H8" s="8"/>
      <c r="I8" s="6"/>
      <c r="J8" s="6"/>
      <c r="K8" s="25" t="s">
        <v>71</v>
      </c>
      <c r="L8" t="str">
        <f t="shared" ref="L8:L71" si="0">D8&amp;"("&amp;E8&amp;"),"</f>
        <v>VARCHAR(36),</v>
      </c>
      <c r="N8" s="38" t="str">
        <f t="shared" ref="N8:N71" si="1">"COMMENT ON COLUMN "&amp;$H$3&amp;"."&amp;$K8&amp;" IS '"&amp;C8&amp;"';"</f>
        <v>COMMENT ON COLUMN bfs_service_summary_device.summary_number IS 'サマリ番号';</v>
      </c>
      <c r="R8" s="34" t="s">
        <v>72</v>
      </c>
    </row>
    <row r="9" spans="1:18" ht="19.5" thickBot="1">
      <c r="A9" s="3"/>
      <c r="B9" s="3">
        <v>3</v>
      </c>
      <c r="C9" s="3" t="s">
        <v>166</v>
      </c>
      <c r="D9" s="3" t="s">
        <v>89</v>
      </c>
      <c r="E9" s="3">
        <v>10</v>
      </c>
      <c r="F9" s="2" t="s">
        <v>67</v>
      </c>
      <c r="G9" s="3"/>
      <c r="H9" s="5"/>
      <c r="I9" s="3"/>
      <c r="J9" s="3"/>
      <c r="K9" s="25" t="s">
        <v>167</v>
      </c>
      <c r="L9" t="str">
        <f t="shared" si="0"/>
        <v>DECIMAL(10),</v>
      </c>
      <c r="N9" s="38" t="str">
        <f t="shared" si="1"/>
        <v>COMMENT ON COLUMN bfs_service_summary_device.number_of_lines IS '回線数';</v>
      </c>
      <c r="R9" s="34" t="s">
        <v>168</v>
      </c>
    </row>
    <row r="10" spans="1:18" ht="19.5" thickBot="1">
      <c r="A10" s="6"/>
      <c r="B10" s="6">
        <v>4</v>
      </c>
      <c r="C10" s="6" t="s">
        <v>169</v>
      </c>
      <c r="D10" s="6" t="s">
        <v>66</v>
      </c>
      <c r="E10" s="6">
        <v>2295</v>
      </c>
      <c r="F10" s="7" t="s">
        <v>67</v>
      </c>
      <c r="G10" s="6"/>
      <c r="H10" s="8"/>
      <c r="I10" s="6"/>
      <c r="J10" s="6"/>
      <c r="K10" s="25" t="s">
        <v>170</v>
      </c>
      <c r="L10" t="str">
        <f t="shared" si="0"/>
        <v>VARCHAR(2295),</v>
      </c>
      <c r="N10" s="38" t="str">
        <f t="shared" si="1"/>
        <v>COMMENT ON COLUMN bfs_service_summary_device.rental_set_device IS 'レンタルセット端末';</v>
      </c>
      <c r="R10" s="34" t="s">
        <v>171</v>
      </c>
    </row>
    <row r="11" spans="1:18" ht="19.5" thickBot="1">
      <c r="A11" s="3"/>
      <c r="B11" s="3">
        <v>5</v>
      </c>
      <c r="C11" s="3" t="s">
        <v>172</v>
      </c>
      <c r="D11" s="3" t="s">
        <v>66</v>
      </c>
      <c r="E11" s="3">
        <v>2295</v>
      </c>
      <c r="F11" s="2" t="s">
        <v>67</v>
      </c>
      <c r="G11" s="3"/>
      <c r="H11" s="5"/>
      <c r="I11" s="3"/>
      <c r="J11" s="3"/>
      <c r="K11" s="25" t="s">
        <v>173</v>
      </c>
      <c r="L11" t="str">
        <f t="shared" si="0"/>
        <v>VARCHAR(2295),</v>
      </c>
      <c r="N11" s="38" t="str">
        <f t="shared" si="1"/>
        <v>COMMENT ON COLUMN bfs_service_summary_device.mnp IS 'mnp';</v>
      </c>
      <c r="R11" s="34" t="s">
        <v>174</v>
      </c>
    </row>
    <row r="12" spans="1:18" ht="19.5" thickBot="1">
      <c r="A12" s="6"/>
      <c r="B12" s="6">
        <v>6</v>
      </c>
      <c r="C12" s="6" t="s">
        <v>76</v>
      </c>
      <c r="D12" s="6" t="s">
        <v>66</v>
      </c>
      <c r="E12" s="6">
        <v>45</v>
      </c>
      <c r="F12" s="7" t="s">
        <v>67</v>
      </c>
      <c r="G12" s="6"/>
      <c r="H12" s="8"/>
      <c r="I12" s="6"/>
      <c r="J12" s="6"/>
      <c r="K12" s="25" t="s">
        <v>77</v>
      </c>
      <c r="L12" t="str">
        <f t="shared" si="0"/>
        <v>VARCHAR(45),</v>
      </c>
      <c r="N12" s="38" t="str">
        <f t="shared" si="1"/>
        <v>COMMENT ON COLUMN bfs_service_summary_device.product_code IS '商品コード';</v>
      </c>
      <c r="R12" s="34" t="s">
        <v>78</v>
      </c>
    </row>
    <row r="13" spans="1:18" ht="19.5" thickBot="1">
      <c r="A13" s="3"/>
      <c r="B13" s="3">
        <v>7</v>
      </c>
      <c r="C13" s="3" t="s">
        <v>79</v>
      </c>
      <c r="D13" s="3" t="s">
        <v>66</v>
      </c>
      <c r="E13" s="3">
        <v>1800</v>
      </c>
      <c r="F13" s="2" t="s">
        <v>67</v>
      </c>
      <c r="G13" s="3"/>
      <c r="H13" s="5"/>
      <c r="I13" s="3"/>
      <c r="J13" s="3"/>
      <c r="K13" s="25" t="s">
        <v>80</v>
      </c>
      <c r="L13" t="str">
        <f t="shared" si="0"/>
        <v>VARCHAR(1800),</v>
      </c>
      <c r="N13" s="38" t="str">
        <f t="shared" si="1"/>
        <v>COMMENT ON COLUMN bfs_service_summary_device.manufacturer IS 'メーカ';</v>
      </c>
      <c r="R13" s="34" t="s">
        <v>81</v>
      </c>
    </row>
    <row r="14" spans="1:18" ht="19.5" thickBot="1">
      <c r="A14" s="6"/>
      <c r="B14" s="6">
        <v>8</v>
      </c>
      <c r="C14" s="6" t="s">
        <v>175</v>
      </c>
      <c r="D14" s="6" t="s">
        <v>66</v>
      </c>
      <c r="E14" s="6">
        <v>900</v>
      </c>
      <c r="F14" s="7" t="s">
        <v>67</v>
      </c>
      <c r="G14" s="6"/>
      <c r="H14" s="8"/>
      <c r="I14" s="6"/>
      <c r="J14" s="6"/>
      <c r="K14" s="25" t="s">
        <v>176</v>
      </c>
      <c r="L14" t="str">
        <f t="shared" si="0"/>
        <v>VARCHAR(900),</v>
      </c>
      <c r="N14" s="38" t="str">
        <f t="shared" si="1"/>
        <v>COMMENT ON COLUMN bfs_service_summary_device.mobile_device_classification IS '移動機分類';</v>
      </c>
      <c r="R14" s="34" t="s">
        <v>177</v>
      </c>
    </row>
    <row r="15" spans="1:18" ht="19.5" thickBot="1">
      <c r="A15" s="3"/>
      <c r="B15" s="3">
        <v>9</v>
      </c>
      <c r="C15" s="3" t="s">
        <v>178</v>
      </c>
      <c r="D15" s="3" t="s">
        <v>66</v>
      </c>
      <c r="E15" s="3">
        <v>900</v>
      </c>
      <c r="F15" s="2" t="s">
        <v>67</v>
      </c>
      <c r="G15" s="3"/>
      <c r="H15" s="5"/>
      <c r="I15" s="3"/>
      <c r="J15" s="3"/>
      <c r="K15" s="25" t="s">
        <v>179</v>
      </c>
      <c r="L15" t="str">
        <f t="shared" si="0"/>
        <v>VARCHAR(900),</v>
      </c>
      <c r="N15" s="38" t="str">
        <f t="shared" si="1"/>
        <v>COMMENT ON COLUMN bfs_service_summary_device.model_name IS '機種名';</v>
      </c>
      <c r="R15" s="34" t="s">
        <v>180</v>
      </c>
    </row>
    <row r="16" spans="1:18" ht="19.5" thickBot="1">
      <c r="A16" s="6"/>
      <c r="B16" s="6">
        <v>10</v>
      </c>
      <c r="C16" s="6" t="s">
        <v>181</v>
      </c>
      <c r="D16" s="6" t="s">
        <v>66</v>
      </c>
      <c r="E16" s="6">
        <v>900</v>
      </c>
      <c r="F16" s="7" t="s">
        <v>67</v>
      </c>
      <c r="G16" s="6"/>
      <c r="H16" s="8"/>
      <c r="I16" s="6"/>
      <c r="J16" s="6"/>
      <c r="K16" s="25" t="s">
        <v>86</v>
      </c>
      <c r="L16" t="str">
        <f t="shared" si="0"/>
        <v>VARCHAR(900),</v>
      </c>
      <c r="N16" s="38" t="str">
        <f t="shared" si="1"/>
        <v>COMMENT ON COLUMN bfs_service_summary_device.color_1 IS 'カラー1';</v>
      </c>
      <c r="R16" s="34" t="s">
        <v>87</v>
      </c>
    </row>
    <row r="17" spans="1:18" ht="19.5" thickBot="1">
      <c r="A17" s="3"/>
      <c r="B17" s="3">
        <v>11</v>
      </c>
      <c r="C17" s="3" t="s">
        <v>182</v>
      </c>
      <c r="D17" s="3" t="s">
        <v>89</v>
      </c>
      <c r="E17" s="3">
        <v>10</v>
      </c>
      <c r="F17" s="2" t="s">
        <v>67</v>
      </c>
      <c r="G17" s="3"/>
      <c r="H17" s="5"/>
      <c r="I17" s="3"/>
      <c r="J17" s="3"/>
      <c r="K17" s="25" t="s">
        <v>90</v>
      </c>
      <c r="L17" t="str">
        <f t="shared" si="0"/>
        <v>DECIMAL(10),</v>
      </c>
      <c r="N17" s="38" t="str">
        <f t="shared" si="1"/>
        <v>COMMENT ON COLUMN bfs_service_summary_device.quantity_1 IS '台数1';</v>
      </c>
      <c r="R17" s="34" t="s">
        <v>183</v>
      </c>
    </row>
    <row r="18" spans="1:18" ht="19.5" thickBot="1">
      <c r="A18" s="6"/>
      <c r="B18" s="6">
        <v>12</v>
      </c>
      <c r="C18" s="6" t="s">
        <v>92</v>
      </c>
      <c r="D18" s="6" t="s">
        <v>66</v>
      </c>
      <c r="E18" s="6">
        <v>900</v>
      </c>
      <c r="F18" s="7" t="s">
        <v>67</v>
      </c>
      <c r="G18" s="6"/>
      <c r="H18" s="8"/>
      <c r="I18" s="6"/>
      <c r="J18" s="6"/>
      <c r="K18" s="25" t="s">
        <v>93</v>
      </c>
      <c r="L18" t="str">
        <f t="shared" si="0"/>
        <v>VARCHAR(900),</v>
      </c>
      <c r="N18" s="38" t="str">
        <f t="shared" si="1"/>
        <v>COMMENT ON COLUMN bfs_service_summary_device.color_2 IS 'カラー2';</v>
      </c>
      <c r="R18" s="34" t="s">
        <v>94</v>
      </c>
    </row>
    <row r="19" spans="1:18" ht="19.5" thickBot="1">
      <c r="A19" s="3"/>
      <c r="B19" s="3">
        <v>13</v>
      </c>
      <c r="C19" s="3" t="s">
        <v>95</v>
      </c>
      <c r="D19" s="3" t="s">
        <v>89</v>
      </c>
      <c r="E19" s="3">
        <v>10</v>
      </c>
      <c r="F19" s="2" t="s">
        <v>67</v>
      </c>
      <c r="G19" s="3"/>
      <c r="H19" s="5"/>
      <c r="I19" s="3"/>
      <c r="J19" s="3"/>
      <c r="K19" s="25" t="s">
        <v>96</v>
      </c>
      <c r="L19" t="str">
        <f t="shared" si="0"/>
        <v>DECIMAL(10),</v>
      </c>
      <c r="N19" s="38" t="str">
        <f t="shared" si="1"/>
        <v>COMMENT ON COLUMN bfs_service_summary_device.quantity_2 IS '台数2';</v>
      </c>
      <c r="R19" s="34" t="s">
        <v>184</v>
      </c>
    </row>
    <row r="20" spans="1:18" ht="19.5" thickBot="1">
      <c r="A20" s="6"/>
      <c r="B20" s="6">
        <v>14</v>
      </c>
      <c r="C20" s="6" t="s">
        <v>98</v>
      </c>
      <c r="D20" s="6" t="s">
        <v>66</v>
      </c>
      <c r="E20" s="6">
        <v>900</v>
      </c>
      <c r="F20" s="7" t="s">
        <v>67</v>
      </c>
      <c r="G20" s="6"/>
      <c r="H20" s="8"/>
      <c r="I20" s="6"/>
      <c r="J20" s="6"/>
      <c r="K20" s="25" t="s">
        <v>99</v>
      </c>
      <c r="L20" t="str">
        <f t="shared" si="0"/>
        <v>VARCHAR(900),</v>
      </c>
      <c r="N20" s="38" t="str">
        <f t="shared" si="1"/>
        <v>COMMENT ON COLUMN bfs_service_summary_device.color_3 IS 'カラー3';</v>
      </c>
      <c r="R20" s="34" t="s">
        <v>100</v>
      </c>
    </row>
    <row r="21" spans="1:18" ht="19.5" thickBot="1">
      <c r="A21" s="3"/>
      <c r="B21" s="3">
        <v>15</v>
      </c>
      <c r="C21" s="3" t="s">
        <v>101</v>
      </c>
      <c r="D21" s="3" t="s">
        <v>89</v>
      </c>
      <c r="E21" s="3">
        <v>10</v>
      </c>
      <c r="F21" s="2" t="s">
        <v>67</v>
      </c>
      <c r="G21" s="3"/>
      <c r="H21" s="5"/>
      <c r="I21" s="3"/>
      <c r="J21" s="3"/>
      <c r="K21" s="25" t="s">
        <v>102</v>
      </c>
      <c r="L21" t="str">
        <f t="shared" si="0"/>
        <v>DECIMAL(10),</v>
      </c>
      <c r="N21" s="38" t="str">
        <f t="shared" si="1"/>
        <v>COMMENT ON COLUMN bfs_service_summary_device.quantity_3 IS '台数3';</v>
      </c>
      <c r="R21" s="34" t="s">
        <v>185</v>
      </c>
    </row>
    <row r="22" spans="1:18" ht="19.5" thickBot="1">
      <c r="A22" s="6"/>
      <c r="B22" s="6">
        <v>16</v>
      </c>
      <c r="C22" s="6" t="s">
        <v>104</v>
      </c>
      <c r="D22" s="6" t="s">
        <v>66</v>
      </c>
      <c r="E22" s="6">
        <v>900</v>
      </c>
      <c r="F22" s="7" t="s">
        <v>67</v>
      </c>
      <c r="G22" s="6"/>
      <c r="H22" s="8"/>
      <c r="I22" s="6"/>
      <c r="J22" s="6"/>
      <c r="K22" s="25" t="s">
        <v>105</v>
      </c>
      <c r="L22" t="str">
        <f t="shared" si="0"/>
        <v>VARCHAR(900),</v>
      </c>
      <c r="N22" s="38" t="str">
        <f t="shared" si="1"/>
        <v>COMMENT ON COLUMN bfs_service_summary_device.color_4 IS 'カラー4';</v>
      </c>
      <c r="R22" s="34" t="s">
        <v>106</v>
      </c>
    </row>
    <row r="23" spans="1:18" ht="19.5" thickBot="1">
      <c r="A23" s="3"/>
      <c r="B23" s="3">
        <v>17</v>
      </c>
      <c r="C23" s="3" t="s">
        <v>107</v>
      </c>
      <c r="D23" s="3" t="s">
        <v>89</v>
      </c>
      <c r="E23" s="3">
        <v>10</v>
      </c>
      <c r="F23" s="2" t="s">
        <v>67</v>
      </c>
      <c r="G23" s="3"/>
      <c r="H23" s="5"/>
      <c r="I23" s="3"/>
      <c r="J23" s="3"/>
      <c r="K23" s="25" t="s">
        <v>108</v>
      </c>
      <c r="L23" t="str">
        <f t="shared" si="0"/>
        <v>DECIMAL(10),</v>
      </c>
      <c r="N23" s="38" t="str">
        <f t="shared" si="1"/>
        <v>COMMENT ON COLUMN bfs_service_summary_device.quantity_4 IS '台数4';</v>
      </c>
      <c r="R23" s="34" t="s">
        <v>186</v>
      </c>
    </row>
    <row r="24" spans="1:18" ht="19.5" thickBot="1">
      <c r="A24" s="6"/>
      <c r="B24" s="6">
        <v>18</v>
      </c>
      <c r="C24" s="6" t="s">
        <v>110</v>
      </c>
      <c r="D24" s="6" t="s">
        <v>66</v>
      </c>
      <c r="E24" s="6">
        <v>900</v>
      </c>
      <c r="F24" s="7" t="s">
        <v>67</v>
      </c>
      <c r="G24" s="6"/>
      <c r="H24" s="8"/>
      <c r="I24" s="6"/>
      <c r="J24" s="6"/>
      <c r="K24" s="25" t="s">
        <v>111</v>
      </c>
      <c r="L24" t="str">
        <f t="shared" si="0"/>
        <v>VARCHAR(900),</v>
      </c>
      <c r="N24" s="38" t="str">
        <f t="shared" si="1"/>
        <v>COMMENT ON COLUMN bfs_service_summary_device.color_5 IS 'カラー5';</v>
      </c>
      <c r="R24" s="34" t="s">
        <v>112</v>
      </c>
    </row>
    <row r="25" spans="1:18" ht="19.5" thickBot="1">
      <c r="A25" s="3"/>
      <c r="B25" s="3">
        <v>19</v>
      </c>
      <c r="C25" s="3" t="s">
        <v>113</v>
      </c>
      <c r="D25" s="3" t="s">
        <v>89</v>
      </c>
      <c r="E25" s="3">
        <v>10</v>
      </c>
      <c r="F25" s="2" t="s">
        <v>67</v>
      </c>
      <c r="G25" s="3"/>
      <c r="H25" s="5"/>
      <c r="I25" s="3"/>
      <c r="J25" s="3"/>
      <c r="K25" s="25" t="s">
        <v>114</v>
      </c>
      <c r="L25" t="str">
        <f t="shared" si="0"/>
        <v>DECIMAL(10),</v>
      </c>
      <c r="N25" s="38" t="str">
        <f t="shared" si="1"/>
        <v>COMMENT ON COLUMN bfs_service_summary_device.quantity_5 IS '台数5';</v>
      </c>
      <c r="R25" s="34" t="s">
        <v>187</v>
      </c>
    </row>
    <row r="26" spans="1:18" ht="19.5" thickBot="1">
      <c r="A26" s="6"/>
      <c r="B26" s="6">
        <v>20</v>
      </c>
      <c r="C26" s="6" t="s">
        <v>188</v>
      </c>
      <c r="D26" s="6" t="s">
        <v>89</v>
      </c>
      <c r="E26" s="6">
        <v>10</v>
      </c>
      <c r="F26" s="7" t="s">
        <v>67</v>
      </c>
      <c r="G26" s="6"/>
      <c r="H26" s="8"/>
      <c r="I26" s="6"/>
      <c r="J26" s="6"/>
      <c r="K26" s="25" t="s">
        <v>189</v>
      </c>
      <c r="L26" t="str">
        <f t="shared" si="0"/>
        <v>DECIMAL(10),</v>
      </c>
      <c r="N26" s="38" t="str">
        <f t="shared" si="1"/>
        <v>COMMENT ON COLUMN bfs_service_summary_device.standard_device_price IS '端末標準価格';</v>
      </c>
      <c r="R26" s="34" t="s">
        <v>190</v>
      </c>
    </row>
    <row r="27" spans="1:18" ht="19.5" thickBot="1">
      <c r="A27" s="3"/>
      <c r="B27" s="3">
        <v>21</v>
      </c>
      <c r="C27" s="3" t="s">
        <v>119</v>
      </c>
      <c r="D27" s="3" t="s">
        <v>89</v>
      </c>
      <c r="E27" s="3">
        <v>10</v>
      </c>
      <c r="F27" s="2" t="s">
        <v>67</v>
      </c>
      <c r="G27" s="3"/>
      <c r="H27" s="5"/>
      <c r="I27" s="3"/>
      <c r="J27" s="3"/>
      <c r="K27" s="25" t="s">
        <v>120</v>
      </c>
      <c r="L27" t="str">
        <f t="shared" si="0"/>
        <v>DECIMAL(10),</v>
      </c>
      <c r="N27" s="38" t="str">
        <f t="shared" si="1"/>
        <v>COMMENT ON COLUMN bfs_service_summary_device.provision_fee IS '提供代金';</v>
      </c>
      <c r="R27" s="34" t="s">
        <v>121</v>
      </c>
    </row>
    <row r="28" spans="1:18" ht="19.5" thickBot="1">
      <c r="A28" s="6"/>
      <c r="B28" s="6">
        <v>22</v>
      </c>
      <c r="C28" s="6" t="s">
        <v>122</v>
      </c>
      <c r="D28" s="6" t="s">
        <v>89</v>
      </c>
      <c r="E28" s="6">
        <v>6</v>
      </c>
      <c r="F28" s="7" t="s">
        <v>67</v>
      </c>
      <c r="G28" s="6"/>
      <c r="H28" s="8"/>
      <c r="I28" s="6"/>
      <c r="J28" s="6"/>
      <c r="K28" s="25" t="s">
        <v>191</v>
      </c>
      <c r="L28" t="str">
        <f t="shared" si="0"/>
        <v>DECIMAL(6),</v>
      </c>
      <c r="N28" s="38" t="str">
        <f t="shared" si="1"/>
        <v>COMMENT ON COLUMN bfs_service_summary_device.points_used IS '使用ポイント';</v>
      </c>
      <c r="R28" s="34" t="s">
        <v>192</v>
      </c>
    </row>
    <row r="29" spans="1:18" ht="19.5" thickBot="1">
      <c r="A29" s="3"/>
      <c r="B29" s="3">
        <v>23</v>
      </c>
      <c r="C29" s="3" t="s">
        <v>193</v>
      </c>
      <c r="D29" s="3" t="s">
        <v>89</v>
      </c>
      <c r="E29" s="3">
        <v>10</v>
      </c>
      <c r="F29" s="2" t="s">
        <v>67</v>
      </c>
      <c r="G29" s="3"/>
      <c r="H29" s="5"/>
      <c r="I29" s="3"/>
      <c r="J29" s="3"/>
      <c r="K29" s="25" t="s">
        <v>194</v>
      </c>
      <c r="L29" t="str">
        <f t="shared" si="0"/>
        <v>DECIMAL(10),</v>
      </c>
      <c r="N29" s="38" t="str">
        <f t="shared" si="1"/>
        <v>COMMENT ON COLUMN bfs_service_summary_device.rental_fee IS 'レンタル料';</v>
      </c>
      <c r="R29" s="34" t="s">
        <v>195</v>
      </c>
    </row>
    <row r="30" spans="1:18" ht="19.5" thickBot="1">
      <c r="A30" s="6"/>
      <c r="B30" s="6">
        <v>24</v>
      </c>
      <c r="C30" s="6" t="s">
        <v>196</v>
      </c>
      <c r="D30" s="6" t="s">
        <v>89</v>
      </c>
      <c r="E30" s="6">
        <v>10</v>
      </c>
      <c r="F30" s="7" t="s">
        <v>67</v>
      </c>
      <c r="G30" s="6"/>
      <c r="H30" s="8"/>
      <c r="I30" s="6"/>
      <c r="J30" s="6"/>
      <c r="K30" s="25" t="s">
        <v>197</v>
      </c>
      <c r="L30" t="str">
        <f t="shared" si="0"/>
        <v>DECIMAL(10),</v>
      </c>
      <c r="N30" s="38" t="str">
        <f t="shared" si="1"/>
        <v>COMMENT ON COLUMN bfs_service_summary_device.actual_rental_provision_fee IS 'レンタル実質提供料金';</v>
      </c>
      <c r="R30" s="34" t="s">
        <v>198</v>
      </c>
    </row>
    <row r="31" spans="1:18" ht="19.5" thickBot="1">
      <c r="A31" s="3"/>
      <c r="B31" s="3">
        <v>25</v>
      </c>
      <c r="C31" s="3" t="s">
        <v>199</v>
      </c>
      <c r="D31" s="3" t="s">
        <v>66</v>
      </c>
      <c r="E31" s="3">
        <v>1800</v>
      </c>
      <c r="F31" s="2" t="s">
        <v>67</v>
      </c>
      <c r="G31" s="3"/>
      <c r="H31" s="5"/>
      <c r="I31" s="3"/>
      <c r="J31" s="3"/>
      <c r="K31" s="25" t="s">
        <v>200</v>
      </c>
      <c r="L31" t="str">
        <f t="shared" si="0"/>
        <v>VARCHAR(1800),</v>
      </c>
      <c r="N31" s="38" t="str">
        <f t="shared" si="1"/>
        <v>COMMENT ON COLUMN bfs_service_summary_device.campaign_1 IS 'キャンペーン1';</v>
      </c>
      <c r="R31" s="34" t="s">
        <v>201</v>
      </c>
    </row>
    <row r="32" spans="1:18" ht="19.5" thickBot="1">
      <c r="A32" s="6"/>
      <c r="B32" s="6">
        <v>26</v>
      </c>
      <c r="C32" s="6" t="s">
        <v>202</v>
      </c>
      <c r="D32" s="6" t="s">
        <v>66</v>
      </c>
      <c r="E32" s="6">
        <v>1800</v>
      </c>
      <c r="F32" s="7" t="s">
        <v>67</v>
      </c>
      <c r="G32" s="6"/>
      <c r="H32" s="8"/>
      <c r="I32" s="6"/>
      <c r="J32" s="6"/>
      <c r="K32" s="25" t="s">
        <v>203</v>
      </c>
      <c r="L32" t="str">
        <f t="shared" si="0"/>
        <v>VARCHAR(1800),</v>
      </c>
      <c r="N32" s="38" t="str">
        <f t="shared" si="1"/>
        <v>COMMENT ON COLUMN bfs_service_summary_device.campaign_2 IS 'キャンペーン2';</v>
      </c>
      <c r="R32" s="34" t="s">
        <v>204</v>
      </c>
    </row>
    <row r="33" spans="1:18" ht="19.5" thickBot="1">
      <c r="A33" s="3"/>
      <c r="B33" s="3">
        <v>27</v>
      </c>
      <c r="C33" s="3" t="s">
        <v>205</v>
      </c>
      <c r="D33" s="3" t="s">
        <v>66</v>
      </c>
      <c r="E33" s="3">
        <v>1800</v>
      </c>
      <c r="F33" s="2" t="s">
        <v>67</v>
      </c>
      <c r="G33" s="3"/>
      <c r="H33" s="5"/>
      <c r="I33" s="3"/>
      <c r="J33" s="3"/>
      <c r="K33" s="25" t="s">
        <v>206</v>
      </c>
      <c r="L33" t="str">
        <f t="shared" si="0"/>
        <v>VARCHAR(1800),</v>
      </c>
      <c r="N33" s="38" t="str">
        <f t="shared" si="1"/>
        <v>COMMENT ON COLUMN bfs_service_summary_device.campaign_3 IS 'キャンペーン3';</v>
      </c>
      <c r="R33" s="34" t="s">
        <v>207</v>
      </c>
    </row>
    <row r="34" spans="1:18" ht="19.5" thickBot="1">
      <c r="A34" s="6"/>
      <c r="B34" s="6">
        <v>28</v>
      </c>
      <c r="C34" s="6" t="s">
        <v>208</v>
      </c>
      <c r="D34" s="6" t="s">
        <v>66</v>
      </c>
      <c r="E34" s="6">
        <v>1800</v>
      </c>
      <c r="F34" s="7" t="s">
        <v>67</v>
      </c>
      <c r="G34" s="6"/>
      <c r="H34" s="8"/>
      <c r="I34" s="6"/>
      <c r="J34" s="6"/>
      <c r="K34" s="25" t="s">
        <v>209</v>
      </c>
      <c r="L34" t="str">
        <f t="shared" si="0"/>
        <v>VARCHAR(1800),</v>
      </c>
      <c r="N34" s="38" t="str">
        <f t="shared" si="1"/>
        <v>COMMENT ON COLUMN bfs_service_summary_device.campaign_4 IS 'キャンペーン4';</v>
      </c>
      <c r="R34" s="34" t="s">
        <v>210</v>
      </c>
    </row>
    <row r="35" spans="1:18" ht="19.5" thickBot="1">
      <c r="A35" s="3"/>
      <c r="B35" s="3">
        <v>29</v>
      </c>
      <c r="C35" s="3" t="s">
        <v>211</v>
      </c>
      <c r="D35" s="3" t="s">
        <v>66</v>
      </c>
      <c r="E35" s="3">
        <v>1800</v>
      </c>
      <c r="F35" s="2" t="s">
        <v>67</v>
      </c>
      <c r="G35" s="3"/>
      <c r="H35" s="5"/>
      <c r="I35" s="3"/>
      <c r="J35" s="3"/>
      <c r="K35" s="25" t="s">
        <v>212</v>
      </c>
      <c r="L35" t="str">
        <f t="shared" si="0"/>
        <v>VARCHAR(1800),</v>
      </c>
      <c r="N35" s="38" t="str">
        <f t="shared" si="1"/>
        <v>COMMENT ON COLUMN bfs_service_summary_device.campaign_5 IS 'キャンペーン5';</v>
      </c>
      <c r="R35" s="34" t="s">
        <v>213</v>
      </c>
    </row>
    <row r="36" spans="1:18" ht="19.5" thickBot="1">
      <c r="A36" s="6"/>
      <c r="B36" s="6">
        <v>30</v>
      </c>
      <c r="C36" s="6" t="s">
        <v>214</v>
      </c>
      <c r="D36" s="6" t="s">
        <v>66</v>
      </c>
      <c r="E36" s="6">
        <v>30</v>
      </c>
      <c r="F36" s="7" t="s">
        <v>67</v>
      </c>
      <c r="G36" s="6"/>
      <c r="H36" s="8"/>
      <c r="I36" s="6"/>
      <c r="J36" s="6"/>
      <c r="K36" s="25" t="s">
        <v>215</v>
      </c>
      <c r="L36" t="str">
        <f t="shared" si="0"/>
        <v>VARCHAR(30),</v>
      </c>
      <c r="N36" s="38" t="str">
        <f t="shared" si="1"/>
        <v>COMMENT ON COLUMN bfs_service_summary_device.benefit_code_1 IS '特典コード1';</v>
      </c>
      <c r="R36" s="34" t="s">
        <v>216</v>
      </c>
    </row>
    <row r="37" spans="1:18" ht="19.5" thickBot="1">
      <c r="A37" s="3"/>
      <c r="B37" s="3">
        <v>31</v>
      </c>
      <c r="C37" s="3" t="s">
        <v>217</v>
      </c>
      <c r="D37" s="3" t="s">
        <v>66</v>
      </c>
      <c r="E37" s="3">
        <v>30</v>
      </c>
      <c r="F37" s="2" t="s">
        <v>67</v>
      </c>
      <c r="G37" s="3"/>
      <c r="H37" s="5"/>
      <c r="I37" s="3"/>
      <c r="J37" s="3"/>
      <c r="K37" s="25" t="s">
        <v>218</v>
      </c>
      <c r="L37" t="str">
        <f t="shared" si="0"/>
        <v>VARCHAR(30),</v>
      </c>
      <c r="N37" s="38" t="str">
        <f t="shared" si="1"/>
        <v>COMMENT ON COLUMN bfs_service_summary_device.benefit_code_2 IS '特典コード2';</v>
      </c>
      <c r="R37" s="34" t="s">
        <v>219</v>
      </c>
    </row>
    <row r="38" spans="1:18" ht="19.5" thickBot="1">
      <c r="A38" s="6"/>
      <c r="B38" s="6">
        <v>32</v>
      </c>
      <c r="C38" s="6" t="s">
        <v>220</v>
      </c>
      <c r="D38" s="6" t="s">
        <v>66</v>
      </c>
      <c r="E38" s="6">
        <v>30</v>
      </c>
      <c r="F38" s="7" t="s">
        <v>67</v>
      </c>
      <c r="G38" s="6"/>
      <c r="H38" s="8"/>
      <c r="I38" s="6"/>
      <c r="J38" s="6"/>
      <c r="K38" s="25" t="s">
        <v>221</v>
      </c>
      <c r="L38" t="str">
        <f t="shared" si="0"/>
        <v>VARCHAR(30),</v>
      </c>
      <c r="N38" s="38" t="str">
        <f t="shared" si="1"/>
        <v>COMMENT ON COLUMN bfs_service_summary_device.benefit_code_3 IS '特典コード3';</v>
      </c>
      <c r="R38" s="34" t="s">
        <v>222</v>
      </c>
    </row>
    <row r="39" spans="1:18" ht="19.5" thickBot="1">
      <c r="A39" s="3"/>
      <c r="B39" s="3">
        <v>33</v>
      </c>
      <c r="C39" s="3" t="s">
        <v>223</v>
      </c>
      <c r="D39" s="3" t="s">
        <v>66</v>
      </c>
      <c r="E39" s="3">
        <v>30</v>
      </c>
      <c r="F39" s="2" t="s">
        <v>67</v>
      </c>
      <c r="G39" s="3"/>
      <c r="H39" s="5"/>
      <c r="I39" s="3"/>
      <c r="J39" s="3"/>
      <c r="K39" s="25" t="s">
        <v>224</v>
      </c>
      <c r="L39" t="str">
        <f t="shared" si="0"/>
        <v>VARCHAR(30),</v>
      </c>
      <c r="N39" s="38" t="str">
        <f t="shared" si="1"/>
        <v>COMMENT ON COLUMN bfs_service_summary_device.benefit_code_4 IS '特典コード4';</v>
      </c>
      <c r="R39" s="34" t="s">
        <v>225</v>
      </c>
    </row>
    <row r="40" spans="1:18" ht="19.5" thickBot="1">
      <c r="A40" s="6"/>
      <c r="B40" s="6">
        <v>34</v>
      </c>
      <c r="C40" s="6" t="s">
        <v>226</v>
      </c>
      <c r="D40" s="6" t="s">
        <v>66</v>
      </c>
      <c r="E40" s="6">
        <v>900</v>
      </c>
      <c r="F40" s="7" t="s">
        <v>67</v>
      </c>
      <c r="G40" s="6"/>
      <c r="H40" s="8"/>
      <c r="I40" s="6"/>
      <c r="J40" s="6"/>
      <c r="K40" s="25" t="s">
        <v>227</v>
      </c>
      <c r="L40" t="str">
        <f t="shared" si="0"/>
        <v>VARCHAR(900),</v>
      </c>
      <c r="N40" s="38" t="str">
        <f t="shared" si="1"/>
        <v>COMMENT ON COLUMN bfs_service_summary_device.urgent_campaign_1 IS '緊急キャンペーン1';</v>
      </c>
      <c r="R40" s="34" t="s">
        <v>228</v>
      </c>
    </row>
    <row r="41" spans="1:18" ht="19.5" thickBot="1">
      <c r="A41" s="3"/>
      <c r="B41" s="3">
        <v>35</v>
      </c>
      <c r="C41" s="3" t="s">
        <v>229</v>
      </c>
      <c r="D41" s="3" t="s">
        <v>66</v>
      </c>
      <c r="E41" s="3">
        <v>900</v>
      </c>
      <c r="F41" s="2" t="s">
        <v>67</v>
      </c>
      <c r="G41" s="3"/>
      <c r="H41" s="5"/>
      <c r="I41" s="3"/>
      <c r="J41" s="3"/>
      <c r="K41" s="25" t="s">
        <v>230</v>
      </c>
      <c r="L41" t="str">
        <f t="shared" si="0"/>
        <v>VARCHAR(900),</v>
      </c>
      <c r="N41" s="38" t="str">
        <f t="shared" si="1"/>
        <v>COMMENT ON COLUMN bfs_service_summary_device.urgent_campaign_2 IS '緊急キャンペーン2';</v>
      </c>
      <c r="R41" s="34" t="s">
        <v>231</v>
      </c>
    </row>
    <row r="42" spans="1:18" ht="19.5" thickBot="1">
      <c r="A42" s="6"/>
      <c r="B42" s="6">
        <v>36</v>
      </c>
      <c r="C42" s="6" t="s">
        <v>232</v>
      </c>
      <c r="D42" s="6" t="s">
        <v>66</v>
      </c>
      <c r="E42" s="6">
        <v>900</v>
      </c>
      <c r="F42" s="7" t="s">
        <v>67</v>
      </c>
      <c r="G42" s="6"/>
      <c r="H42" s="8"/>
      <c r="I42" s="6"/>
      <c r="J42" s="6"/>
      <c r="K42" s="25" t="s">
        <v>233</v>
      </c>
      <c r="L42" t="str">
        <f t="shared" si="0"/>
        <v>VARCHAR(900),</v>
      </c>
      <c r="N42" s="38" t="str">
        <f t="shared" si="1"/>
        <v>COMMENT ON COLUMN bfs_service_summary_device.urgent_campaign_3 IS '緊急キャンペーン3';</v>
      </c>
      <c r="R42" s="34" t="s">
        <v>234</v>
      </c>
    </row>
    <row r="43" spans="1:18" ht="19.5" thickBot="1">
      <c r="A43" s="3"/>
      <c r="B43" s="3">
        <v>37</v>
      </c>
      <c r="C43" s="3" t="s">
        <v>235</v>
      </c>
      <c r="D43" s="3" t="s">
        <v>66</v>
      </c>
      <c r="E43" s="3">
        <v>1800</v>
      </c>
      <c r="F43" s="2" t="s">
        <v>67</v>
      </c>
      <c r="G43" s="3"/>
      <c r="H43" s="5"/>
      <c r="I43" s="3"/>
      <c r="J43" s="3"/>
      <c r="K43" s="25" t="s">
        <v>236</v>
      </c>
      <c r="L43" t="str">
        <f t="shared" si="0"/>
        <v>VARCHAR(1800),</v>
      </c>
      <c r="N43" s="38" t="str">
        <f t="shared" si="1"/>
        <v>COMMENT ON COLUMN bfs_service_summary_device.plan IS 'プラン';</v>
      </c>
      <c r="R43" s="34" t="s">
        <v>237</v>
      </c>
    </row>
    <row r="44" spans="1:18" ht="19.5" thickBot="1">
      <c r="A44" s="6"/>
      <c r="B44" s="6">
        <v>38</v>
      </c>
      <c r="C44" s="6" t="s">
        <v>238</v>
      </c>
      <c r="D44" s="6" t="s">
        <v>66</v>
      </c>
      <c r="E44" s="6">
        <v>1800</v>
      </c>
      <c r="F44" s="7" t="s">
        <v>67</v>
      </c>
      <c r="G44" s="6"/>
      <c r="H44" s="8"/>
      <c r="I44" s="6"/>
      <c r="J44" s="6"/>
      <c r="K44" s="25" t="s">
        <v>239</v>
      </c>
      <c r="L44" t="str">
        <f t="shared" si="0"/>
        <v>VARCHAR(1800),</v>
      </c>
      <c r="N44" s="38" t="str">
        <f t="shared" si="1"/>
        <v>COMMENT ON COLUMN bfs_service_summary_device.white_corporate IS 'ホワイト法人';</v>
      </c>
      <c r="R44" s="34" t="s">
        <v>240</v>
      </c>
    </row>
    <row r="45" spans="1:18" ht="19.5" thickBot="1">
      <c r="A45" s="3"/>
      <c r="B45" s="3">
        <v>39</v>
      </c>
      <c r="C45" s="3" t="s">
        <v>241</v>
      </c>
      <c r="D45" s="3" t="s">
        <v>66</v>
      </c>
      <c r="E45" s="3">
        <v>1800</v>
      </c>
      <c r="F45" s="2" t="s">
        <v>67</v>
      </c>
      <c r="G45" s="3"/>
      <c r="H45" s="5"/>
      <c r="I45" s="3"/>
      <c r="J45" s="3"/>
      <c r="K45" s="25" t="s">
        <v>242</v>
      </c>
      <c r="L45" t="str">
        <f t="shared" si="0"/>
        <v>VARCHAR(1800),</v>
      </c>
      <c r="N45" s="38" t="str">
        <f t="shared" si="1"/>
        <v>COMMENT ON COLUMN bfs_service_summary_device.call_discount_w_white IS '通話料割引wホワイト';</v>
      </c>
      <c r="R45" s="34" t="s">
        <v>243</v>
      </c>
    </row>
    <row r="46" spans="1:18" ht="19.5" thickBot="1">
      <c r="A46" s="6"/>
      <c r="B46" s="6">
        <v>40</v>
      </c>
      <c r="C46" s="6" t="s">
        <v>244</v>
      </c>
      <c r="D46" s="6" t="s">
        <v>66</v>
      </c>
      <c r="E46" s="6">
        <v>1800</v>
      </c>
      <c r="F46" s="7" t="s">
        <v>67</v>
      </c>
      <c r="G46" s="6"/>
      <c r="H46" s="8"/>
      <c r="I46" s="6"/>
      <c r="J46" s="6"/>
      <c r="K46" s="25" t="s">
        <v>245</v>
      </c>
      <c r="L46" t="str">
        <f t="shared" si="0"/>
        <v>VARCHAR(1800),</v>
      </c>
      <c r="N46" s="38" t="str">
        <f t="shared" si="1"/>
        <v>COMMENT ON COLUMN bfs_service_summary_device.call_discount_l_white IS '通話料割引ホワイトl';</v>
      </c>
      <c r="R46" s="34" t="s">
        <v>246</v>
      </c>
    </row>
    <row r="47" spans="1:18" ht="19.5" thickBot="1">
      <c r="A47" s="3"/>
      <c r="B47" s="3">
        <v>41</v>
      </c>
      <c r="C47" s="3" t="s">
        <v>247</v>
      </c>
      <c r="D47" s="3" t="s">
        <v>66</v>
      </c>
      <c r="E47" s="3">
        <v>1800</v>
      </c>
      <c r="F47" s="2" t="s">
        <v>67</v>
      </c>
      <c r="G47" s="3"/>
      <c r="H47" s="5"/>
      <c r="I47" s="3"/>
      <c r="J47" s="3"/>
      <c r="K47" s="25" t="s">
        <v>248</v>
      </c>
      <c r="L47" t="str">
        <f t="shared" si="0"/>
        <v>VARCHAR(1800),</v>
      </c>
      <c r="N47" s="38" t="str">
        <f t="shared" si="1"/>
        <v>COMMENT ON COLUMN bfs_service_summary_device.flat_rate_calling_24_hour IS '24時間通話定額';</v>
      </c>
      <c r="R47" s="34" t="s">
        <v>249</v>
      </c>
    </row>
    <row r="48" spans="1:18" ht="19.5" thickBot="1">
      <c r="A48" s="6"/>
      <c r="B48" s="6">
        <v>42</v>
      </c>
      <c r="C48" s="6" t="s">
        <v>250</v>
      </c>
      <c r="D48" s="6" t="s">
        <v>66</v>
      </c>
      <c r="E48" s="6">
        <v>1800</v>
      </c>
      <c r="F48" s="7" t="s">
        <v>67</v>
      </c>
      <c r="G48" s="6"/>
      <c r="H48" s="8"/>
      <c r="I48" s="6"/>
      <c r="J48" s="6"/>
      <c r="K48" s="25" t="s">
        <v>251</v>
      </c>
      <c r="L48" t="str">
        <f t="shared" si="0"/>
        <v>VARCHAR(1800),</v>
      </c>
      <c r="N48" s="38" t="str">
        <f t="shared" si="1"/>
        <v>COMMENT ON COLUMN bfs_service_summary_device.white_office IS 'ホワイトオフィス';</v>
      </c>
      <c r="R48" s="34" t="s">
        <v>252</v>
      </c>
    </row>
    <row r="49" spans="1:18" ht="19.5" thickBot="1">
      <c r="A49" s="3"/>
      <c r="B49" s="3">
        <v>43</v>
      </c>
      <c r="C49" s="3" t="s">
        <v>253</v>
      </c>
      <c r="D49" s="3" t="s">
        <v>66</v>
      </c>
      <c r="E49" s="3">
        <v>1800</v>
      </c>
      <c r="F49" s="2" t="s">
        <v>67</v>
      </c>
      <c r="G49" s="3"/>
      <c r="H49" s="5"/>
      <c r="I49" s="3"/>
      <c r="J49" s="3"/>
      <c r="K49" s="25" t="s">
        <v>254</v>
      </c>
      <c r="L49" t="str">
        <f t="shared" si="0"/>
        <v>VARCHAR(1800),</v>
      </c>
      <c r="N49" s="38" t="str">
        <f t="shared" si="1"/>
        <v>COMMENT ON COLUMN bfs_service_summary_device.continuing_discount IS '継続割引';</v>
      </c>
      <c r="R49" s="34" t="s">
        <v>255</v>
      </c>
    </row>
    <row r="50" spans="1:18" ht="19.5" thickBot="1">
      <c r="A50" s="6"/>
      <c r="B50" s="6">
        <v>44</v>
      </c>
      <c r="C50" s="6" t="s">
        <v>256</v>
      </c>
      <c r="D50" s="6" t="s">
        <v>66</v>
      </c>
      <c r="E50" s="6">
        <v>1800</v>
      </c>
      <c r="F50" s="7" t="s">
        <v>67</v>
      </c>
      <c r="G50" s="6"/>
      <c r="H50" s="8"/>
      <c r="I50" s="6"/>
      <c r="J50" s="6"/>
      <c r="K50" s="25" t="s">
        <v>257</v>
      </c>
      <c r="L50" t="str">
        <f t="shared" si="0"/>
        <v>VARCHAR(1800),</v>
      </c>
      <c r="N50" s="38" t="str">
        <f t="shared" si="1"/>
        <v>COMMENT ON COLUMN bfs_service_summary_device.breaking_contract_gold_annual_contract IS '違約金年契';</v>
      </c>
      <c r="R50" s="34" t="s">
        <v>258</v>
      </c>
    </row>
    <row r="51" spans="1:18" ht="19.5" thickBot="1">
      <c r="A51" s="3"/>
      <c r="B51" s="3">
        <v>45</v>
      </c>
      <c r="C51" s="3" t="s">
        <v>259</v>
      </c>
      <c r="D51" s="3" t="s">
        <v>66</v>
      </c>
      <c r="E51" s="3">
        <v>1800</v>
      </c>
      <c r="F51" s="2" t="s">
        <v>67</v>
      </c>
      <c r="G51" s="3"/>
      <c r="H51" s="5"/>
      <c r="I51" s="3"/>
      <c r="J51" s="3"/>
      <c r="K51" s="25" t="s">
        <v>260</v>
      </c>
      <c r="L51" t="str">
        <f t="shared" si="0"/>
        <v>VARCHAR(1800),</v>
      </c>
      <c r="N51" s="38" t="str">
        <f t="shared" si="1"/>
        <v>COMMENT ON COLUMN bfs_service_summary_device.s_basic_pack IS 'sベーシックパック';</v>
      </c>
      <c r="R51" s="34" t="s">
        <v>261</v>
      </c>
    </row>
    <row r="52" spans="1:18" ht="19.5" thickBot="1">
      <c r="A52" s="6"/>
      <c r="B52" s="6">
        <v>46</v>
      </c>
      <c r="C52" s="6" t="s">
        <v>262</v>
      </c>
      <c r="D52" s="6" t="s">
        <v>66</v>
      </c>
      <c r="E52" s="6">
        <v>1800</v>
      </c>
      <c r="F52" s="7" t="s">
        <v>67</v>
      </c>
      <c r="G52" s="6"/>
      <c r="H52" s="8"/>
      <c r="I52" s="6"/>
      <c r="J52" s="6"/>
      <c r="K52" s="25" t="s">
        <v>263</v>
      </c>
      <c r="L52" t="str">
        <f t="shared" si="0"/>
        <v>VARCHAR(1800),</v>
      </c>
      <c r="N52" s="38" t="str">
        <f t="shared" si="1"/>
        <v>COMMENT ON COLUMN bfs_service_summary_device.data_communication_basic_fee_4g IS '4gデータ通信基本料';</v>
      </c>
      <c r="R52" s="34" t="s">
        <v>264</v>
      </c>
    </row>
    <row r="53" spans="1:18" ht="19.5" thickBot="1">
      <c r="A53" s="3"/>
      <c r="B53" s="3">
        <v>47</v>
      </c>
      <c r="C53" s="3" t="s">
        <v>265</v>
      </c>
      <c r="D53" s="3" t="s">
        <v>66</v>
      </c>
      <c r="E53" s="3">
        <v>1800</v>
      </c>
      <c r="F53" s="2" t="s">
        <v>67</v>
      </c>
      <c r="G53" s="3"/>
      <c r="H53" s="5"/>
      <c r="I53" s="3"/>
      <c r="J53" s="3"/>
      <c r="K53" s="25" t="s">
        <v>266</v>
      </c>
      <c r="L53" t="str">
        <f t="shared" si="0"/>
        <v>VARCHAR(1800),</v>
      </c>
      <c r="N53" s="38" t="str">
        <f t="shared" si="1"/>
        <v>COMMENT ON COLUMN bfs_service_summary_device.basic_fee_5g IS '5g基本料';</v>
      </c>
      <c r="R53" s="34" t="s">
        <v>267</v>
      </c>
    </row>
    <row r="54" spans="1:18" ht="19.5" thickBot="1">
      <c r="A54" s="6"/>
      <c r="B54" s="6">
        <v>48</v>
      </c>
      <c r="C54" s="6" t="s">
        <v>268</v>
      </c>
      <c r="D54" s="6" t="s">
        <v>66</v>
      </c>
      <c r="E54" s="6">
        <v>1800</v>
      </c>
      <c r="F54" s="7" t="s">
        <v>67</v>
      </c>
      <c r="G54" s="6"/>
      <c r="H54" s="8"/>
      <c r="I54" s="6"/>
      <c r="J54" s="6"/>
      <c r="K54" s="25" t="s">
        <v>269</v>
      </c>
      <c r="L54" t="str">
        <f t="shared" si="0"/>
        <v>VARCHAR(1800),</v>
      </c>
      <c r="N54" s="38" t="str">
        <f t="shared" si="1"/>
        <v>COMMENT ON COLUMN bfs_service_summary_device.packet_discount IS 'パケット割引';</v>
      </c>
      <c r="R54" s="34" t="s">
        <v>270</v>
      </c>
    </row>
    <row r="55" spans="1:18" ht="19.5" thickBot="1">
      <c r="A55" s="3"/>
      <c r="B55" s="3">
        <v>49</v>
      </c>
      <c r="C55" s="3" t="s">
        <v>271</v>
      </c>
      <c r="D55" s="3" t="s">
        <v>66</v>
      </c>
      <c r="E55" s="3">
        <v>1800</v>
      </c>
      <c r="F55" s="2" t="s">
        <v>67</v>
      </c>
      <c r="G55" s="3"/>
      <c r="H55" s="5"/>
      <c r="I55" s="3"/>
      <c r="J55" s="3"/>
      <c r="K55" s="25" t="s">
        <v>272</v>
      </c>
      <c r="L55" t="str">
        <f t="shared" si="0"/>
        <v>VARCHAR(1800),</v>
      </c>
      <c r="N55" s="38" t="str">
        <f t="shared" si="1"/>
        <v>COMMENT ON COLUMN bfs_service_summary_device.data_speed_​​limit_removal IS '通信速度制限解除';</v>
      </c>
      <c r="R55" s="34" t="s">
        <v>273</v>
      </c>
    </row>
    <row r="56" spans="1:18" ht="19.5" thickBot="1">
      <c r="A56" s="6"/>
      <c r="B56" s="6">
        <v>50</v>
      </c>
      <c r="C56" s="6" t="s">
        <v>274</v>
      </c>
      <c r="D56" s="6" t="s">
        <v>66</v>
      </c>
      <c r="E56" s="6">
        <v>1800</v>
      </c>
      <c r="F56" s="7" t="s">
        <v>67</v>
      </c>
      <c r="G56" s="6"/>
      <c r="H56" s="8"/>
      <c r="I56" s="6"/>
      <c r="J56" s="6"/>
      <c r="K56" s="25" t="s">
        <v>275</v>
      </c>
      <c r="L56" t="str">
        <f t="shared" si="0"/>
        <v>VARCHAR(1800),</v>
      </c>
      <c r="N56" s="38" t="str">
        <f t="shared" si="1"/>
        <v>COMMENT ON COLUMN bfs_service_summary_device.flat_rate_calls___anyone IS '通話定額_だれとでも';</v>
      </c>
      <c r="R56" s="34" t="s">
        <v>276</v>
      </c>
    </row>
    <row r="57" spans="1:18" ht="19.5" thickBot="1">
      <c r="A57" s="3"/>
      <c r="B57" s="3">
        <v>51</v>
      </c>
      <c r="C57" s="3" t="s">
        <v>277</v>
      </c>
      <c r="D57" s="3" t="s">
        <v>66</v>
      </c>
      <c r="E57" s="3">
        <v>1800</v>
      </c>
      <c r="F57" s="2" t="s">
        <v>67</v>
      </c>
      <c r="G57" s="3"/>
      <c r="H57" s="5"/>
      <c r="I57" s="3"/>
      <c r="J57" s="3"/>
      <c r="K57" s="25" t="s">
        <v>277</v>
      </c>
      <c r="L57" t="str">
        <f t="shared" si="0"/>
        <v>VARCHAR(1800),</v>
      </c>
      <c r="N57" s="38" t="str">
        <f t="shared" si="1"/>
        <v>COMMENT ON COLUMN bfs_service_summary_device.wifi IS 'wifi';</v>
      </c>
      <c r="R57" s="34" t="s">
        <v>278</v>
      </c>
    </row>
    <row r="58" spans="1:18" ht="19.5" thickBot="1">
      <c r="A58" s="6"/>
      <c r="B58" s="6">
        <v>52</v>
      </c>
      <c r="C58" s="6" t="s">
        <v>279</v>
      </c>
      <c r="D58" s="6" t="s">
        <v>66</v>
      </c>
      <c r="E58" s="6">
        <v>1800</v>
      </c>
      <c r="F58" s="7" t="s">
        <v>67</v>
      </c>
      <c r="G58" s="6"/>
      <c r="H58" s="8"/>
      <c r="I58" s="6"/>
      <c r="J58" s="6"/>
      <c r="K58" s="25" t="s">
        <v>280</v>
      </c>
      <c r="L58" t="str">
        <f t="shared" si="0"/>
        <v>VARCHAR(1800),</v>
      </c>
      <c r="N58" s="38" t="str">
        <f t="shared" si="1"/>
        <v>COMMENT ON COLUMN bfs_service_summary_device.tethering IS 'テザリング';</v>
      </c>
      <c r="R58" s="34" t="s">
        <v>281</v>
      </c>
    </row>
    <row r="59" spans="1:18" ht="19.5" thickBot="1">
      <c r="A59" s="3"/>
      <c r="B59" s="3">
        <v>53</v>
      </c>
      <c r="C59" s="3" t="s">
        <v>282</v>
      </c>
      <c r="D59" s="3" t="s">
        <v>66</v>
      </c>
      <c r="E59" s="3">
        <v>1800</v>
      </c>
      <c r="F59" s="2" t="s">
        <v>67</v>
      </c>
      <c r="G59" s="3"/>
      <c r="H59" s="5"/>
      <c r="I59" s="3"/>
      <c r="J59" s="3"/>
      <c r="K59" s="25" t="s">
        <v>283</v>
      </c>
      <c r="L59" t="str">
        <f t="shared" si="0"/>
        <v>VARCHAR(1800),</v>
      </c>
      <c r="N59" s="38" t="str">
        <f t="shared" si="1"/>
        <v>COMMENT ON COLUMN bfs_service_summary_device.flat_sp9 IS 'フラットsp9';</v>
      </c>
      <c r="R59" s="34" t="s">
        <v>284</v>
      </c>
    </row>
    <row r="60" spans="1:18" ht="19.5" thickBot="1">
      <c r="A60" s="6"/>
      <c r="B60" s="6">
        <v>54</v>
      </c>
      <c r="C60" s="6" t="s">
        <v>285</v>
      </c>
      <c r="D60" s="6" t="s">
        <v>66</v>
      </c>
      <c r="E60" s="6">
        <v>1800</v>
      </c>
      <c r="F60" s="7" t="s">
        <v>67</v>
      </c>
      <c r="G60" s="6"/>
      <c r="H60" s="8"/>
      <c r="I60" s="6"/>
      <c r="J60" s="6"/>
      <c r="K60" s="25" t="s">
        <v>286</v>
      </c>
      <c r="L60" t="str">
        <f t="shared" si="0"/>
        <v>VARCHAR(1800),</v>
      </c>
      <c r="N60" s="38" t="str">
        <f t="shared" si="1"/>
        <v>COMMENT ON COLUMN bfs_service_summary_device.option_pack IS 'オプションパック';</v>
      </c>
      <c r="R60" s="34" t="s">
        <v>287</v>
      </c>
    </row>
    <row r="61" spans="1:18" ht="19.5" thickBot="1">
      <c r="A61" s="3"/>
      <c r="B61" s="3">
        <v>55</v>
      </c>
      <c r="C61" s="3" t="s">
        <v>288</v>
      </c>
      <c r="D61" s="3" t="s">
        <v>66</v>
      </c>
      <c r="E61" s="3">
        <v>1800</v>
      </c>
      <c r="F61" s="2" t="s">
        <v>67</v>
      </c>
      <c r="G61" s="3"/>
      <c r="H61" s="5"/>
      <c r="I61" s="3"/>
      <c r="J61" s="3"/>
      <c r="K61" s="25" t="s">
        <v>289</v>
      </c>
      <c r="L61" t="str">
        <f t="shared" si="0"/>
        <v>VARCHAR(1800),</v>
      </c>
      <c r="N61" s="38" t="str">
        <f t="shared" si="1"/>
        <v>COMMENT ON COLUMN bfs_service_summary_device.anshin_guarantee_pack IS 'あんしん保証パック';</v>
      </c>
      <c r="R61" s="34" t="s">
        <v>290</v>
      </c>
    </row>
    <row r="62" spans="1:18" ht="19.5" thickBot="1">
      <c r="A62" s="6"/>
      <c r="B62" s="6">
        <v>56</v>
      </c>
      <c r="C62" s="6" t="s">
        <v>291</v>
      </c>
      <c r="D62" s="6" t="s">
        <v>66</v>
      </c>
      <c r="E62" s="6">
        <v>1800</v>
      </c>
      <c r="F62" s="7" t="s">
        <v>67</v>
      </c>
      <c r="G62" s="6"/>
      <c r="H62" s="8"/>
      <c r="I62" s="6"/>
      <c r="J62" s="6"/>
      <c r="K62" s="25" t="s">
        <v>291</v>
      </c>
      <c r="L62" t="str">
        <f t="shared" si="0"/>
        <v>VARCHAR(1800),</v>
      </c>
      <c r="N62" s="38" t="str">
        <f t="shared" si="1"/>
        <v>COMMENT ON COLUMN bfs_service_summary_device.app IS 'app';</v>
      </c>
      <c r="R62" s="34" t="s">
        <v>292</v>
      </c>
    </row>
    <row r="63" spans="1:18" ht="19.5" thickBot="1">
      <c r="A63" s="3"/>
      <c r="B63" s="3">
        <v>57</v>
      </c>
      <c r="C63" s="3" t="s">
        <v>293</v>
      </c>
      <c r="D63" s="3" t="s">
        <v>66</v>
      </c>
      <c r="E63" s="3">
        <v>1800</v>
      </c>
      <c r="F63" s="2" t="s">
        <v>67</v>
      </c>
      <c r="G63" s="3"/>
      <c r="H63" s="5"/>
      <c r="I63" s="3"/>
      <c r="J63" s="3"/>
      <c r="K63" s="25" t="s">
        <v>294</v>
      </c>
      <c r="L63" t="str">
        <f t="shared" si="0"/>
        <v>VARCHAR(1800),</v>
      </c>
      <c r="N63" s="38" t="str">
        <f t="shared" si="1"/>
        <v>COMMENT ON COLUMN bfs_service_summary_device.global_mobile_phone IS '世界対応ケータイ';</v>
      </c>
      <c r="R63" s="34" t="s">
        <v>295</v>
      </c>
    </row>
    <row r="64" spans="1:18" ht="19.5" thickBot="1">
      <c r="A64" s="6"/>
      <c r="B64" s="6">
        <v>58</v>
      </c>
      <c r="C64" s="6" t="s">
        <v>296</v>
      </c>
      <c r="D64" s="6" t="s">
        <v>66</v>
      </c>
      <c r="E64" s="6">
        <v>1800</v>
      </c>
      <c r="F64" s="7" t="s">
        <v>67</v>
      </c>
      <c r="G64" s="6"/>
      <c r="H64" s="8"/>
      <c r="I64" s="6"/>
      <c r="J64" s="6"/>
      <c r="K64" s="25" t="s">
        <v>297</v>
      </c>
      <c r="L64" t="str">
        <f t="shared" si="0"/>
        <v>VARCHAR(1800),</v>
      </c>
      <c r="N64" s="38" t="str">
        <f t="shared" si="1"/>
        <v>COMMENT ON COLUMN bfs_service_summary_device.overseas_packet_discount IS '海外パケット割引';</v>
      </c>
      <c r="R64" s="34" t="s">
        <v>298</v>
      </c>
    </row>
    <row r="65" spans="1:18" ht="19.5" thickBot="1">
      <c r="A65" s="3"/>
      <c r="B65" s="3">
        <v>59</v>
      </c>
      <c r="C65" s="3" t="s">
        <v>299</v>
      </c>
      <c r="D65" s="3" t="s">
        <v>66</v>
      </c>
      <c r="E65" s="3">
        <v>1800</v>
      </c>
      <c r="F65" s="2" t="s">
        <v>67</v>
      </c>
      <c r="G65" s="3"/>
      <c r="H65" s="5"/>
      <c r="I65" s="3"/>
      <c r="J65" s="3"/>
      <c r="K65" s="25" t="s">
        <v>300</v>
      </c>
      <c r="L65" t="str">
        <f t="shared" si="0"/>
        <v>VARCHAR(1800),</v>
      </c>
      <c r="N65" s="38" t="str">
        <f t="shared" si="1"/>
        <v>COMMENT ON COLUMN bfs_service_summary_device.call_billing_details IS '通話料明細';</v>
      </c>
      <c r="R65" s="34" t="s">
        <v>301</v>
      </c>
    </row>
    <row r="66" spans="1:18" ht="19.5" thickBot="1">
      <c r="A66" s="6"/>
      <c r="B66" s="6">
        <v>60</v>
      </c>
      <c r="C66" s="6" t="s">
        <v>302</v>
      </c>
      <c r="D66" s="6" t="s">
        <v>66</v>
      </c>
      <c r="E66" s="6">
        <v>1800</v>
      </c>
      <c r="F66" s="7" t="s">
        <v>67</v>
      </c>
      <c r="G66" s="6"/>
      <c r="H66" s="8"/>
      <c r="I66" s="6"/>
      <c r="J66" s="6"/>
      <c r="K66" s="25" t="s">
        <v>303</v>
      </c>
      <c r="L66" t="str">
        <f t="shared" si="0"/>
        <v>VARCHAR(1800),</v>
      </c>
      <c r="N66" s="38" t="str">
        <f t="shared" si="1"/>
        <v>COMMENT ON COLUMN bfs_service_summary_device.it_connection_basic_fee IS 'it接続基本料';</v>
      </c>
      <c r="R66" s="34" t="s">
        <v>304</v>
      </c>
    </row>
    <row r="67" spans="1:18" ht="19.5" thickBot="1">
      <c r="A67" s="3"/>
      <c r="B67" s="3">
        <v>61</v>
      </c>
      <c r="C67" s="3" t="s">
        <v>305</v>
      </c>
      <c r="D67" s="3" t="s">
        <v>66</v>
      </c>
      <c r="E67" s="3">
        <v>1800</v>
      </c>
      <c r="F67" s="2" t="s">
        <v>67</v>
      </c>
      <c r="G67" s="3"/>
      <c r="H67" s="5"/>
      <c r="I67" s="3"/>
      <c r="J67" s="3"/>
      <c r="K67" s="25" t="s">
        <v>306</v>
      </c>
      <c r="L67" t="str">
        <f t="shared" si="0"/>
        <v>VARCHAR(1800),</v>
      </c>
      <c r="N67" s="38" t="str">
        <f t="shared" si="1"/>
        <v>COMMENT ON COLUMN bfs_service_summary_device.option_category_1 IS 'オプションカテゴリ1';</v>
      </c>
      <c r="R67" s="34" t="s">
        <v>307</v>
      </c>
    </row>
    <row r="68" spans="1:18" ht="19.5" thickBot="1">
      <c r="A68" s="6"/>
      <c r="B68" s="6">
        <v>62</v>
      </c>
      <c r="C68" s="6" t="s">
        <v>308</v>
      </c>
      <c r="D68" s="6" t="s">
        <v>66</v>
      </c>
      <c r="E68" s="6">
        <v>1800</v>
      </c>
      <c r="F68" s="7" t="s">
        <v>67</v>
      </c>
      <c r="G68" s="6"/>
      <c r="H68" s="8"/>
      <c r="I68" s="6"/>
      <c r="J68" s="6"/>
      <c r="K68" s="25" t="s">
        <v>309</v>
      </c>
      <c r="L68" t="str">
        <f t="shared" si="0"/>
        <v>VARCHAR(1800),</v>
      </c>
      <c r="N68" s="38" t="str">
        <f t="shared" si="1"/>
        <v>COMMENT ON COLUMN bfs_service_summary_device.option_service_1 IS 'オプションサービス1';</v>
      </c>
      <c r="R68" s="34" t="s">
        <v>310</v>
      </c>
    </row>
    <row r="69" spans="1:18" ht="19.5" thickBot="1">
      <c r="A69" s="3"/>
      <c r="B69" s="3">
        <v>63</v>
      </c>
      <c r="C69" s="3" t="s">
        <v>311</v>
      </c>
      <c r="D69" s="3" t="s">
        <v>66</v>
      </c>
      <c r="E69" s="3">
        <v>1800</v>
      </c>
      <c r="F69" s="2" t="s">
        <v>67</v>
      </c>
      <c r="G69" s="3"/>
      <c r="H69" s="5"/>
      <c r="I69" s="3"/>
      <c r="J69" s="3"/>
      <c r="K69" s="25" t="s">
        <v>312</v>
      </c>
      <c r="L69" t="str">
        <f t="shared" si="0"/>
        <v>VARCHAR(1800),</v>
      </c>
      <c r="N69" s="38" t="str">
        <f t="shared" si="1"/>
        <v>COMMENT ON COLUMN bfs_service_summary_device.option_category_2 IS 'オプションカテゴリ2';</v>
      </c>
      <c r="R69" s="34" t="s">
        <v>313</v>
      </c>
    </row>
    <row r="70" spans="1:18" ht="19.5" thickBot="1">
      <c r="A70" s="6"/>
      <c r="B70" s="6">
        <v>64</v>
      </c>
      <c r="C70" s="6" t="s">
        <v>314</v>
      </c>
      <c r="D70" s="6" t="s">
        <v>66</v>
      </c>
      <c r="E70" s="6">
        <v>1800</v>
      </c>
      <c r="F70" s="7" t="s">
        <v>67</v>
      </c>
      <c r="G70" s="6"/>
      <c r="H70" s="8"/>
      <c r="I70" s="6"/>
      <c r="J70" s="6"/>
      <c r="K70" s="25" t="s">
        <v>315</v>
      </c>
      <c r="L70" t="str">
        <f t="shared" si="0"/>
        <v>VARCHAR(1800),</v>
      </c>
      <c r="N70" s="38" t="str">
        <f t="shared" si="1"/>
        <v>COMMENT ON COLUMN bfs_service_summary_device.option_service_2 IS 'オプションサービス2';</v>
      </c>
      <c r="R70" s="34" t="s">
        <v>316</v>
      </c>
    </row>
    <row r="71" spans="1:18" ht="19.5" thickBot="1">
      <c r="A71" s="3"/>
      <c r="B71" s="3">
        <v>65</v>
      </c>
      <c r="C71" s="3" t="s">
        <v>317</v>
      </c>
      <c r="D71" s="3" t="s">
        <v>66</v>
      </c>
      <c r="E71" s="3">
        <v>1800</v>
      </c>
      <c r="F71" s="2" t="s">
        <v>67</v>
      </c>
      <c r="G71" s="3"/>
      <c r="H71" s="5"/>
      <c r="I71" s="3"/>
      <c r="J71" s="3"/>
      <c r="K71" s="25" t="s">
        <v>318</v>
      </c>
      <c r="L71" t="str">
        <f t="shared" si="0"/>
        <v>VARCHAR(1800),</v>
      </c>
      <c r="N71" s="38" t="str">
        <f t="shared" si="1"/>
        <v>COMMENT ON COLUMN bfs_service_summary_device.option_category_3 IS 'オプションカテゴリ3';</v>
      </c>
      <c r="R71" s="34" t="s">
        <v>319</v>
      </c>
    </row>
    <row r="72" spans="1:18" ht="19.5" thickBot="1">
      <c r="A72" s="6"/>
      <c r="B72" s="6">
        <v>66</v>
      </c>
      <c r="C72" s="6" t="s">
        <v>320</v>
      </c>
      <c r="D72" s="6" t="s">
        <v>66</v>
      </c>
      <c r="E72" s="6">
        <v>1800</v>
      </c>
      <c r="F72" s="7" t="s">
        <v>67</v>
      </c>
      <c r="G72" s="6"/>
      <c r="H72" s="8"/>
      <c r="I72" s="6"/>
      <c r="J72" s="6"/>
      <c r="K72" s="25" t="s">
        <v>321</v>
      </c>
      <c r="L72" t="str">
        <f t="shared" ref="L72:L135" si="2">D72&amp;"("&amp;E72&amp;"),"</f>
        <v>VARCHAR(1800),</v>
      </c>
      <c r="N72" s="38" t="str">
        <f t="shared" ref="N72:N135" si="3">"COMMENT ON COLUMN "&amp;$H$3&amp;"."&amp;$K72&amp;" IS '"&amp;C72&amp;"';"</f>
        <v>COMMENT ON COLUMN bfs_service_summary_device.option_service_3 IS 'オプションサービス3';</v>
      </c>
      <c r="R72" s="34" t="s">
        <v>322</v>
      </c>
    </row>
    <row r="73" spans="1:18" ht="19.5" thickBot="1">
      <c r="A73" s="3"/>
      <c r="B73" s="3">
        <v>67</v>
      </c>
      <c r="C73" s="3" t="s">
        <v>323</v>
      </c>
      <c r="D73" s="3" t="s">
        <v>66</v>
      </c>
      <c r="E73" s="3">
        <v>1800</v>
      </c>
      <c r="F73" s="2" t="s">
        <v>67</v>
      </c>
      <c r="G73" s="3"/>
      <c r="H73" s="5"/>
      <c r="I73" s="3"/>
      <c r="J73" s="3"/>
      <c r="K73" s="25" t="s">
        <v>324</v>
      </c>
      <c r="L73" t="str">
        <f t="shared" si="2"/>
        <v>VARCHAR(1800),</v>
      </c>
      <c r="N73" s="38" t="str">
        <f t="shared" si="3"/>
        <v>COMMENT ON COLUMN bfs_service_summary_device.option_category_4 IS 'オプションカテゴリ4';</v>
      </c>
      <c r="R73" s="34" t="s">
        <v>325</v>
      </c>
    </row>
    <row r="74" spans="1:18" ht="19.5" thickBot="1">
      <c r="A74" s="6"/>
      <c r="B74" s="6">
        <v>68</v>
      </c>
      <c r="C74" s="6" t="s">
        <v>326</v>
      </c>
      <c r="D74" s="6" t="s">
        <v>66</v>
      </c>
      <c r="E74" s="6">
        <v>1800</v>
      </c>
      <c r="F74" s="7" t="s">
        <v>67</v>
      </c>
      <c r="G74" s="6"/>
      <c r="H74" s="8"/>
      <c r="I74" s="6"/>
      <c r="J74" s="6"/>
      <c r="K74" s="25" t="s">
        <v>327</v>
      </c>
      <c r="L74" t="str">
        <f t="shared" si="2"/>
        <v>VARCHAR(1800),</v>
      </c>
      <c r="N74" s="38" t="str">
        <f t="shared" si="3"/>
        <v>COMMENT ON COLUMN bfs_service_summary_device.option_service_4 IS 'オプションサービス4';</v>
      </c>
      <c r="R74" s="34" t="s">
        <v>328</v>
      </c>
    </row>
    <row r="75" spans="1:18" ht="19.5" thickBot="1">
      <c r="A75" s="3"/>
      <c r="B75" s="3">
        <v>69</v>
      </c>
      <c r="C75" s="3" t="s">
        <v>329</v>
      </c>
      <c r="D75" s="3" t="s">
        <v>66</v>
      </c>
      <c r="E75" s="3">
        <v>1800</v>
      </c>
      <c r="F75" s="2" t="s">
        <v>67</v>
      </c>
      <c r="G75" s="3"/>
      <c r="H75" s="5"/>
      <c r="I75" s="3"/>
      <c r="J75" s="3"/>
      <c r="K75" s="25" t="s">
        <v>330</v>
      </c>
      <c r="L75" t="str">
        <f t="shared" si="2"/>
        <v>VARCHAR(1800),</v>
      </c>
      <c r="N75" s="38" t="str">
        <f t="shared" si="3"/>
        <v>COMMENT ON COLUMN bfs_service_summary_device.option_category_5 IS 'オプションカテゴリ5';</v>
      </c>
      <c r="R75" s="34" t="s">
        <v>331</v>
      </c>
    </row>
    <row r="76" spans="1:18" ht="19.5" thickBot="1">
      <c r="A76" s="6"/>
      <c r="B76" s="6">
        <v>70</v>
      </c>
      <c r="C76" s="6" t="s">
        <v>332</v>
      </c>
      <c r="D76" s="6" t="s">
        <v>66</v>
      </c>
      <c r="E76" s="6">
        <v>1800</v>
      </c>
      <c r="F76" s="7" t="s">
        <v>67</v>
      </c>
      <c r="G76" s="6"/>
      <c r="H76" s="8"/>
      <c r="I76" s="6"/>
      <c r="J76" s="6"/>
      <c r="K76" s="25" t="s">
        <v>333</v>
      </c>
      <c r="L76" t="str">
        <f t="shared" si="2"/>
        <v>VARCHAR(1800),</v>
      </c>
      <c r="N76" s="38" t="str">
        <f t="shared" si="3"/>
        <v>COMMENT ON COLUMN bfs_service_summary_device.option_service_5 IS 'オプションサービス5';</v>
      </c>
      <c r="R76" s="34" t="s">
        <v>334</v>
      </c>
    </row>
    <row r="77" spans="1:18" ht="19.5" thickBot="1">
      <c r="A77" s="3"/>
      <c r="B77" s="3">
        <v>71</v>
      </c>
      <c r="C77" s="3" t="s">
        <v>335</v>
      </c>
      <c r="D77" s="3" t="s">
        <v>66</v>
      </c>
      <c r="E77" s="3">
        <v>1800</v>
      </c>
      <c r="F77" s="2" t="s">
        <v>67</v>
      </c>
      <c r="G77" s="3"/>
      <c r="H77" s="5"/>
      <c r="I77" s="3"/>
      <c r="J77" s="3"/>
      <c r="K77" s="25" t="s">
        <v>336</v>
      </c>
      <c r="L77" t="str">
        <f t="shared" si="2"/>
        <v>VARCHAR(1800),</v>
      </c>
      <c r="N77" s="38" t="str">
        <f t="shared" si="3"/>
        <v>COMMENT ON COLUMN bfs_service_summary_device.option_category_6 IS 'オプションカテゴリ6';</v>
      </c>
      <c r="R77" s="34" t="s">
        <v>337</v>
      </c>
    </row>
    <row r="78" spans="1:18" ht="19.5" thickBot="1">
      <c r="A78" s="6"/>
      <c r="B78" s="6">
        <v>72</v>
      </c>
      <c r="C78" s="6" t="s">
        <v>338</v>
      </c>
      <c r="D78" s="6" t="s">
        <v>66</v>
      </c>
      <c r="E78" s="6">
        <v>1800</v>
      </c>
      <c r="F78" s="7" t="s">
        <v>67</v>
      </c>
      <c r="G78" s="6"/>
      <c r="H78" s="8"/>
      <c r="I78" s="6"/>
      <c r="J78" s="6"/>
      <c r="K78" s="25" t="s">
        <v>339</v>
      </c>
      <c r="L78" t="str">
        <f t="shared" si="2"/>
        <v>VARCHAR(1800),</v>
      </c>
      <c r="N78" s="38" t="str">
        <f t="shared" si="3"/>
        <v>COMMENT ON COLUMN bfs_service_summary_device.option_service_6 IS 'オプションサービス6';</v>
      </c>
      <c r="R78" s="34" t="s">
        <v>340</v>
      </c>
    </row>
    <row r="79" spans="1:18" ht="19.5" thickBot="1">
      <c r="A79" s="3"/>
      <c r="B79" s="3">
        <v>73</v>
      </c>
      <c r="C79" s="3" t="s">
        <v>341</v>
      </c>
      <c r="D79" s="3" t="s">
        <v>66</v>
      </c>
      <c r="E79" s="3">
        <v>1800</v>
      </c>
      <c r="F79" s="2" t="s">
        <v>67</v>
      </c>
      <c r="G79" s="3"/>
      <c r="H79" s="5"/>
      <c r="I79" s="3"/>
      <c r="J79" s="3"/>
      <c r="K79" s="25" t="s">
        <v>342</v>
      </c>
      <c r="L79" t="str">
        <f t="shared" si="2"/>
        <v>VARCHAR(1800),</v>
      </c>
      <c r="N79" s="38" t="str">
        <f t="shared" si="3"/>
        <v>COMMENT ON COLUMN bfs_service_summary_device.option_category_7 IS 'オプションカテゴリ7';</v>
      </c>
      <c r="R79" s="34" t="s">
        <v>343</v>
      </c>
    </row>
    <row r="80" spans="1:18" ht="19.5" thickBot="1">
      <c r="A80" s="6"/>
      <c r="B80" s="6">
        <v>74</v>
      </c>
      <c r="C80" s="6" t="s">
        <v>344</v>
      </c>
      <c r="D80" s="6" t="s">
        <v>66</v>
      </c>
      <c r="E80" s="6">
        <v>1800</v>
      </c>
      <c r="F80" s="7" t="s">
        <v>67</v>
      </c>
      <c r="G80" s="6"/>
      <c r="H80" s="8"/>
      <c r="I80" s="6"/>
      <c r="J80" s="6"/>
      <c r="K80" s="25" t="s">
        <v>345</v>
      </c>
      <c r="L80" t="str">
        <f t="shared" si="2"/>
        <v>VARCHAR(1800),</v>
      </c>
      <c r="N80" s="38" t="str">
        <f t="shared" si="3"/>
        <v>COMMENT ON COLUMN bfs_service_summary_device.option_service_7 IS 'オプションサービス7';</v>
      </c>
      <c r="R80" s="34" t="s">
        <v>346</v>
      </c>
    </row>
    <row r="81" spans="1:18" ht="19.5" thickBot="1">
      <c r="A81" s="3"/>
      <c r="B81" s="3">
        <v>75</v>
      </c>
      <c r="C81" s="3" t="s">
        <v>347</v>
      </c>
      <c r="D81" s="3" t="s">
        <v>66</v>
      </c>
      <c r="E81" s="3">
        <v>1800</v>
      </c>
      <c r="F81" s="2" t="s">
        <v>67</v>
      </c>
      <c r="G81" s="3"/>
      <c r="H81" s="5"/>
      <c r="I81" s="3"/>
      <c r="J81" s="3"/>
      <c r="K81" s="25" t="s">
        <v>348</v>
      </c>
      <c r="L81" t="str">
        <f t="shared" si="2"/>
        <v>VARCHAR(1800),</v>
      </c>
      <c r="N81" s="38" t="str">
        <f t="shared" si="3"/>
        <v>COMMENT ON COLUMN bfs_service_summary_device.option_category_8 IS 'オプションカテゴリ8';</v>
      </c>
      <c r="R81" s="34" t="s">
        <v>349</v>
      </c>
    </row>
    <row r="82" spans="1:18" ht="19.5" thickBot="1">
      <c r="A82" s="6"/>
      <c r="B82" s="6">
        <v>76</v>
      </c>
      <c r="C82" s="6" t="s">
        <v>350</v>
      </c>
      <c r="D82" s="6" t="s">
        <v>66</v>
      </c>
      <c r="E82" s="6">
        <v>1800</v>
      </c>
      <c r="F82" s="7" t="s">
        <v>67</v>
      </c>
      <c r="G82" s="6"/>
      <c r="H82" s="8"/>
      <c r="I82" s="6"/>
      <c r="J82" s="6"/>
      <c r="K82" s="25" t="s">
        <v>351</v>
      </c>
      <c r="L82" t="str">
        <f t="shared" si="2"/>
        <v>VARCHAR(1800),</v>
      </c>
      <c r="N82" s="38" t="str">
        <f t="shared" si="3"/>
        <v>COMMENT ON COLUMN bfs_service_summary_device.optional_service_8 IS 'オプションサービス8';</v>
      </c>
      <c r="R82" s="34" t="s">
        <v>352</v>
      </c>
    </row>
    <row r="83" spans="1:18" ht="19.5" thickBot="1">
      <c r="A83" s="3"/>
      <c r="B83" s="3">
        <v>77</v>
      </c>
      <c r="C83" s="3" t="s">
        <v>353</v>
      </c>
      <c r="D83" s="3" t="s">
        <v>66</v>
      </c>
      <c r="E83" s="3">
        <v>1800</v>
      </c>
      <c r="F83" s="2" t="s">
        <v>67</v>
      </c>
      <c r="G83" s="3"/>
      <c r="H83" s="5"/>
      <c r="I83" s="3"/>
      <c r="J83" s="3"/>
      <c r="K83" s="25" t="s">
        <v>354</v>
      </c>
      <c r="L83" t="str">
        <f t="shared" si="2"/>
        <v>VARCHAR(1800),</v>
      </c>
      <c r="N83" s="38" t="str">
        <f t="shared" si="3"/>
        <v>COMMENT ON COLUMN bfs_service_summary_device.optional_category_9 IS 'オプションカテゴリ9';</v>
      </c>
      <c r="R83" s="34" t="s">
        <v>355</v>
      </c>
    </row>
    <row r="84" spans="1:18" ht="19.5" thickBot="1">
      <c r="A84" s="6"/>
      <c r="B84" s="6">
        <v>78</v>
      </c>
      <c r="C84" s="6" t="s">
        <v>356</v>
      </c>
      <c r="D84" s="6" t="s">
        <v>66</v>
      </c>
      <c r="E84" s="6">
        <v>1800</v>
      </c>
      <c r="F84" s="7" t="s">
        <v>67</v>
      </c>
      <c r="G84" s="6"/>
      <c r="H84" s="8"/>
      <c r="I84" s="6"/>
      <c r="J84" s="6"/>
      <c r="K84" s="25" t="s">
        <v>357</v>
      </c>
      <c r="L84" t="str">
        <f t="shared" si="2"/>
        <v>VARCHAR(1800),</v>
      </c>
      <c r="N84" s="38" t="str">
        <f t="shared" si="3"/>
        <v>COMMENT ON COLUMN bfs_service_summary_device.optional_service_9 IS 'オプションサービス9';</v>
      </c>
      <c r="R84" s="34" t="s">
        <v>358</v>
      </c>
    </row>
    <row r="85" spans="1:18" ht="19.5" thickBot="1">
      <c r="A85" s="3"/>
      <c r="B85" s="3">
        <v>79</v>
      </c>
      <c r="C85" s="3" t="s">
        <v>359</v>
      </c>
      <c r="D85" s="3" t="s">
        <v>66</v>
      </c>
      <c r="E85" s="3">
        <v>1800</v>
      </c>
      <c r="F85" s="2" t="s">
        <v>67</v>
      </c>
      <c r="G85" s="3"/>
      <c r="H85" s="5"/>
      <c r="I85" s="3"/>
      <c r="J85" s="3"/>
      <c r="K85" s="25" t="s">
        <v>360</v>
      </c>
      <c r="L85" t="str">
        <f t="shared" si="2"/>
        <v>VARCHAR(1800),</v>
      </c>
      <c r="N85" s="38" t="str">
        <f t="shared" si="3"/>
        <v>COMMENT ON COLUMN bfs_service_summary_device.optional_category_10 IS 'オプションカテゴリ10';</v>
      </c>
      <c r="R85" s="34" t="s">
        <v>361</v>
      </c>
    </row>
    <row r="86" spans="1:18" ht="19.5" thickBot="1">
      <c r="A86" s="6"/>
      <c r="B86" s="6">
        <v>80</v>
      </c>
      <c r="C86" s="6" t="s">
        <v>362</v>
      </c>
      <c r="D86" s="6" t="s">
        <v>66</v>
      </c>
      <c r="E86" s="6">
        <v>1800</v>
      </c>
      <c r="F86" s="7" t="s">
        <v>67</v>
      </c>
      <c r="G86" s="6"/>
      <c r="H86" s="8"/>
      <c r="I86" s="6"/>
      <c r="J86" s="6"/>
      <c r="K86" s="25" t="s">
        <v>363</v>
      </c>
      <c r="L86" t="str">
        <f t="shared" si="2"/>
        <v>VARCHAR(1800),</v>
      </c>
      <c r="N86" s="38" t="str">
        <f t="shared" si="3"/>
        <v>COMMENT ON COLUMN bfs_service_summary_device.optional_service_10 IS 'オプションサービス10';</v>
      </c>
      <c r="R86" s="34" t="s">
        <v>364</v>
      </c>
    </row>
    <row r="87" spans="1:18" ht="19.5" thickBot="1">
      <c r="A87" s="3"/>
      <c r="B87" s="3">
        <v>81</v>
      </c>
      <c r="C87" s="3" t="s">
        <v>365</v>
      </c>
      <c r="D87" s="3" t="s">
        <v>66</v>
      </c>
      <c r="E87" s="3">
        <v>1800</v>
      </c>
      <c r="F87" s="2" t="s">
        <v>67</v>
      </c>
      <c r="G87" s="3"/>
      <c r="H87" s="5"/>
      <c r="I87" s="3"/>
      <c r="J87" s="3"/>
      <c r="K87" s="25" t="s">
        <v>366</v>
      </c>
      <c r="L87" t="str">
        <f t="shared" si="2"/>
        <v>VARCHAR(1800),</v>
      </c>
      <c r="N87" s="38" t="str">
        <f t="shared" si="3"/>
        <v>COMMENT ON COLUMN bfs_service_summary_device.share_settings IS 'シェア設定';</v>
      </c>
      <c r="R87" s="34" t="s">
        <v>367</v>
      </c>
    </row>
    <row r="88" spans="1:18" ht="19.5" thickBot="1">
      <c r="A88" s="6"/>
      <c r="B88" s="6">
        <v>82</v>
      </c>
      <c r="C88" s="6" t="s">
        <v>368</v>
      </c>
      <c r="D88" s="6" t="s">
        <v>66</v>
      </c>
      <c r="E88" s="6">
        <v>1800</v>
      </c>
      <c r="F88" s="7" t="s">
        <v>67</v>
      </c>
      <c r="G88" s="6"/>
      <c r="H88" s="8"/>
      <c r="I88" s="6"/>
      <c r="J88" s="6"/>
      <c r="K88" s="25" t="s">
        <v>369</v>
      </c>
      <c r="L88" t="str">
        <f t="shared" si="2"/>
        <v>VARCHAR(1800),</v>
      </c>
      <c r="N88" s="38" t="str">
        <f t="shared" si="3"/>
        <v>COMMENT ON COLUMN bfs_service_summary_device.share_option IS 'シェアオプション';</v>
      </c>
      <c r="R88" s="34" t="s">
        <v>370</v>
      </c>
    </row>
    <row r="89" spans="1:18" ht="19.5" thickBot="1">
      <c r="A89" s="3"/>
      <c r="B89" s="3">
        <v>83</v>
      </c>
      <c r="C89" s="3" t="s">
        <v>371</v>
      </c>
      <c r="D89" s="3" t="s">
        <v>66</v>
      </c>
      <c r="E89" s="3">
        <v>1800</v>
      </c>
      <c r="F89" s="2" t="s">
        <v>67</v>
      </c>
      <c r="G89" s="3"/>
      <c r="H89" s="5"/>
      <c r="I89" s="3"/>
      <c r="J89" s="3"/>
      <c r="K89" s="25" t="s">
        <v>372</v>
      </c>
      <c r="L89" t="str">
        <f t="shared" si="2"/>
        <v>VARCHAR(1800),</v>
      </c>
      <c r="N89" s="38" t="str">
        <f t="shared" si="3"/>
        <v>COMMENT ON COLUMN bfs_service_summary_device.grp_representative_share_option IS 'grp代表シェアopt';</v>
      </c>
      <c r="R89" s="34" t="s">
        <v>373</v>
      </c>
    </row>
    <row r="90" spans="1:18" ht="19.5" thickBot="1">
      <c r="A90" s="6"/>
      <c r="B90" s="6">
        <v>84</v>
      </c>
      <c r="C90" s="6" t="s">
        <v>374</v>
      </c>
      <c r="D90" s="6" t="s">
        <v>66</v>
      </c>
      <c r="E90" s="6">
        <v>1800</v>
      </c>
      <c r="F90" s="7" t="s">
        <v>67</v>
      </c>
      <c r="G90" s="6"/>
      <c r="H90" s="8"/>
      <c r="I90" s="6"/>
      <c r="J90" s="6"/>
      <c r="K90" s="25" t="s">
        <v>375</v>
      </c>
      <c r="L90" t="str">
        <f t="shared" si="2"/>
        <v>VARCHAR(1800),</v>
      </c>
      <c r="N90" s="38" t="str">
        <f t="shared" si="3"/>
        <v>COMMENT ON COLUMN bfs_service_summary_device.grp_representative_data_speed_​​limit IS 'grp代表通信速度制限';</v>
      </c>
      <c r="R90" s="34" t="s">
        <v>376</v>
      </c>
    </row>
    <row r="91" spans="1:18" ht="19.5" thickBot="1">
      <c r="A91" s="3"/>
      <c r="B91" s="3">
        <v>85</v>
      </c>
      <c r="C91" s="3" t="s">
        <v>377</v>
      </c>
      <c r="D91" s="3" t="s">
        <v>66</v>
      </c>
      <c r="E91" s="3">
        <v>900</v>
      </c>
      <c r="F91" s="2" t="s">
        <v>67</v>
      </c>
      <c r="G91" s="3"/>
      <c r="H91" s="5"/>
      <c r="I91" s="3"/>
      <c r="J91" s="3"/>
      <c r="K91" s="25" t="s">
        <v>378</v>
      </c>
      <c r="L91" t="str">
        <f t="shared" si="2"/>
        <v>VARCHAR(900),</v>
      </c>
      <c r="N91" s="38" t="str">
        <f t="shared" si="3"/>
        <v>COMMENT ON COLUMN bfs_service_summary_device.rntopt_category_1 IS 'rntoptカテゴリ1';</v>
      </c>
      <c r="R91" s="34" t="s">
        <v>379</v>
      </c>
    </row>
    <row r="92" spans="1:18" ht="19.5" thickBot="1">
      <c r="A92" s="6"/>
      <c r="B92" s="6">
        <v>86</v>
      </c>
      <c r="C92" s="6" t="s">
        <v>380</v>
      </c>
      <c r="D92" s="6" t="s">
        <v>66</v>
      </c>
      <c r="E92" s="6">
        <v>900</v>
      </c>
      <c r="F92" s="7" t="s">
        <v>67</v>
      </c>
      <c r="G92" s="6"/>
      <c r="H92" s="8"/>
      <c r="I92" s="6"/>
      <c r="J92" s="6"/>
      <c r="K92" s="25" t="s">
        <v>381</v>
      </c>
      <c r="L92" t="str">
        <f t="shared" si="2"/>
        <v>VARCHAR(900),</v>
      </c>
      <c r="N92" s="38" t="str">
        <f t="shared" si="3"/>
        <v>COMMENT ON COLUMN bfs_service_summary_device.rntopt_plan_1 IS 'rntoptプラン1';</v>
      </c>
      <c r="R92" s="34" t="s">
        <v>382</v>
      </c>
    </row>
    <row r="93" spans="1:18" ht="19.5" thickBot="1">
      <c r="A93" s="3"/>
      <c r="B93" s="3">
        <v>87</v>
      </c>
      <c r="C93" s="3" t="s">
        <v>383</v>
      </c>
      <c r="D93" s="3" t="s">
        <v>66</v>
      </c>
      <c r="E93" s="3">
        <v>900</v>
      </c>
      <c r="F93" s="2" t="s">
        <v>67</v>
      </c>
      <c r="G93" s="3"/>
      <c r="H93" s="5"/>
      <c r="I93" s="3"/>
      <c r="J93" s="3"/>
      <c r="K93" s="25" t="s">
        <v>384</v>
      </c>
      <c r="L93" t="str">
        <f t="shared" si="2"/>
        <v>VARCHAR(900),</v>
      </c>
      <c r="N93" s="38" t="str">
        <f t="shared" si="3"/>
        <v>COMMENT ON COLUMN bfs_service_summary_device.rntopt_category_2 IS 'rntoptカテゴリ2';</v>
      </c>
      <c r="R93" s="34" t="s">
        <v>385</v>
      </c>
    </row>
    <row r="94" spans="1:18" ht="19.5" thickBot="1">
      <c r="A94" s="6"/>
      <c r="B94" s="6">
        <v>88</v>
      </c>
      <c r="C94" s="6" t="s">
        <v>386</v>
      </c>
      <c r="D94" s="6" t="s">
        <v>66</v>
      </c>
      <c r="E94" s="6">
        <v>900</v>
      </c>
      <c r="F94" s="7" t="s">
        <v>67</v>
      </c>
      <c r="G94" s="6"/>
      <c r="H94" s="8"/>
      <c r="I94" s="6"/>
      <c r="J94" s="6"/>
      <c r="K94" s="25" t="s">
        <v>387</v>
      </c>
      <c r="L94" t="str">
        <f t="shared" si="2"/>
        <v>VARCHAR(900),</v>
      </c>
      <c r="N94" s="38" t="str">
        <f t="shared" si="3"/>
        <v>COMMENT ON COLUMN bfs_service_summary_device.rntopt_plan_2 IS 'rntoptプラン2';</v>
      </c>
      <c r="R94" s="34" t="s">
        <v>388</v>
      </c>
    </row>
    <row r="95" spans="1:18" ht="19.5" thickBot="1">
      <c r="A95" s="3"/>
      <c r="B95" s="3">
        <v>89</v>
      </c>
      <c r="C95" s="3" t="s">
        <v>389</v>
      </c>
      <c r="D95" s="3" t="s">
        <v>66</v>
      </c>
      <c r="E95" s="3">
        <v>900</v>
      </c>
      <c r="F95" s="2" t="s">
        <v>67</v>
      </c>
      <c r="G95" s="3"/>
      <c r="H95" s="5"/>
      <c r="I95" s="3"/>
      <c r="J95" s="3"/>
      <c r="K95" s="25" t="s">
        <v>390</v>
      </c>
      <c r="L95" t="str">
        <f t="shared" si="2"/>
        <v>VARCHAR(900),</v>
      </c>
      <c r="N95" s="38" t="str">
        <f t="shared" si="3"/>
        <v>COMMENT ON COLUMN bfs_service_summary_device.rntopt_category_3 IS 'rntoptカテゴリ3';</v>
      </c>
      <c r="R95" s="34" t="s">
        <v>391</v>
      </c>
    </row>
    <row r="96" spans="1:18" ht="19.5" thickBot="1">
      <c r="A96" s="6"/>
      <c r="B96" s="6">
        <v>90</v>
      </c>
      <c r="C96" s="6" t="s">
        <v>392</v>
      </c>
      <c r="D96" s="6" t="s">
        <v>66</v>
      </c>
      <c r="E96" s="6">
        <v>900</v>
      </c>
      <c r="F96" s="7" t="s">
        <v>67</v>
      </c>
      <c r="G96" s="6"/>
      <c r="H96" s="8"/>
      <c r="I96" s="6"/>
      <c r="J96" s="6"/>
      <c r="K96" s="25" t="s">
        <v>393</v>
      </c>
      <c r="L96" t="str">
        <f t="shared" si="2"/>
        <v>VARCHAR(900),</v>
      </c>
      <c r="N96" s="38" t="str">
        <f t="shared" si="3"/>
        <v>COMMENT ON COLUMN bfs_service_summary_device.rntopt_plan_3 IS 'rntoptプラン3';</v>
      </c>
      <c r="R96" s="34" t="s">
        <v>394</v>
      </c>
    </row>
    <row r="97" spans="1:18" ht="19.5" thickBot="1">
      <c r="A97" s="3"/>
      <c r="B97" s="3">
        <v>91</v>
      </c>
      <c r="C97" s="3" t="s">
        <v>395</v>
      </c>
      <c r="D97" s="3" t="s">
        <v>66</v>
      </c>
      <c r="E97" s="3">
        <v>900</v>
      </c>
      <c r="F97" s="2" t="s">
        <v>67</v>
      </c>
      <c r="G97" s="3"/>
      <c r="H97" s="5"/>
      <c r="I97" s="3"/>
      <c r="J97" s="3"/>
      <c r="K97" s="25" t="s">
        <v>396</v>
      </c>
      <c r="L97" t="str">
        <f t="shared" si="2"/>
        <v>VARCHAR(900),</v>
      </c>
      <c r="N97" s="38" t="str">
        <f t="shared" si="3"/>
        <v>COMMENT ON COLUMN bfs_service_summary_device.rntopt_category_4 IS 'rntoptカテゴリ4';</v>
      </c>
      <c r="R97" s="34" t="s">
        <v>397</v>
      </c>
    </row>
    <row r="98" spans="1:18" ht="19.5" thickBot="1">
      <c r="A98" s="6"/>
      <c r="B98" s="6">
        <v>92</v>
      </c>
      <c r="C98" s="6" t="s">
        <v>398</v>
      </c>
      <c r="D98" s="6" t="s">
        <v>66</v>
      </c>
      <c r="E98" s="6">
        <v>900</v>
      </c>
      <c r="F98" s="7" t="s">
        <v>67</v>
      </c>
      <c r="G98" s="6"/>
      <c r="H98" s="8"/>
      <c r="I98" s="6"/>
      <c r="J98" s="6"/>
      <c r="K98" s="25" t="s">
        <v>399</v>
      </c>
      <c r="L98" t="str">
        <f t="shared" si="2"/>
        <v>VARCHAR(900),</v>
      </c>
      <c r="N98" s="38" t="str">
        <f t="shared" si="3"/>
        <v>COMMENT ON COLUMN bfs_service_summary_device.rntopt_plan_4 IS 'rntoptプラン4';</v>
      </c>
      <c r="R98" s="34" t="s">
        <v>400</v>
      </c>
    </row>
    <row r="99" spans="1:18" ht="19.5" thickBot="1">
      <c r="A99" s="3"/>
      <c r="B99" s="3">
        <v>93</v>
      </c>
      <c r="C99" s="3" t="s">
        <v>401</v>
      </c>
      <c r="D99" s="3" t="s">
        <v>66</v>
      </c>
      <c r="E99" s="3">
        <v>900</v>
      </c>
      <c r="F99" s="2" t="s">
        <v>67</v>
      </c>
      <c r="G99" s="3"/>
      <c r="H99" s="5"/>
      <c r="I99" s="3"/>
      <c r="J99" s="3"/>
      <c r="K99" s="25" t="s">
        <v>402</v>
      </c>
      <c r="L99" t="str">
        <f t="shared" si="2"/>
        <v>VARCHAR(900),</v>
      </c>
      <c r="N99" s="38" t="str">
        <f t="shared" si="3"/>
        <v>COMMENT ON COLUMN bfs_service_summary_device.rntopt_category_5 IS 'rntoptカテゴリ5';</v>
      </c>
      <c r="R99" s="34" t="s">
        <v>403</v>
      </c>
    </row>
    <row r="100" spans="1:18" ht="19.5" thickBot="1">
      <c r="A100" s="6"/>
      <c r="B100" s="6">
        <v>94</v>
      </c>
      <c r="C100" s="6" t="s">
        <v>404</v>
      </c>
      <c r="D100" s="6" t="s">
        <v>66</v>
      </c>
      <c r="E100" s="6">
        <v>900</v>
      </c>
      <c r="F100" s="7" t="s">
        <v>67</v>
      </c>
      <c r="G100" s="6"/>
      <c r="H100" s="8"/>
      <c r="I100" s="6"/>
      <c r="J100" s="6"/>
      <c r="K100" s="25" t="s">
        <v>405</v>
      </c>
      <c r="L100" t="str">
        <f t="shared" si="2"/>
        <v>VARCHAR(900),</v>
      </c>
      <c r="N100" s="38" t="str">
        <f t="shared" si="3"/>
        <v>COMMENT ON COLUMN bfs_service_summary_device.rntopt_plan_5 IS 'rntoptプラン5';</v>
      </c>
      <c r="R100" s="34" t="s">
        <v>406</v>
      </c>
    </row>
    <row r="101" spans="1:18" ht="19.5" thickBot="1">
      <c r="A101" s="3"/>
      <c r="B101" s="3">
        <v>95</v>
      </c>
      <c r="C101" s="3" t="s">
        <v>407</v>
      </c>
      <c r="D101" s="3" t="s">
        <v>66</v>
      </c>
      <c r="E101" s="3">
        <v>900</v>
      </c>
      <c r="F101" s="2" t="s">
        <v>67</v>
      </c>
      <c r="G101" s="3"/>
      <c r="H101" s="5"/>
      <c r="I101" s="3"/>
      <c r="J101" s="3"/>
      <c r="K101" s="25" t="s">
        <v>408</v>
      </c>
      <c r="L101" t="str">
        <f t="shared" si="2"/>
        <v>VARCHAR(900),</v>
      </c>
      <c r="N101" s="38" t="str">
        <f t="shared" si="3"/>
        <v>COMMENT ON COLUMN bfs_service_summary_device.rntopt_category_6 IS 'rntoptカテゴリ6';</v>
      </c>
      <c r="R101" s="34" t="s">
        <v>409</v>
      </c>
    </row>
    <row r="102" spans="1:18" ht="19.5" thickBot="1">
      <c r="A102" s="6"/>
      <c r="B102" s="6">
        <v>96</v>
      </c>
      <c r="C102" s="6" t="s">
        <v>410</v>
      </c>
      <c r="D102" s="6" t="s">
        <v>66</v>
      </c>
      <c r="E102" s="6">
        <v>900</v>
      </c>
      <c r="F102" s="7" t="s">
        <v>67</v>
      </c>
      <c r="G102" s="6"/>
      <c r="H102" s="8"/>
      <c r="I102" s="6"/>
      <c r="J102" s="6"/>
      <c r="K102" s="25" t="s">
        <v>411</v>
      </c>
      <c r="L102" t="str">
        <f t="shared" si="2"/>
        <v>VARCHAR(900),</v>
      </c>
      <c r="N102" s="38" t="str">
        <f t="shared" si="3"/>
        <v>COMMENT ON COLUMN bfs_service_summary_device.rntopt_plan_6 IS 'rntoptプラン6';</v>
      </c>
      <c r="R102" s="34" t="s">
        <v>412</v>
      </c>
    </row>
    <row r="103" spans="1:18" ht="19.5" thickBot="1">
      <c r="A103" s="3"/>
      <c r="B103" s="3">
        <v>97</v>
      </c>
      <c r="C103" s="3" t="s">
        <v>413</v>
      </c>
      <c r="D103" s="3" t="s">
        <v>66</v>
      </c>
      <c r="E103" s="3">
        <v>900</v>
      </c>
      <c r="F103" s="2" t="s">
        <v>67</v>
      </c>
      <c r="G103" s="3"/>
      <c r="H103" s="5"/>
      <c r="I103" s="3"/>
      <c r="J103" s="3"/>
      <c r="K103" s="25" t="s">
        <v>414</v>
      </c>
      <c r="L103" t="str">
        <f t="shared" si="2"/>
        <v>VARCHAR(900),</v>
      </c>
      <c r="N103" s="38" t="str">
        <f t="shared" si="3"/>
        <v>COMMENT ON COLUMN bfs_service_summary_device.rntopt_category_7 IS 'rntoptカテゴリ7';</v>
      </c>
      <c r="R103" s="34" t="s">
        <v>415</v>
      </c>
    </row>
    <row r="104" spans="1:18" ht="19.5" thickBot="1">
      <c r="A104" s="6"/>
      <c r="B104" s="6">
        <v>98</v>
      </c>
      <c r="C104" s="6" t="s">
        <v>416</v>
      </c>
      <c r="D104" s="6" t="s">
        <v>66</v>
      </c>
      <c r="E104" s="6">
        <v>900</v>
      </c>
      <c r="F104" s="7" t="s">
        <v>67</v>
      </c>
      <c r="G104" s="6"/>
      <c r="H104" s="8"/>
      <c r="I104" s="6"/>
      <c r="J104" s="6"/>
      <c r="K104" s="25" t="s">
        <v>417</v>
      </c>
      <c r="L104" t="str">
        <f t="shared" si="2"/>
        <v>VARCHAR(900),</v>
      </c>
      <c r="N104" s="38" t="str">
        <f t="shared" si="3"/>
        <v>COMMENT ON COLUMN bfs_service_summary_device.rntopt_plan_7 IS 'rntoptプラン7';</v>
      </c>
      <c r="R104" s="34" t="s">
        <v>418</v>
      </c>
    </row>
    <row r="105" spans="1:18" ht="19.5" thickBot="1">
      <c r="A105" s="3"/>
      <c r="B105" s="3">
        <v>99</v>
      </c>
      <c r="C105" s="3" t="s">
        <v>419</v>
      </c>
      <c r="D105" s="3" t="s">
        <v>66</v>
      </c>
      <c r="E105" s="3">
        <v>900</v>
      </c>
      <c r="F105" s="2" t="s">
        <v>67</v>
      </c>
      <c r="G105" s="3"/>
      <c r="H105" s="5"/>
      <c r="I105" s="3"/>
      <c r="J105" s="3"/>
      <c r="K105" s="25" t="s">
        <v>420</v>
      </c>
      <c r="L105" t="str">
        <f t="shared" si="2"/>
        <v>VARCHAR(900),</v>
      </c>
      <c r="N105" s="38" t="str">
        <f t="shared" si="3"/>
        <v>COMMENT ON COLUMN bfs_service_summary_device.rntopt_category_8 IS 'rntoptカテゴリ8';</v>
      </c>
      <c r="R105" s="34" t="s">
        <v>421</v>
      </c>
    </row>
    <row r="106" spans="1:18" ht="19.5" thickBot="1">
      <c r="A106" s="6"/>
      <c r="B106" s="6">
        <v>100</v>
      </c>
      <c r="C106" s="6" t="s">
        <v>422</v>
      </c>
      <c r="D106" s="6" t="s">
        <v>66</v>
      </c>
      <c r="E106" s="6">
        <v>900</v>
      </c>
      <c r="F106" s="7" t="s">
        <v>67</v>
      </c>
      <c r="G106" s="6"/>
      <c r="H106" s="8"/>
      <c r="I106" s="6"/>
      <c r="J106" s="6"/>
      <c r="K106" s="25" t="s">
        <v>423</v>
      </c>
      <c r="L106" t="str">
        <f t="shared" si="2"/>
        <v>VARCHAR(900),</v>
      </c>
      <c r="N106" s="38" t="str">
        <f t="shared" si="3"/>
        <v>COMMENT ON COLUMN bfs_service_summary_device.rntopt_plan_8 IS 'rntoptプラン8';</v>
      </c>
      <c r="R106" s="34" t="s">
        <v>424</v>
      </c>
    </row>
    <row r="107" spans="1:18" ht="19.5" thickBot="1">
      <c r="A107" s="3"/>
      <c r="B107" s="3">
        <v>101</v>
      </c>
      <c r="C107" s="3" t="s">
        <v>425</v>
      </c>
      <c r="D107" s="3" t="s">
        <v>66</v>
      </c>
      <c r="E107" s="3">
        <v>900</v>
      </c>
      <c r="F107" s="2" t="s">
        <v>67</v>
      </c>
      <c r="G107" s="3"/>
      <c r="H107" s="5"/>
      <c r="I107" s="3"/>
      <c r="J107" s="3"/>
      <c r="K107" s="25" t="s">
        <v>426</v>
      </c>
      <c r="L107" t="str">
        <f t="shared" si="2"/>
        <v>VARCHAR(900),</v>
      </c>
      <c r="N107" s="38" t="str">
        <f t="shared" si="3"/>
        <v>COMMENT ON COLUMN bfs_service_summary_device.rntopt_category_9 IS 'rntoptカテゴリ9';</v>
      </c>
      <c r="R107" s="34" t="s">
        <v>427</v>
      </c>
    </row>
    <row r="108" spans="1:18" ht="19.5" thickBot="1">
      <c r="A108" s="6"/>
      <c r="B108" s="6">
        <v>102</v>
      </c>
      <c r="C108" s="6" t="s">
        <v>428</v>
      </c>
      <c r="D108" s="6" t="s">
        <v>66</v>
      </c>
      <c r="E108" s="6">
        <v>900</v>
      </c>
      <c r="F108" s="7" t="s">
        <v>67</v>
      </c>
      <c r="G108" s="6"/>
      <c r="H108" s="8"/>
      <c r="I108" s="6"/>
      <c r="J108" s="6"/>
      <c r="K108" s="25" t="s">
        <v>429</v>
      </c>
      <c r="L108" t="str">
        <f t="shared" si="2"/>
        <v>VARCHAR(900),</v>
      </c>
      <c r="N108" s="38" t="str">
        <f t="shared" si="3"/>
        <v>COMMENT ON COLUMN bfs_service_summary_device.rntopt_plan_9 IS 'rntoptプラン9';</v>
      </c>
      <c r="R108" s="34" t="s">
        <v>430</v>
      </c>
    </row>
    <row r="109" spans="1:18" ht="19.5" thickBot="1">
      <c r="A109" s="3"/>
      <c r="B109" s="3">
        <v>103</v>
      </c>
      <c r="C109" s="3" t="s">
        <v>431</v>
      </c>
      <c r="D109" s="3" t="s">
        <v>66</v>
      </c>
      <c r="E109" s="3">
        <v>900</v>
      </c>
      <c r="F109" s="2" t="s">
        <v>67</v>
      </c>
      <c r="G109" s="3"/>
      <c r="H109" s="5"/>
      <c r="I109" s="3"/>
      <c r="J109" s="3"/>
      <c r="K109" s="25" t="s">
        <v>432</v>
      </c>
      <c r="L109" t="str">
        <f t="shared" si="2"/>
        <v>VARCHAR(900),</v>
      </c>
      <c r="N109" s="38" t="str">
        <f t="shared" si="3"/>
        <v>COMMENT ON COLUMN bfs_service_summary_device.rntopt_category_10 IS 'rntoptカテゴリ10';</v>
      </c>
      <c r="R109" s="34" t="s">
        <v>433</v>
      </c>
    </row>
    <row r="110" spans="1:18" ht="19.5" thickBot="1">
      <c r="A110" s="6"/>
      <c r="B110" s="6">
        <v>104</v>
      </c>
      <c r="C110" s="6" t="s">
        <v>434</v>
      </c>
      <c r="D110" s="6" t="s">
        <v>66</v>
      </c>
      <c r="E110" s="6">
        <v>900</v>
      </c>
      <c r="F110" s="7" t="s">
        <v>67</v>
      </c>
      <c r="G110" s="6"/>
      <c r="H110" s="8"/>
      <c r="I110" s="6"/>
      <c r="J110" s="6"/>
      <c r="K110" s="25" t="s">
        <v>435</v>
      </c>
      <c r="L110" t="str">
        <f t="shared" si="2"/>
        <v>VARCHAR(900),</v>
      </c>
      <c r="N110" s="38" t="str">
        <f t="shared" si="3"/>
        <v>COMMENT ON COLUMN bfs_service_summary_device.rntopt_plan_10 IS 'rntoptプラン10';</v>
      </c>
      <c r="R110" s="34" t="s">
        <v>436</v>
      </c>
    </row>
    <row r="111" spans="1:18" ht="19.5" thickBot="1">
      <c r="A111" s="3"/>
      <c r="B111" s="3">
        <v>105</v>
      </c>
      <c r="C111" s="3" t="s">
        <v>437</v>
      </c>
      <c r="D111" s="3" t="s">
        <v>66</v>
      </c>
      <c r="E111" s="3">
        <v>900</v>
      </c>
      <c r="F111" s="2" t="s">
        <v>67</v>
      </c>
      <c r="G111" s="3"/>
      <c r="H111" s="5"/>
      <c r="I111" s="3"/>
      <c r="J111" s="3"/>
      <c r="K111" s="25" t="s">
        <v>438</v>
      </c>
      <c r="L111" t="str">
        <f t="shared" si="2"/>
        <v>VARCHAR(900),</v>
      </c>
      <c r="N111" s="38" t="str">
        <f t="shared" si="3"/>
        <v>COMMENT ON COLUMN bfs_service_summary_device.rntoptatt_category_1 IS 'rntoptattカテゴリ1';</v>
      </c>
      <c r="R111" s="34" t="s">
        <v>439</v>
      </c>
    </row>
    <row r="112" spans="1:18" ht="19.5" thickBot="1">
      <c r="A112" s="6"/>
      <c r="B112" s="6">
        <v>106</v>
      </c>
      <c r="C112" s="6" t="s">
        <v>440</v>
      </c>
      <c r="D112" s="6" t="s">
        <v>66</v>
      </c>
      <c r="E112" s="6">
        <v>900</v>
      </c>
      <c r="F112" s="7" t="s">
        <v>67</v>
      </c>
      <c r="G112" s="6"/>
      <c r="H112" s="8"/>
      <c r="I112" s="6"/>
      <c r="J112" s="6"/>
      <c r="K112" s="25" t="s">
        <v>441</v>
      </c>
      <c r="L112" t="str">
        <f t="shared" si="2"/>
        <v>VARCHAR(900),</v>
      </c>
      <c r="N112" s="38" t="str">
        <f t="shared" si="3"/>
        <v>COMMENT ON COLUMN bfs_service_summary_device.rntoptatt_plan_1 IS 'rntoptattプラン1';</v>
      </c>
      <c r="R112" s="34" t="s">
        <v>442</v>
      </c>
    </row>
    <row r="113" spans="1:18" ht="19.5" thickBot="1">
      <c r="A113" s="3"/>
      <c r="B113" s="3">
        <v>107</v>
      </c>
      <c r="C113" s="3" t="s">
        <v>443</v>
      </c>
      <c r="D113" s="3" t="s">
        <v>66</v>
      </c>
      <c r="E113" s="3">
        <v>900</v>
      </c>
      <c r="F113" s="2" t="s">
        <v>67</v>
      </c>
      <c r="G113" s="3"/>
      <c r="H113" s="5"/>
      <c r="I113" s="3"/>
      <c r="J113" s="3"/>
      <c r="K113" s="25" t="s">
        <v>444</v>
      </c>
      <c r="L113" t="str">
        <f t="shared" si="2"/>
        <v>VARCHAR(900),</v>
      </c>
      <c r="N113" s="38" t="str">
        <f t="shared" si="3"/>
        <v>COMMENT ON COLUMN bfs_service_summary_device.rntoptatt_category_2 IS 'rntoptattカテゴリ2';</v>
      </c>
      <c r="R113" s="34" t="s">
        <v>445</v>
      </c>
    </row>
    <row r="114" spans="1:18" ht="19.5" thickBot="1">
      <c r="A114" s="6"/>
      <c r="B114" s="6">
        <v>108</v>
      </c>
      <c r="C114" s="6" t="s">
        <v>446</v>
      </c>
      <c r="D114" s="6" t="s">
        <v>66</v>
      </c>
      <c r="E114" s="6">
        <v>900</v>
      </c>
      <c r="F114" s="7" t="s">
        <v>67</v>
      </c>
      <c r="G114" s="6"/>
      <c r="H114" s="8"/>
      <c r="I114" s="6"/>
      <c r="J114" s="6"/>
      <c r="K114" s="25" t="s">
        <v>447</v>
      </c>
      <c r="L114" t="str">
        <f t="shared" si="2"/>
        <v>VARCHAR(900),</v>
      </c>
      <c r="N114" s="38" t="str">
        <f t="shared" si="3"/>
        <v>COMMENT ON COLUMN bfs_service_summary_device.rntoptatt_plan_2 IS 'rntoptattプラン2';</v>
      </c>
      <c r="R114" s="34" t="s">
        <v>448</v>
      </c>
    </row>
    <row r="115" spans="1:18" ht="19.5" thickBot="1">
      <c r="A115" s="3"/>
      <c r="B115" s="3">
        <v>109</v>
      </c>
      <c r="C115" s="3" t="s">
        <v>449</v>
      </c>
      <c r="D115" s="3" t="s">
        <v>66</v>
      </c>
      <c r="E115" s="3">
        <v>900</v>
      </c>
      <c r="F115" s="2" t="s">
        <v>67</v>
      </c>
      <c r="G115" s="3"/>
      <c r="H115" s="5"/>
      <c r="I115" s="3"/>
      <c r="J115" s="3"/>
      <c r="K115" s="25" t="s">
        <v>450</v>
      </c>
      <c r="L115" t="str">
        <f t="shared" si="2"/>
        <v>VARCHAR(900),</v>
      </c>
      <c r="N115" s="38" t="str">
        <f t="shared" si="3"/>
        <v>COMMENT ON COLUMN bfs_service_summary_device.rntoptatt_category_3 IS 'rntoptattカテゴリ3';</v>
      </c>
      <c r="R115" s="34" t="s">
        <v>451</v>
      </c>
    </row>
    <row r="116" spans="1:18" ht="19.5" thickBot="1">
      <c r="A116" s="6"/>
      <c r="B116" s="6">
        <v>110</v>
      </c>
      <c r="C116" s="6" t="s">
        <v>452</v>
      </c>
      <c r="D116" s="6" t="s">
        <v>66</v>
      </c>
      <c r="E116" s="6">
        <v>900</v>
      </c>
      <c r="F116" s="7" t="s">
        <v>67</v>
      </c>
      <c r="G116" s="6"/>
      <c r="H116" s="8"/>
      <c r="I116" s="6"/>
      <c r="J116" s="6"/>
      <c r="K116" s="25" t="s">
        <v>453</v>
      </c>
      <c r="L116" t="str">
        <f t="shared" si="2"/>
        <v>VARCHAR(900),</v>
      </c>
      <c r="N116" s="38" t="str">
        <f t="shared" si="3"/>
        <v>COMMENT ON COLUMN bfs_service_summary_device.rntoptatt_plan_3 IS 'rntoptattプラン3';</v>
      </c>
      <c r="R116" s="34" t="s">
        <v>454</v>
      </c>
    </row>
    <row r="117" spans="1:18" ht="19.5" thickBot="1">
      <c r="A117" s="3"/>
      <c r="B117" s="3">
        <v>111</v>
      </c>
      <c r="C117" s="3" t="s">
        <v>455</v>
      </c>
      <c r="D117" s="3" t="s">
        <v>66</v>
      </c>
      <c r="E117" s="3">
        <v>900</v>
      </c>
      <c r="F117" s="2" t="s">
        <v>67</v>
      </c>
      <c r="G117" s="3"/>
      <c r="H117" s="5"/>
      <c r="I117" s="3"/>
      <c r="J117" s="3"/>
      <c r="K117" s="25" t="s">
        <v>456</v>
      </c>
      <c r="L117" t="str">
        <f t="shared" si="2"/>
        <v>VARCHAR(900),</v>
      </c>
      <c r="N117" s="38" t="str">
        <f t="shared" si="3"/>
        <v>COMMENT ON COLUMN bfs_service_summary_device.rntoptatt_category_4 IS 'rntoptattカテゴリ4';</v>
      </c>
      <c r="R117" s="34" t="s">
        <v>457</v>
      </c>
    </row>
    <row r="118" spans="1:18" ht="19.5" thickBot="1">
      <c r="A118" s="6"/>
      <c r="B118" s="6">
        <v>112</v>
      </c>
      <c r="C118" s="6" t="s">
        <v>458</v>
      </c>
      <c r="D118" s="6" t="s">
        <v>66</v>
      </c>
      <c r="E118" s="6">
        <v>900</v>
      </c>
      <c r="F118" s="7" t="s">
        <v>67</v>
      </c>
      <c r="G118" s="6"/>
      <c r="H118" s="8"/>
      <c r="I118" s="6"/>
      <c r="J118" s="6"/>
      <c r="K118" s="25" t="s">
        <v>459</v>
      </c>
      <c r="L118" t="str">
        <f t="shared" si="2"/>
        <v>VARCHAR(900),</v>
      </c>
      <c r="N118" s="38" t="str">
        <f t="shared" si="3"/>
        <v>COMMENT ON COLUMN bfs_service_summary_device.rntoptatt_plan_4 IS 'rntoptattプラン4';</v>
      </c>
      <c r="R118" s="34" t="s">
        <v>460</v>
      </c>
    </row>
    <row r="119" spans="1:18" ht="19.5" thickBot="1">
      <c r="A119" s="3"/>
      <c r="B119" s="3">
        <v>113</v>
      </c>
      <c r="C119" s="3" t="s">
        <v>461</v>
      </c>
      <c r="D119" s="3" t="s">
        <v>66</v>
      </c>
      <c r="E119" s="3">
        <v>900</v>
      </c>
      <c r="F119" s="2" t="s">
        <v>67</v>
      </c>
      <c r="G119" s="3"/>
      <c r="H119" s="5"/>
      <c r="I119" s="3"/>
      <c r="J119" s="3"/>
      <c r="K119" s="25" t="s">
        <v>462</v>
      </c>
      <c r="L119" t="str">
        <f t="shared" si="2"/>
        <v>VARCHAR(900),</v>
      </c>
      <c r="N119" s="38" t="str">
        <f t="shared" si="3"/>
        <v>COMMENT ON COLUMN bfs_service_summary_device.rntoptatt_category_5 IS 'rntoptattカテゴリ5';</v>
      </c>
      <c r="R119" s="34" t="s">
        <v>463</v>
      </c>
    </row>
    <row r="120" spans="1:18" ht="19.5" thickBot="1">
      <c r="A120" s="6"/>
      <c r="B120" s="6">
        <v>114</v>
      </c>
      <c r="C120" s="6" t="s">
        <v>464</v>
      </c>
      <c r="D120" s="6" t="s">
        <v>66</v>
      </c>
      <c r="E120" s="6">
        <v>900</v>
      </c>
      <c r="F120" s="7" t="s">
        <v>67</v>
      </c>
      <c r="G120" s="6"/>
      <c r="H120" s="8"/>
      <c r="I120" s="6"/>
      <c r="J120" s="6"/>
      <c r="K120" s="25" t="s">
        <v>465</v>
      </c>
      <c r="L120" t="str">
        <f t="shared" si="2"/>
        <v>VARCHAR(900),</v>
      </c>
      <c r="N120" s="38" t="str">
        <f t="shared" si="3"/>
        <v>COMMENT ON COLUMN bfs_service_summary_device.rntoptatt_plan_5 IS 'rntoptattプラン5';</v>
      </c>
      <c r="R120" s="34" t="s">
        <v>466</v>
      </c>
    </row>
    <row r="121" spans="1:18" ht="19.5" thickBot="1">
      <c r="A121" s="3"/>
      <c r="B121" s="3">
        <v>115</v>
      </c>
      <c r="C121" s="3" t="s">
        <v>467</v>
      </c>
      <c r="D121" s="3" t="s">
        <v>66</v>
      </c>
      <c r="E121" s="3">
        <v>900</v>
      </c>
      <c r="F121" s="2" t="s">
        <v>67</v>
      </c>
      <c r="G121" s="3"/>
      <c r="H121" s="5"/>
      <c r="I121" s="3"/>
      <c r="J121" s="3"/>
      <c r="K121" s="25" t="s">
        <v>468</v>
      </c>
      <c r="L121" t="str">
        <f t="shared" si="2"/>
        <v>VARCHAR(900),</v>
      </c>
      <c r="N121" s="38" t="str">
        <f t="shared" si="3"/>
        <v>COMMENT ON COLUMN bfs_service_summary_device.rntoptatt_category_6 IS 'rntoptattカテゴリ6';</v>
      </c>
      <c r="R121" s="34" t="s">
        <v>469</v>
      </c>
    </row>
    <row r="122" spans="1:18" ht="19.5" thickBot="1">
      <c r="A122" s="6"/>
      <c r="B122" s="6">
        <v>116</v>
      </c>
      <c r="C122" s="6" t="s">
        <v>470</v>
      </c>
      <c r="D122" s="6" t="s">
        <v>66</v>
      </c>
      <c r="E122" s="6">
        <v>900</v>
      </c>
      <c r="F122" s="7" t="s">
        <v>67</v>
      </c>
      <c r="G122" s="6"/>
      <c r="H122" s="8"/>
      <c r="I122" s="6"/>
      <c r="J122" s="6"/>
      <c r="K122" s="25" t="s">
        <v>471</v>
      </c>
      <c r="L122" t="str">
        <f t="shared" si="2"/>
        <v>VARCHAR(900),</v>
      </c>
      <c r="N122" s="38" t="str">
        <f t="shared" si="3"/>
        <v>COMMENT ON COLUMN bfs_service_summary_device.rntoptatt_plan_6 IS 'rntoptattプラン6';</v>
      </c>
      <c r="R122" s="34" t="s">
        <v>472</v>
      </c>
    </row>
    <row r="123" spans="1:18" ht="19.5" thickBot="1">
      <c r="A123" s="3"/>
      <c r="B123" s="3">
        <v>117</v>
      </c>
      <c r="C123" s="3" t="s">
        <v>473</v>
      </c>
      <c r="D123" s="3" t="s">
        <v>66</v>
      </c>
      <c r="E123" s="3">
        <v>900</v>
      </c>
      <c r="F123" s="2" t="s">
        <v>67</v>
      </c>
      <c r="G123" s="3"/>
      <c r="H123" s="5"/>
      <c r="I123" s="3"/>
      <c r="J123" s="3"/>
      <c r="K123" s="25" t="s">
        <v>474</v>
      </c>
      <c r="L123" t="str">
        <f t="shared" si="2"/>
        <v>VARCHAR(900),</v>
      </c>
      <c r="N123" s="38" t="str">
        <f t="shared" si="3"/>
        <v>COMMENT ON COLUMN bfs_service_summary_device.rntoptatt_category_7 IS 'rntoptattカテゴリ7';</v>
      </c>
      <c r="R123" s="34" t="s">
        <v>475</v>
      </c>
    </row>
    <row r="124" spans="1:18" ht="19.5" thickBot="1">
      <c r="A124" s="6"/>
      <c r="B124" s="6">
        <v>118</v>
      </c>
      <c r="C124" s="6" t="s">
        <v>476</v>
      </c>
      <c r="D124" s="6" t="s">
        <v>66</v>
      </c>
      <c r="E124" s="6">
        <v>900</v>
      </c>
      <c r="F124" s="7" t="s">
        <v>67</v>
      </c>
      <c r="G124" s="6"/>
      <c r="H124" s="8"/>
      <c r="I124" s="6"/>
      <c r="J124" s="6"/>
      <c r="K124" s="25" t="s">
        <v>477</v>
      </c>
      <c r="L124" t="str">
        <f t="shared" si="2"/>
        <v>VARCHAR(900),</v>
      </c>
      <c r="N124" s="38" t="str">
        <f t="shared" si="3"/>
        <v>COMMENT ON COLUMN bfs_service_summary_device.rntoptatt_plan_7 IS 'rntoptattプラン7';</v>
      </c>
      <c r="R124" s="34" t="s">
        <v>478</v>
      </c>
    </row>
    <row r="125" spans="1:18" ht="19.5" thickBot="1">
      <c r="A125" s="3"/>
      <c r="B125" s="3">
        <v>119</v>
      </c>
      <c r="C125" s="3" t="s">
        <v>479</v>
      </c>
      <c r="D125" s="3" t="s">
        <v>66</v>
      </c>
      <c r="E125" s="3">
        <v>900</v>
      </c>
      <c r="F125" s="2" t="s">
        <v>67</v>
      </c>
      <c r="G125" s="3"/>
      <c r="H125" s="5"/>
      <c r="I125" s="3"/>
      <c r="J125" s="3"/>
      <c r="K125" s="25" t="s">
        <v>480</v>
      </c>
      <c r="L125" t="str">
        <f t="shared" si="2"/>
        <v>VARCHAR(900),</v>
      </c>
      <c r="N125" s="38" t="str">
        <f t="shared" si="3"/>
        <v>COMMENT ON COLUMN bfs_service_summary_device.rntoptatt_category_8 IS 'rntoptattカテゴリ8';</v>
      </c>
      <c r="R125" s="34" t="s">
        <v>481</v>
      </c>
    </row>
    <row r="126" spans="1:18" ht="19.5" thickBot="1">
      <c r="A126" s="6"/>
      <c r="B126" s="6">
        <v>120</v>
      </c>
      <c r="C126" s="6" t="s">
        <v>482</v>
      </c>
      <c r="D126" s="6" t="s">
        <v>66</v>
      </c>
      <c r="E126" s="6">
        <v>900</v>
      </c>
      <c r="F126" s="7" t="s">
        <v>67</v>
      </c>
      <c r="G126" s="6"/>
      <c r="H126" s="8"/>
      <c r="I126" s="6"/>
      <c r="J126" s="6"/>
      <c r="K126" s="25" t="s">
        <v>483</v>
      </c>
      <c r="L126" t="str">
        <f t="shared" si="2"/>
        <v>VARCHAR(900),</v>
      </c>
      <c r="N126" s="38" t="str">
        <f t="shared" si="3"/>
        <v>COMMENT ON COLUMN bfs_service_summary_device.rntoptatt_plan_8 IS 'rntoptattプラン8';</v>
      </c>
      <c r="R126" s="34" t="s">
        <v>484</v>
      </c>
    </row>
    <row r="127" spans="1:18" ht="19.5" thickBot="1">
      <c r="A127" s="3"/>
      <c r="B127" s="3">
        <v>121</v>
      </c>
      <c r="C127" s="3" t="s">
        <v>485</v>
      </c>
      <c r="D127" s="3" t="s">
        <v>66</v>
      </c>
      <c r="E127" s="3">
        <v>900</v>
      </c>
      <c r="F127" s="2" t="s">
        <v>67</v>
      </c>
      <c r="G127" s="3"/>
      <c r="H127" s="5"/>
      <c r="I127" s="3"/>
      <c r="J127" s="3"/>
      <c r="K127" s="25" t="s">
        <v>486</v>
      </c>
      <c r="L127" t="str">
        <f t="shared" si="2"/>
        <v>VARCHAR(900),</v>
      </c>
      <c r="N127" s="38" t="str">
        <f t="shared" si="3"/>
        <v>COMMENT ON COLUMN bfs_service_summary_device.rntopta_tt_category_9 IS 'rntoptattカテゴリ9';</v>
      </c>
      <c r="R127" s="34" t="s">
        <v>487</v>
      </c>
    </row>
    <row r="128" spans="1:18" ht="19.5" thickBot="1">
      <c r="A128" s="6"/>
      <c r="B128" s="6">
        <v>122</v>
      </c>
      <c r="C128" s="6" t="s">
        <v>488</v>
      </c>
      <c r="D128" s="6" t="s">
        <v>66</v>
      </c>
      <c r="E128" s="6">
        <v>900</v>
      </c>
      <c r="F128" s="7" t="s">
        <v>67</v>
      </c>
      <c r="G128" s="6"/>
      <c r="H128" s="8"/>
      <c r="I128" s="6"/>
      <c r="J128" s="6"/>
      <c r="K128" s="25" t="s">
        <v>489</v>
      </c>
      <c r="L128" t="str">
        <f t="shared" si="2"/>
        <v>VARCHAR(900),</v>
      </c>
      <c r="N128" s="38" t="str">
        <f t="shared" si="3"/>
        <v>COMMENT ON COLUMN bfs_service_summary_device.rntoptatt_plan_9 IS 'rntoptattプラン9';</v>
      </c>
      <c r="R128" s="34" t="s">
        <v>490</v>
      </c>
    </row>
    <row r="129" spans="1:18" ht="19.5" thickBot="1">
      <c r="A129" s="3"/>
      <c r="B129" s="3">
        <v>123</v>
      </c>
      <c r="C129" s="3" t="s">
        <v>491</v>
      </c>
      <c r="D129" s="3" t="s">
        <v>66</v>
      </c>
      <c r="E129" s="3">
        <v>900</v>
      </c>
      <c r="F129" s="2" t="s">
        <v>67</v>
      </c>
      <c r="G129" s="3"/>
      <c r="H129" s="5"/>
      <c r="I129" s="3"/>
      <c r="J129" s="3"/>
      <c r="K129" s="25" t="s">
        <v>492</v>
      </c>
      <c r="L129" t="str">
        <f t="shared" si="2"/>
        <v>VARCHAR(900),</v>
      </c>
      <c r="N129" s="38" t="str">
        <f t="shared" si="3"/>
        <v>COMMENT ON COLUMN bfs_service_summary_device.rntoptatt_category_10 IS 'rntoptattカテゴリ10';</v>
      </c>
      <c r="R129" s="34" t="s">
        <v>493</v>
      </c>
    </row>
    <row r="130" spans="1:18" ht="19.5" thickBot="1">
      <c r="A130" s="6"/>
      <c r="B130" s="6">
        <v>124</v>
      </c>
      <c r="C130" s="6" t="s">
        <v>494</v>
      </c>
      <c r="D130" s="6" t="s">
        <v>66</v>
      </c>
      <c r="E130" s="6">
        <v>900</v>
      </c>
      <c r="F130" s="7" t="s">
        <v>67</v>
      </c>
      <c r="G130" s="6"/>
      <c r="H130" s="8"/>
      <c r="I130" s="6"/>
      <c r="J130" s="6"/>
      <c r="K130" s="25" t="s">
        <v>495</v>
      </c>
      <c r="L130" t="str">
        <f t="shared" si="2"/>
        <v>VARCHAR(900),</v>
      </c>
      <c r="N130" s="38" t="str">
        <f t="shared" si="3"/>
        <v>COMMENT ON COLUMN bfs_service_summary_device.rntoptatt_plan_10 IS 'rntoptattプラン10';</v>
      </c>
      <c r="R130" s="34" t="s">
        <v>496</v>
      </c>
    </row>
    <row r="131" spans="1:18" ht="19.5" thickBot="1">
      <c r="A131" s="3"/>
      <c r="B131" s="3">
        <v>125</v>
      </c>
      <c r="C131" s="3" t="s">
        <v>497</v>
      </c>
      <c r="D131" s="3" t="s">
        <v>66</v>
      </c>
      <c r="E131" s="3">
        <v>900</v>
      </c>
      <c r="F131" s="2" t="s">
        <v>67</v>
      </c>
      <c r="G131" s="3"/>
      <c r="H131" s="5"/>
      <c r="I131" s="3"/>
      <c r="J131" s="3"/>
      <c r="K131" s="25" t="s">
        <v>498</v>
      </c>
      <c r="L131" t="str">
        <f t="shared" si="2"/>
        <v>VARCHAR(900),</v>
      </c>
      <c r="N131" s="38" t="str">
        <f t="shared" si="3"/>
        <v>COMMENT ON COLUMN bfs_service_summary_device.rnt_campaign_1 IS 'rntキャンペーン1';</v>
      </c>
      <c r="R131" s="34" t="s">
        <v>499</v>
      </c>
    </row>
    <row r="132" spans="1:18" ht="19.5" thickBot="1">
      <c r="A132" s="6"/>
      <c r="B132" s="6">
        <v>126</v>
      </c>
      <c r="C132" s="6" t="s">
        <v>500</v>
      </c>
      <c r="D132" s="6" t="s">
        <v>66</v>
      </c>
      <c r="E132" s="6">
        <v>900</v>
      </c>
      <c r="F132" s="7" t="s">
        <v>67</v>
      </c>
      <c r="G132" s="6"/>
      <c r="H132" s="8"/>
      <c r="I132" s="6"/>
      <c r="J132" s="6"/>
      <c r="K132" s="25" t="s">
        <v>501</v>
      </c>
      <c r="L132" t="str">
        <f t="shared" si="2"/>
        <v>VARCHAR(900),</v>
      </c>
      <c r="N132" s="38" t="str">
        <f t="shared" si="3"/>
        <v>COMMENT ON COLUMN bfs_service_summary_device.rnt_campaign_2 IS 'rntキャンペーン2';</v>
      </c>
      <c r="R132" s="34" t="s">
        <v>502</v>
      </c>
    </row>
    <row r="133" spans="1:18" ht="19.5" thickBot="1">
      <c r="A133" s="3"/>
      <c r="B133" s="3">
        <v>127</v>
      </c>
      <c r="C133" s="3" t="s">
        <v>503</v>
      </c>
      <c r="D133" s="3" t="s">
        <v>66</v>
      </c>
      <c r="E133" s="3">
        <v>900</v>
      </c>
      <c r="F133" s="2" t="s">
        <v>67</v>
      </c>
      <c r="G133" s="3"/>
      <c r="H133" s="5"/>
      <c r="I133" s="3"/>
      <c r="J133" s="3"/>
      <c r="K133" s="25" t="s">
        <v>504</v>
      </c>
      <c r="L133" t="str">
        <f t="shared" si="2"/>
        <v>VARCHAR(900),</v>
      </c>
      <c r="N133" s="38" t="str">
        <f t="shared" si="3"/>
        <v>COMMENT ON COLUMN bfs_service_summary_device.rnt_campaign_3 IS 'rntキャンペーン3';</v>
      </c>
      <c r="R133" s="34" t="s">
        <v>505</v>
      </c>
    </row>
    <row r="134" spans="1:18" ht="19.5" thickBot="1">
      <c r="A134" s="6"/>
      <c r="B134" s="6">
        <v>128</v>
      </c>
      <c r="C134" s="6" t="s">
        <v>506</v>
      </c>
      <c r="D134" s="6" t="s">
        <v>66</v>
      </c>
      <c r="E134" s="6">
        <v>60</v>
      </c>
      <c r="F134" s="7" t="s">
        <v>67</v>
      </c>
      <c r="G134" s="6"/>
      <c r="H134" s="8"/>
      <c r="I134" s="6"/>
      <c r="J134" s="6"/>
      <c r="K134" s="25" t="s">
        <v>507</v>
      </c>
      <c r="L134" t="str">
        <f t="shared" si="2"/>
        <v>VARCHAR(60),</v>
      </c>
      <c r="N134" s="38" t="str">
        <f t="shared" si="3"/>
        <v>COMMENT ON COLUMN bfs_service_summary_device.campaign_code_1 IS 'キャンペーンコード1';</v>
      </c>
      <c r="R134" s="34" t="s">
        <v>508</v>
      </c>
    </row>
    <row r="135" spans="1:18" ht="19.5" thickBot="1">
      <c r="A135" s="3"/>
      <c r="B135" s="3">
        <v>129</v>
      </c>
      <c r="C135" s="3" t="s">
        <v>509</v>
      </c>
      <c r="D135" s="3" t="s">
        <v>66</v>
      </c>
      <c r="E135" s="3">
        <v>60</v>
      </c>
      <c r="F135" s="2" t="s">
        <v>67</v>
      </c>
      <c r="G135" s="3"/>
      <c r="H135" s="5"/>
      <c r="I135" s="3"/>
      <c r="J135" s="3"/>
      <c r="K135" s="25" t="s">
        <v>510</v>
      </c>
      <c r="L135" t="str">
        <f t="shared" si="2"/>
        <v>VARCHAR(60),</v>
      </c>
      <c r="N135" s="38" t="str">
        <f t="shared" si="3"/>
        <v>COMMENT ON COLUMN bfs_service_summary_device.campaign_code_2 IS 'キャンペーンコード2';</v>
      </c>
      <c r="R135" s="34" t="s">
        <v>511</v>
      </c>
    </row>
    <row r="136" spans="1:18" ht="19.5" thickBot="1">
      <c r="A136" s="6"/>
      <c r="B136" s="6">
        <v>130</v>
      </c>
      <c r="C136" s="6" t="s">
        <v>512</v>
      </c>
      <c r="D136" s="6" t="s">
        <v>66</v>
      </c>
      <c r="E136" s="6">
        <v>900</v>
      </c>
      <c r="F136" s="7" t="s">
        <v>67</v>
      </c>
      <c r="G136" s="6"/>
      <c r="H136" s="8"/>
      <c r="I136" s="6"/>
      <c r="J136" s="6"/>
      <c r="K136" s="25" t="s">
        <v>513</v>
      </c>
      <c r="L136" t="str">
        <f t="shared" ref="L136:L199" si="4">D136&amp;"("&amp;E136&amp;"),"</f>
        <v>VARCHAR(900),</v>
      </c>
      <c r="N136" s="38" t="str">
        <f t="shared" ref="N136:N199" si="5">"COMMENT ON COLUMN "&amp;$H$3&amp;"."&amp;$K136&amp;" IS '"&amp;C136&amp;"';"</f>
        <v>COMMENT ON COLUMN bfs_service_summary_device.rnt_urgent_campaign_1 IS 'rnt緊急キャンペーン1';</v>
      </c>
      <c r="R136" s="34" t="s">
        <v>514</v>
      </c>
    </row>
    <row r="137" spans="1:18" ht="19.5" thickBot="1">
      <c r="A137" s="3"/>
      <c r="B137" s="3">
        <v>131</v>
      </c>
      <c r="C137" s="3" t="s">
        <v>515</v>
      </c>
      <c r="D137" s="3" t="s">
        <v>66</v>
      </c>
      <c r="E137" s="3">
        <v>900</v>
      </c>
      <c r="F137" s="2" t="s">
        <v>67</v>
      </c>
      <c r="G137" s="3"/>
      <c r="H137" s="5"/>
      <c r="I137" s="3"/>
      <c r="J137" s="3"/>
      <c r="K137" s="25" t="s">
        <v>516</v>
      </c>
      <c r="L137" t="str">
        <f t="shared" si="4"/>
        <v>VARCHAR(900),</v>
      </c>
      <c r="N137" s="38" t="str">
        <f t="shared" si="5"/>
        <v>COMMENT ON COLUMN bfs_service_summary_device.rnt_urgent_campaign_2 IS 'rnt緊急キャンペーン2';</v>
      </c>
      <c r="R137" s="34" t="s">
        <v>517</v>
      </c>
    </row>
    <row r="138" spans="1:18" ht="19.5" thickBot="1">
      <c r="A138" s="6"/>
      <c r="B138" s="6">
        <v>132</v>
      </c>
      <c r="C138" s="6" t="s">
        <v>518</v>
      </c>
      <c r="D138" s="6" t="s">
        <v>66</v>
      </c>
      <c r="E138" s="6">
        <v>900</v>
      </c>
      <c r="F138" s="7" t="s">
        <v>67</v>
      </c>
      <c r="G138" s="6"/>
      <c r="H138" s="8"/>
      <c r="I138" s="6"/>
      <c r="J138" s="6"/>
      <c r="K138" s="25" t="s">
        <v>519</v>
      </c>
      <c r="L138" t="str">
        <f t="shared" si="4"/>
        <v>VARCHAR(900),</v>
      </c>
      <c r="N138" s="38" t="str">
        <f t="shared" si="5"/>
        <v>COMMENT ON COLUMN bfs_service_summary_device.rnt_urgent_campaign_3 IS 'rnt緊急キャンペーン3';</v>
      </c>
      <c r="R138" s="34" t="s">
        <v>520</v>
      </c>
    </row>
    <row r="139" spans="1:18" ht="19.5" thickBot="1">
      <c r="A139" s="3"/>
      <c r="B139" s="3">
        <v>133</v>
      </c>
      <c r="C139" s="3" t="s">
        <v>521</v>
      </c>
      <c r="D139" s="3" t="s">
        <v>66</v>
      </c>
      <c r="E139" s="3">
        <v>900</v>
      </c>
      <c r="F139" s="2" t="s">
        <v>67</v>
      </c>
      <c r="G139" s="3"/>
      <c r="H139" s="5"/>
      <c r="I139" s="3"/>
      <c r="J139" s="3"/>
      <c r="K139" s="25" t="s">
        <v>522</v>
      </c>
      <c r="L139" t="str">
        <f t="shared" si="4"/>
        <v>VARCHAR(900),</v>
      </c>
      <c r="N139" s="38" t="str">
        <f t="shared" si="5"/>
        <v>COMMENT ON COLUMN bfs_service_summary_device.new_service_fee_exemption IS '新規事務手数料免除';</v>
      </c>
      <c r="R139" s="34" t="s">
        <v>523</v>
      </c>
    </row>
    <row r="140" spans="1:18" ht="19.5" thickBot="1">
      <c r="A140" s="6"/>
      <c r="B140" s="6">
        <v>134</v>
      </c>
      <c r="C140" s="6" t="s">
        <v>524</v>
      </c>
      <c r="D140" s="6" t="s">
        <v>66</v>
      </c>
      <c r="E140" s="6">
        <v>900</v>
      </c>
      <c r="F140" s="7" t="s">
        <v>67</v>
      </c>
      <c r="G140" s="6"/>
      <c r="H140" s="8"/>
      <c r="I140" s="6"/>
      <c r="J140" s="6"/>
      <c r="K140" s="25" t="s">
        <v>525</v>
      </c>
      <c r="L140" t="str">
        <f t="shared" si="4"/>
        <v>VARCHAR(900),</v>
      </c>
      <c r="N140" s="38" t="str">
        <f t="shared" si="5"/>
        <v>COMMENT ON COLUMN bfs_service_summary_device.model_upgrade_fee_exemption IS '機種変更手数料免除';</v>
      </c>
      <c r="R140" s="34" t="s">
        <v>526</v>
      </c>
    </row>
    <row r="141" spans="1:18" ht="19.5" thickBot="1">
      <c r="A141" s="3"/>
      <c r="B141" s="3">
        <v>135</v>
      </c>
      <c r="C141" s="3" t="s">
        <v>527</v>
      </c>
      <c r="D141" s="3" t="s">
        <v>66</v>
      </c>
      <c r="E141" s="3">
        <v>900</v>
      </c>
      <c r="F141" s="2" t="s">
        <v>67</v>
      </c>
      <c r="G141" s="3"/>
      <c r="H141" s="5"/>
      <c r="I141" s="3"/>
      <c r="J141" s="3"/>
      <c r="K141" s="25" t="s">
        <v>528</v>
      </c>
      <c r="L141" t="str">
        <f t="shared" si="4"/>
        <v>VARCHAR(900),</v>
      </c>
      <c r="N141" s="38" t="str">
        <f t="shared" si="5"/>
        <v>COMMENT ON COLUMN bfs_service_summary_device.contract_change_service_fee_exemption IS '契変事務手数料免除';</v>
      </c>
      <c r="R141" s="34" t="s">
        <v>529</v>
      </c>
    </row>
    <row r="142" spans="1:18" ht="19.5" thickBot="1">
      <c r="A142" s="6"/>
      <c r="B142" s="6">
        <v>136</v>
      </c>
      <c r="C142" s="6" t="s">
        <v>530</v>
      </c>
      <c r="D142" s="6" t="s">
        <v>66</v>
      </c>
      <c r="E142" s="6">
        <v>900</v>
      </c>
      <c r="F142" s="7" t="s">
        <v>67</v>
      </c>
      <c r="G142" s="6"/>
      <c r="H142" s="8"/>
      <c r="I142" s="6"/>
      <c r="J142" s="6"/>
      <c r="K142" s="25" t="s">
        <v>531</v>
      </c>
      <c r="L142" t="str">
        <f t="shared" si="4"/>
        <v>VARCHAR(900),</v>
      </c>
      <c r="N142" s="38" t="str">
        <f t="shared" si="5"/>
        <v>COMMENT ON COLUMN bfs_service_summary_device.annual_contract_penalty_exemption IS '年契違約金免除';</v>
      </c>
      <c r="R142" s="34" t="s">
        <v>532</v>
      </c>
    </row>
    <row r="143" spans="1:18" ht="19.5" thickBot="1">
      <c r="A143" s="3"/>
      <c r="B143" s="3">
        <v>137</v>
      </c>
      <c r="C143" s="3" t="s">
        <v>533</v>
      </c>
      <c r="D143" s="3" t="s">
        <v>66</v>
      </c>
      <c r="E143" s="3">
        <v>60</v>
      </c>
      <c r="F143" s="2" t="s">
        <v>67</v>
      </c>
      <c r="G143" s="3"/>
      <c r="H143" s="5"/>
      <c r="I143" s="3"/>
      <c r="J143" s="3"/>
      <c r="K143" s="25" t="s">
        <v>534</v>
      </c>
      <c r="L143" t="str">
        <f t="shared" si="4"/>
        <v>VARCHAR(60),</v>
      </c>
      <c r="N143" s="38" t="str">
        <f t="shared" si="5"/>
        <v>COMMENT ON COLUMN bfs_service_summary_device.applicable_relative_discount_end_date IS '適用中相対割引終了日';</v>
      </c>
      <c r="R143" s="34" t="s">
        <v>535</v>
      </c>
    </row>
    <row r="144" spans="1:18" ht="19.5" thickBot="1">
      <c r="A144" s="6"/>
      <c r="B144" s="6">
        <v>138</v>
      </c>
      <c r="C144" s="6" t="s">
        <v>536</v>
      </c>
      <c r="D144" s="6" t="s">
        <v>66</v>
      </c>
      <c r="E144" s="6">
        <v>1800</v>
      </c>
      <c r="F144" s="7" t="s">
        <v>67</v>
      </c>
      <c r="G144" s="6"/>
      <c r="H144" s="8"/>
      <c r="I144" s="6"/>
      <c r="J144" s="6"/>
      <c r="K144" s="25" t="s">
        <v>537</v>
      </c>
      <c r="L144" t="str">
        <f t="shared" si="4"/>
        <v>VARCHAR(1800),</v>
      </c>
      <c r="N144" s="38" t="str">
        <f t="shared" si="5"/>
        <v>COMMENT ON COLUMN bfs_service_summary_device.relative_pd_category_1 IS '相対pdカテゴリ1';</v>
      </c>
      <c r="R144" s="34" t="s">
        <v>538</v>
      </c>
    </row>
    <row r="145" spans="1:18" ht="19.5" thickBot="1">
      <c r="A145" s="3"/>
      <c r="B145" s="3">
        <v>139</v>
      </c>
      <c r="C145" s="3" t="s">
        <v>539</v>
      </c>
      <c r="D145" s="3" t="s">
        <v>66</v>
      </c>
      <c r="E145" s="3">
        <v>1800</v>
      </c>
      <c r="F145" s="2" t="s">
        <v>67</v>
      </c>
      <c r="G145" s="3"/>
      <c r="H145" s="5"/>
      <c r="I145" s="3"/>
      <c r="J145" s="3"/>
      <c r="K145" s="25" t="s">
        <v>540</v>
      </c>
      <c r="L145" t="str">
        <f t="shared" si="4"/>
        <v>VARCHAR(1800),</v>
      </c>
      <c r="N145" s="38" t="str">
        <f t="shared" si="5"/>
        <v>COMMENT ON COLUMN bfs_service_summary_device.relative_pd_name_1 IS '相対pd名称1';</v>
      </c>
      <c r="R145" s="34" t="s">
        <v>541</v>
      </c>
    </row>
    <row r="146" spans="1:18" ht="19.5" thickBot="1">
      <c r="A146" s="6"/>
      <c r="B146" s="6">
        <v>140</v>
      </c>
      <c r="C146" s="6" t="s">
        <v>542</v>
      </c>
      <c r="D146" s="6" t="s">
        <v>66</v>
      </c>
      <c r="E146" s="6">
        <v>900</v>
      </c>
      <c r="F146" s="7" t="s">
        <v>67</v>
      </c>
      <c r="G146" s="6"/>
      <c r="H146" s="8"/>
      <c r="I146" s="6"/>
      <c r="J146" s="6"/>
      <c r="K146" s="25" t="s">
        <v>543</v>
      </c>
      <c r="L146" t="str">
        <f t="shared" si="4"/>
        <v>VARCHAR(900),</v>
      </c>
      <c r="N146" s="38" t="str">
        <f t="shared" si="5"/>
        <v>COMMENT ON COLUMN bfs_service_summary_device.relative_discount_method_1 IS '相対割引方法1';</v>
      </c>
      <c r="R146" s="34" t="s">
        <v>544</v>
      </c>
    </row>
    <row r="147" spans="1:18" ht="19.5" thickBot="1">
      <c r="A147" s="3"/>
      <c r="B147" s="3">
        <v>141</v>
      </c>
      <c r="C147" s="3" t="s">
        <v>545</v>
      </c>
      <c r="D147" s="3" t="s">
        <v>66</v>
      </c>
      <c r="E147" s="3">
        <v>60</v>
      </c>
      <c r="F147" s="2" t="s">
        <v>67</v>
      </c>
      <c r="G147" s="3"/>
      <c r="H147" s="5"/>
      <c r="I147" s="3"/>
      <c r="J147" s="3"/>
      <c r="K147" s="25" t="s">
        <v>546</v>
      </c>
      <c r="L147" t="str">
        <f t="shared" si="4"/>
        <v>VARCHAR(60),</v>
      </c>
      <c r="N147" s="38" t="str">
        <f t="shared" si="5"/>
        <v>COMMENT ON COLUMN bfs_service_summary_device.relative_effective_start_date_1 IS '相対有効開始日1';</v>
      </c>
      <c r="R147" s="34" t="s">
        <v>547</v>
      </c>
    </row>
    <row r="148" spans="1:18" ht="19.5" thickBot="1">
      <c r="A148" s="6"/>
      <c r="B148" s="6">
        <v>142</v>
      </c>
      <c r="C148" s="6" t="s">
        <v>548</v>
      </c>
      <c r="D148" s="6" t="s">
        <v>66</v>
      </c>
      <c r="E148" s="6">
        <v>60</v>
      </c>
      <c r="F148" s="7" t="s">
        <v>67</v>
      </c>
      <c r="G148" s="6"/>
      <c r="H148" s="8"/>
      <c r="I148" s="6"/>
      <c r="J148" s="6"/>
      <c r="K148" s="25" t="s">
        <v>549</v>
      </c>
      <c r="L148" t="str">
        <f t="shared" si="4"/>
        <v>VARCHAR(60),</v>
      </c>
      <c r="N148" s="38" t="str">
        <f t="shared" si="5"/>
        <v>COMMENT ON COLUMN bfs_service_summary_device.relative_effective_end_date_1 IS '相対有効終了日1';</v>
      </c>
      <c r="R148" s="34" t="s">
        <v>550</v>
      </c>
    </row>
    <row r="149" spans="1:18" ht="19.5" thickBot="1">
      <c r="A149" s="3"/>
      <c r="B149" s="3">
        <v>143</v>
      </c>
      <c r="C149" s="3" t="s">
        <v>551</v>
      </c>
      <c r="D149" s="3" t="s">
        <v>66</v>
      </c>
      <c r="E149" s="3">
        <v>24</v>
      </c>
      <c r="F149" s="2" t="s">
        <v>67</v>
      </c>
      <c r="G149" s="3"/>
      <c r="H149" s="5"/>
      <c r="I149" s="3"/>
      <c r="J149" s="3"/>
      <c r="K149" s="25" t="s">
        <v>552</v>
      </c>
      <c r="L149" t="str">
        <f t="shared" si="4"/>
        <v>VARCHAR(24),</v>
      </c>
      <c r="N149" s="38" t="str">
        <f t="shared" si="5"/>
        <v>COMMENT ON COLUMN bfs_service_summary_device.relative_billing_amount_1 IS '相対請求金額1';</v>
      </c>
      <c r="R149" s="34" t="s">
        <v>553</v>
      </c>
    </row>
    <row r="150" spans="1:18" ht="19.5" thickBot="1">
      <c r="A150" s="6"/>
      <c r="B150" s="6">
        <v>144</v>
      </c>
      <c r="C150" s="6" t="s">
        <v>554</v>
      </c>
      <c r="D150" s="6" t="s">
        <v>66</v>
      </c>
      <c r="E150" s="6">
        <v>24</v>
      </c>
      <c r="F150" s="7" t="s">
        <v>67</v>
      </c>
      <c r="G150" s="6"/>
      <c r="H150" s="8"/>
      <c r="I150" s="6"/>
      <c r="J150" s="6"/>
      <c r="K150" s="25" t="s">
        <v>555</v>
      </c>
      <c r="L150" t="str">
        <f t="shared" si="4"/>
        <v>VARCHAR(24),</v>
      </c>
      <c r="N150" s="38" t="str">
        <f t="shared" si="5"/>
        <v>COMMENT ON COLUMN bfs_service_summary_device.relative_discount_amount_1 IS '相対割引金額1';</v>
      </c>
      <c r="R150" s="34" t="s">
        <v>556</v>
      </c>
    </row>
    <row r="151" spans="1:18" ht="19.5" thickBot="1">
      <c r="A151" s="3"/>
      <c r="B151" s="3">
        <v>145</v>
      </c>
      <c r="C151" s="3" t="s">
        <v>557</v>
      </c>
      <c r="D151" s="3" t="s">
        <v>66</v>
      </c>
      <c r="E151" s="3">
        <v>18</v>
      </c>
      <c r="F151" s="2" t="s">
        <v>67</v>
      </c>
      <c r="G151" s="3"/>
      <c r="H151" s="5"/>
      <c r="I151" s="3"/>
      <c r="J151" s="3"/>
      <c r="K151" s="25" t="s">
        <v>558</v>
      </c>
      <c r="L151" t="str">
        <f t="shared" si="4"/>
        <v>VARCHAR(18),</v>
      </c>
      <c r="N151" s="38" t="str">
        <f t="shared" si="5"/>
        <v>COMMENT ON COLUMN bfs_service_summary_device.relative_discount_rate_1 IS '相対割引率1';</v>
      </c>
      <c r="R151" s="34" t="s">
        <v>559</v>
      </c>
    </row>
    <row r="152" spans="1:18" ht="19.5" thickBot="1">
      <c r="A152" s="6"/>
      <c r="B152" s="6">
        <v>146</v>
      </c>
      <c r="C152" s="6" t="s">
        <v>560</v>
      </c>
      <c r="D152" s="6" t="s">
        <v>66</v>
      </c>
      <c r="E152" s="6">
        <v>6</v>
      </c>
      <c r="F152" s="7" t="s">
        <v>67</v>
      </c>
      <c r="G152" s="6"/>
      <c r="H152" s="8"/>
      <c r="I152" s="6"/>
      <c r="J152" s="6"/>
      <c r="K152" s="25" t="s">
        <v>561</v>
      </c>
      <c r="L152" t="str">
        <f t="shared" si="4"/>
        <v>VARCHAR(6),</v>
      </c>
      <c r="N152" s="38" t="str">
        <f t="shared" si="5"/>
        <v>COMMENT ON COLUMN bfs_service_summary_device.relative_discount_start_month_1 IS '相対割引開始月1';</v>
      </c>
      <c r="R152" s="34" t="s">
        <v>562</v>
      </c>
    </row>
    <row r="153" spans="1:18" ht="19.5" thickBot="1">
      <c r="A153" s="3"/>
      <c r="B153" s="3">
        <v>147</v>
      </c>
      <c r="C153" s="3" t="s">
        <v>563</v>
      </c>
      <c r="D153" s="3" t="s">
        <v>89</v>
      </c>
      <c r="E153" s="3">
        <v>3</v>
      </c>
      <c r="F153" s="2" t="s">
        <v>67</v>
      </c>
      <c r="G153" s="3"/>
      <c r="H153" s="5"/>
      <c r="I153" s="3"/>
      <c r="J153" s="3"/>
      <c r="K153" s="25" t="s">
        <v>564</v>
      </c>
      <c r="L153" t="str">
        <f t="shared" si="4"/>
        <v>DECIMAL(3),</v>
      </c>
      <c r="N153" s="38" t="str">
        <f t="shared" si="5"/>
        <v>COMMENT ON COLUMN bfs_service_summary_device.relative_period_1 IS '相対期間1';</v>
      </c>
      <c r="R153" s="34" t="s">
        <v>565</v>
      </c>
    </row>
    <row r="154" spans="1:18" ht="19.5" thickBot="1">
      <c r="A154" s="6"/>
      <c r="B154" s="6">
        <v>148</v>
      </c>
      <c r="C154" s="6" t="s">
        <v>566</v>
      </c>
      <c r="D154" s="6" t="s">
        <v>66</v>
      </c>
      <c r="E154" s="6">
        <v>1800</v>
      </c>
      <c r="F154" s="7" t="s">
        <v>67</v>
      </c>
      <c r="G154" s="6"/>
      <c r="H154" s="8"/>
      <c r="I154" s="6"/>
      <c r="J154" s="6"/>
      <c r="K154" s="25" t="s">
        <v>567</v>
      </c>
      <c r="L154" t="str">
        <f t="shared" si="4"/>
        <v>VARCHAR(1800),</v>
      </c>
      <c r="N154" s="38" t="str">
        <f t="shared" si="5"/>
        <v>COMMENT ON COLUMN bfs_service_summary_device.relative_pd_category_2 IS '相対pdカテゴリ2';</v>
      </c>
      <c r="R154" s="34" t="s">
        <v>568</v>
      </c>
    </row>
    <row r="155" spans="1:18" ht="19.5" thickBot="1">
      <c r="A155" s="3"/>
      <c r="B155" s="3">
        <v>149</v>
      </c>
      <c r="C155" s="3" t="s">
        <v>569</v>
      </c>
      <c r="D155" s="3" t="s">
        <v>66</v>
      </c>
      <c r="E155" s="3">
        <v>1800</v>
      </c>
      <c r="F155" s="2" t="s">
        <v>67</v>
      </c>
      <c r="G155" s="3"/>
      <c r="H155" s="5"/>
      <c r="I155" s="3"/>
      <c r="J155" s="3"/>
      <c r="K155" s="25" t="s">
        <v>570</v>
      </c>
      <c r="L155" t="str">
        <f t="shared" si="4"/>
        <v>VARCHAR(1800),</v>
      </c>
      <c r="N155" s="38" t="str">
        <f t="shared" si="5"/>
        <v>COMMENT ON COLUMN bfs_service_summary_device.relative_pd_name_2 IS '相対pd名称2';</v>
      </c>
      <c r="R155" s="34" t="s">
        <v>571</v>
      </c>
    </row>
    <row r="156" spans="1:18" ht="19.5" thickBot="1">
      <c r="A156" s="6"/>
      <c r="B156" s="6">
        <v>150</v>
      </c>
      <c r="C156" s="6" t="s">
        <v>572</v>
      </c>
      <c r="D156" s="6" t="s">
        <v>66</v>
      </c>
      <c r="E156" s="6">
        <v>900</v>
      </c>
      <c r="F156" s="7" t="s">
        <v>67</v>
      </c>
      <c r="G156" s="6"/>
      <c r="H156" s="8"/>
      <c r="I156" s="6"/>
      <c r="J156" s="6"/>
      <c r="K156" s="25" t="s">
        <v>573</v>
      </c>
      <c r="L156" t="str">
        <f t="shared" si="4"/>
        <v>VARCHAR(900),</v>
      </c>
      <c r="N156" s="38" t="str">
        <f t="shared" si="5"/>
        <v>COMMENT ON COLUMN bfs_service_summary_device.relative_discount_method_2 IS '相対割引方法2';</v>
      </c>
      <c r="R156" s="34" t="s">
        <v>574</v>
      </c>
    </row>
    <row r="157" spans="1:18" ht="19.5" thickBot="1">
      <c r="A157" s="3"/>
      <c r="B157" s="3">
        <v>151</v>
      </c>
      <c r="C157" s="3" t="s">
        <v>575</v>
      </c>
      <c r="D157" s="3" t="s">
        <v>66</v>
      </c>
      <c r="E157" s="3">
        <v>60</v>
      </c>
      <c r="F157" s="2" t="s">
        <v>67</v>
      </c>
      <c r="G157" s="3"/>
      <c r="H157" s="5"/>
      <c r="I157" s="3"/>
      <c r="J157" s="3"/>
      <c r="K157" s="25" t="s">
        <v>576</v>
      </c>
      <c r="L157" t="str">
        <f t="shared" si="4"/>
        <v>VARCHAR(60),</v>
      </c>
      <c r="N157" s="38" t="str">
        <f t="shared" si="5"/>
        <v>COMMENT ON COLUMN bfs_service_summary_device.relative_effective_start_date_2 IS '相対有効開始日2';</v>
      </c>
      <c r="R157" s="34" t="s">
        <v>577</v>
      </c>
    </row>
    <row r="158" spans="1:18" ht="19.5" thickBot="1">
      <c r="A158" s="6"/>
      <c r="B158" s="6">
        <v>152</v>
      </c>
      <c r="C158" s="6" t="s">
        <v>578</v>
      </c>
      <c r="D158" s="6" t="s">
        <v>66</v>
      </c>
      <c r="E158" s="6">
        <v>60</v>
      </c>
      <c r="F158" s="7" t="s">
        <v>67</v>
      </c>
      <c r="G158" s="6"/>
      <c r="H158" s="8"/>
      <c r="I158" s="6"/>
      <c r="J158" s="6"/>
      <c r="K158" s="25" t="s">
        <v>579</v>
      </c>
      <c r="L158" t="str">
        <f t="shared" si="4"/>
        <v>VARCHAR(60),</v>
      </c>
      <c r="N158" s="38" t="str">
        <f t="shared" si="5"/>
        <v>COMMENT ON COLUMN bfs_service_summary_device.relative_effective_end_date_2 IS '相対有効終了日2';</v>
      </c>
      <c r="R158" s="34" t="s">
        <v>580</v>
      </c>
    </row>
    <row r="159" spans="1:18" ht="19.5" thickBot="1">
      <c r="A159" s="3"/>
      <c r="B159" s="3">
        <v>153</v>
      </c>
      <c r="C159" s="3" t="s">
        <v>581</v>
      </c>
      <c r="D159" s="3" t="s">
        <v>66</v>
      </c>
      <c r="E159" s="3">
        <v>24</v>
      </c>
      <c r="F159" s="2" t="s">
        <v>67</v>
      </c>
      <c r="G159" s="3"/>
      <c r="H159" s="5"/>
      <c r="I159" s="3"/>
      <c r="J159" s="3"/>
      <c r="K159" s="25" t="s">
        <v>582</v>
      </c>
      <c r="L159" t="str">
        <f t="shared" si="4"/>
        <v>VARCHAR(24),</v>
      </c>
      <c r="N159" s="38" t="str">
        <f t="shared" si="5"/>
        <v>COMMENT ON COLUMN bfs_service_summary_device.relative_invoice_amount_2 IS '相対請求金額2';</v>
      </c>
      <c r="R159" s="34" t="s">
        <v>583</v>
      </c>
    </row>
    <row r="160" spans="1:18" ht="19.5" thickBot="1">
      <c r="A160" s="6"/>
      <c r="B160" s="6">
        <v>154</v>
      </c>
      <c r="C160" s="6" t="s">
        <v>584</v>
      </c>
      <c r="D160" s="6" t="s">
        <v>66</v>
      </c>
      <c r="E160" s="6">
        <v>24</v>
      </c>
      <c r="F160" s="7" t="s">
        <v>67</v>
      </c>
      <c r="G160" s="6"/>
      <c r="H160" s="8"/>
      <c r="I160" s="6"/>
      <c r="J160" s="6"/>
      <c r="K160" s="25" t="s">
        <v>585</v>
      </c>
      <c r="L160" t="str">
        <f t="shared" si="4"/>
        <v>VARCHAR(24),</v>
      </c>
      <c r="N160" s="38" t="str">
        <f t="shared" si="5"/>
        <v>COMMENT ON COLUMN bfs_service_summary_device.relative_discount_amount_2 IS '相対割引金額2';</v>
      </c>
      <c r="R160" s="34" t="s">
        <v>586</v>
      </c>
    </row>
    <row r="161" spans="1:18" ht="19.5" thickBot="1">
      <c r="A161" s="3"/>
      <c r="B161" s="3">
        <v>155</v>
      </c>
      <c r="C161" s="3" t="s">
        <v>587</v>
      </c>
      <c r="D161" s="3" t="s">
        <v>66</v>
      </c>
      <c r="E161" s="3">
        <v>18</v>
      </c>
      <c r="F161" s="2" t="s">
        <v>67</v>
      </c>
      <c r="G161" s="3"/>
      <c r="H161" s="5"/>
      <c r="I161" s="3"/>
      <c r="J161" s="3"/>
      <c r="K161" s="25" t="s">
        <v>588</v>
      </c>
      <c r="L161" t="str">
        <f t="shared" si="4"/>
        <v>VARCHAR(18),</v>
      </c>
      <c r="N161" s="38" t="str">
        <f t="shared" si="5"/>
        <v>COMMENT ON COLUMN bfs_service_summary_device.relative_discount_rate_2 IS '相対割引率2';</v>
      </c>
      <c r="R161" s="34" t="s">
        <v>589</v>
      </c>
    </row>
    <row r="162" spans="1:18" ht="19.5" thickBot="1">
      <c r="A162" s="6"/>
      <c r="B162" s="6">
        <v>156</v>
      </c>
      <c r="C162" s="6" t="s">
        <v>590</v>
      </c>
      <c r="D162" s="6" t="s">
        <v>66</v>
      </c>
      <c r="E162" s="6">
        <v>6</v>
      </c>
      <c r="F162" s="7" t="s">
        <v>67</v>
      </c>
      <c r="G162" s="6"/>
      <c r="H162" s="8"/>
      <c r="I162" s="6"/>
      <c r="J162" s="6"/>
      <c r="K162" s="25" t="s">
        <v>591</v>
      </c>
      <c r="L162" t="str">
        <f t="shared" si="4"/>
        <v>VARCHAR(6),</v>
      </c>
      <c r="N162" s="38" t="str">
        <f t="shared" si="5"/>
        <v>COMMENT ON COLUMN bfs_service_summary_device.relative_discount_start_month_2 IS '相対割引開始月2';</v>
      </c>
      <c r="R162" s="34" t="s">
        <v>592</v>
      </c>
    </row>
    <row r="163" spans="1:18" ht="19.5" thickBot="1">
      <c r="A163" s="3"/>
      <c r="B163" s="3">
        <v>157</v>
      </c>
      <c r="C163" s="3" t="s">
        <v>593</v>
      </c>
      <c r="D163" s="3" t="s">
        <v>89</v>
      </c>
      <c r="E163" s="3">
        <v>3</v>
      </c>
      <c r="F163" s="2" t="s">
        <v>67</v>
      </c>
      <c r="G163" s="3"/>
      <c r="H163" s="5"/>
      <c r="I163" s="3"/>
      <c r="J163" s="3"/>
      <c r="K163" s="25" t="s">
        <v>594</v>
      </c>
      <c r="L163" t="str">
        <f t="shared" si="4"/>
        <v>DECIMAL(3),</v>
      </c>
      <c r="N163" s="38" t="str">
        <f t="shared" si="5"/>
        <v>COMMENT ON COLUMN bfs_service_summary_device.relative_period_2 IS '相対期間2';</v>
      </c>
      <c r="R163" s="34" t="s">
        <v>595</v>
      </c>
    </row>
    <row r="164" spans="1:18" ht="19.5" thickBot="1">
      <c r="A164" s="6"/>
      <c r="B164" s="6">
        <v>158</v>
      </c>
      <c r="C164" s="6" t="s">
        <v>596</v>
      </c>
      <c r="D164" s="6" t="s">
        <v>66</v>
      </c>
      <c r="E164" s="6">
        <v>1800</v>
      </c>
      <c r="F164" s="7" t="s">
        <v>67</v>
      </c>
      <c r="G164" s="6"/>
      <c r="H164" s="8"/>
      <c r="I164" s="6"/>
      <c r="J164" s="6"/>
      <c r="K164" s="25" t="s">
        <v>597</v>
      </c>
      <c r="L164" t="str">
        <f t="shared" si="4"/>
        <v>VARCHAR(1800),</v>
      </c>
      <c r="N164" s="38" t="str">
        <f t="shared" si="5"/>
        <v>COMMENT ON COLUMN bfs_service_summary_device.relative_pd_category_3 IS '相対pdカテゴリ3';</v>
      </c>
      <c r="R164" s="34" t="s">
        <v>598</v>
      </c>
    </row>
    <row r="165" spans="1:18" ht="19.5" thickBot="1">
      <c r="A165" s="3"/>
      <c r="B165" s="3">
        <v>159</v>
      </c>
      <c r="C165" s="3" t="s">
        <v>599</v>
      </c>
      <c r="D165" s="3" t="s">
        <v>66</v>
      </c>
      <c r="E165" s="3">
        <v>1800</v>
      </c>
      <c r="F165" s="2" t="s">
        <v>67</v>
      </c>
      <c r="G165" s="3"/>
      <c r="H165" s="5"/>
      <c r="I165" s="3"/>
      <c r="J165" s="3"/>
      <c r="K165" s="25" t="s">
        <v>600</v>
      </c>
      <c r="L165" t="str">
        <f t="shared" si="4"/>
        <v>VARCHAR(1800),</v>
      </c>
      <c r="N165" s="38" t="str">
        <f t="shared" si="5"/>
        <v>COMMENT ON COLUMN bfs_service_summary_device.relative_pd_name_3 IS '相対pd名称3';</v>
      </c>
      <c r="R165" s="34" t="s">
        <v>601</v>
      </c>
    </row>
    <row r="166" spans="1:18" ht="19.5" thickBot="1">
      <c r="A166" s="6"/>
      <c r="B166" s="6">
        <v>160</v>
      </c>
      <c r="C166" s="6" t="s">
        <v>602</v>
      </c>
      <c r="D166" s="6" t="s">
        <v>66</v>
      </c>
      <c r="E166" s="6">
        <v>900</v>
      </c>
      <c r="F166" s="7" t="s">
        <v>67</v>
      </c>
      <c r="G166" s="6"/>
      <c r="H166" s="8"/>
      <c r="I166" s="6"/>
      <c r="J166" s="6"/>
      <c r="K166" s="25" t="s">
        <v>603</v>
      </c>
      <c r="L166" t="str">
        <f t="shared" si="4"/>
        <v>VARCHAR(900),</v>
      </c>
      <c r="N166" s="38" t="str">
        <f t="shared" si="5"/>
        <v>COMMENT ON COLUMN bfs_service_summary_device.relative_discount_method_3 IS '相対割引方法3';</v>
      </c>
      <c r="R166" s="34" t="s">
        <v>604</v>
      </c>
    </row>
    <row r="167" spans="1:18" ht="19.5" thickBot="1">
      <c r="A167" s="3"/>
      <c r="B167" s="3">
        <v>161</v>
      </c>
      <c r="C167" s="3" t="s">
        <v>605</v>
      </c>
      <c r="D167" s="3" t="s">
        <v>66</v>
      </c>
      <c r="E167" s="3">
        <v>60</v>
      </c>
      <c r="F167" s="2" t="s">
        <v>67</v>
      </c>
      <c r="G167" s="3"/>
      <c r="H167" s="5"/>
      <c r="I167" s="3"/>
      <c r="J167" s="3"/>
      <c r="K167" s="25" t="s">
        <v>606</v>
      </c>
      <c r="L167" t="str">
        <f t="shared" si="4"/>
        <v>VARCHAR(60),</v>
      </c>
      <c r="N167" s="38" t="str">
        <f t="shared" si="5"/>
        <v>COMMENT ON COLUMN bfs_service_summary_device.relative_effective_start_date_3 IS '相対有効開始日3';</v>
      </c>
      <c r="R167" s="34" t="s">
        <v>607</v>
      </c>
    </row>
    <row r="168" spans="1:18" ht="19.5" thickBot="1">
      <c r="A168" s="6"/>
      <c r="B168" s="6">
        <v>162</v>
      </c>
      <c r="C168" s="6" t="s">
        <v>608</v>
      </c>
      <c r="D168" s="6" t="s">
        <v>66</v>
      </c>
      <c r="E168" s="6">
        <v>60</v>
      </c>
      <c r="F168" s="7" t="s">
        <v>67</v>
      </c>
      <c r="G168" s="6"/>
      <c r="H168" s="8"/>
      <c r="I168" s="6"/>
      <c r="J168" s="6"/>
      <c r="K168" s="25" t="s">
        <v>609</v>
      </c>
      <c r="L168" t="str">
        <f t="shared" si="4"/>
        <v>VARCHAR(60),</v>
      </c>
      <c r="N168" s="38" t="str">
        <f t="shared" si="5"/>
        <v>COMMENT ON COLUMN bfs_service_summary_device.relative_effective_end_date_3 IS '相対有効終了日3';</v>
      </c>
      <c r="R168" s="34" t="s">
        <v>610</v>
      </c>
    </row>
    <row r="169" spans="1:18" ht="19.5" thickBot="1">
      <c r="A169" s="3"/>
      <c r="B169" s="3">
        <v>163</v>
      </c>
      <c r="C169" s="3" t="s">
        <v>611</v>
      </c>
      <c r="D169" s="3" t="s">
        <v>66</v>
      </c>
      <c r="E169" s="3">
        <v>24</v>
      </c>
      <c r="F169" s="2" t="s">
        <v>67</v>
      </c>
      <c r="G169" s="3"/>
      <c r="H169" s="5"/>
      <c r="I169" s="3"/>
      <c r="J169" s="3"/>
      <c r="K169" s="25" t="s">
        <v>612</v>
      </c>
      <c r="L169" t="str">
        <f t="shared" si="4"/>
        <v>VARCHAR(24),</v>
      </c>
      <c r="N169" s="38" t="str">
        <f t="shared" si="5"/>
        <v>COMMENT ON COLUMN bfs_service_summary_device.relative_invoice_amount_3 IS '相対請求金額3';</v>
      </c>
      <c r="R169" s="34" t="s">
        <v>613</v>
      </c>
    </row>
    <row r="170" spans="1:18" ht="19.5" thickBot="1">
      <c r="A170" s="6"/>
      <c r="B170" s="6">
        <v>164</v>
      </c>
      <c r="C170" s="6" t="s">
        <v>614</v>
      </c>
      <c r="D170" s="6" t="s">
        <v>66</v>
      </c>
      <c r="E170" s="6">
        <v>24</v>
      </c>
      <c r="F170" s="7" t="s">
        <v>67</v>
      </c>
      <c r="G170" s="6"/>
      <c r="H170" s="8"/>
      <c r="I170" s="6"/>
      <c r="J170" s="6"/>
      <c r="K170" s="25" t="s">
        <v>615</v>
      </c>
      <c r="L170" t="str">
        <f t="shared" si="4"/>
        <v>VARCHAR(24),</v>
      </c>
      <c r="N170" s="38" t="str">
        <f t="shared" si="5"/>
        <v>COMMENT ON COLUMN bfs_service_summary_device.relative_discount_amount_3 IS '相対割引金額3';</v>
      </c>
      <c r="R170" s="34" t="s">
        <v>616</v>
      </c>
    </row>
    <row r="171" spans="1:18" ht="19.5" thickBot="1">
      <c r="A171" s="3"/>
      <c r="B171" s="3">
        <v>165</v>
      </c>
      <c r="C171" s="3" t="s">
        <v>617</v>
      </c>
      <c r="D171" s="3" t="s">
        <v>66</v>
      </c>
      <c r="E171" s="3">
        <v>18</v>
      </c>
      <c r="F171" s="2" t="s">
        <v>67</v>
      </c>
      <c r="G171" s="3"/>
      <c r="H171" s="5"/>
      <c r="I171" s="3"/>
      <c r="J171" s="3"/>
      <c r="K171" s="25" t="s">
        <v>618</v>
      </c>
      <c r="L171" t="str">
        <f t="shared" si="4"/>
        <v>VARCHAR(18),</v>
      </c>
      <c r="N171" s="38" t="str">
        <f t="shared" si="5"/>
        <v>COMMENT ON COLUMN bfs_service_summary_device.relative_discount_rate_3 IS '相対割引率3';</v>
      </c>
      <c r="R171" s="34" t="s">
        <v>619</v>
      </c>
    </row>
    <row r="172" spans="1:18" ht="19.5" thickBot="1">
      <c r="A172" s="6"/>
      <c r="B172" s="6">
        <v>166</v>
      </c>
      <c r="C172" s="6" t="s">
        <v>620</v>
      </c>
      <c r="D172" s="6" t="s">
        <v>66</v>
      </c>
      <c r="E172" s="6">
        <v>6</v>
      </c>
      <c r="F172" s="7" t="s">
        <v>67</v>
      </c>
      <c r="G172" s="6"/>
      <c r="H172" s="8"/>
      <c r="I172" s="6"/>
      <c r="J172" s="6"/>
      <c r="K172" s="25" t="s">
        <v>621</v>
      </c>
      <c r="L172" t="str">
        <f t="shared" si="4"/>
        <v>VARCHAR(6),</v>
      </c>
      <c r="N172" s="38" t="str">
        <f t="shared" si="5"/>
        <v>COMMENT ON COLUMN bfs_service_summary_device.relative_discount_start_month_3 IS '相対割引開始月3';</v>
      </c>
      <c r="R172" s="34" t="s">
        <v>622</v>
      </c>
    </row>
    <row r="173" spans="1:18" ht="19.5" thickBot="1">
      <c r="A173" s="3"/>
      <c r="B173" s="3">
        <v>167</v>
      </c>
      <c r="C173" s="3" t="s">
        <v>623</v>
      </c>
      <c r="D173" s="3" t="s">
        <v>89</v>
      </c>
      <c r="E173" s="3">
        <v>3</v>
      </c>
      <c r="F173" s="2" t="s">
        <v>67</v>
      </c>
      <c r="G173" s="3"/>
      <c r="H173" s="5"/>
      <c r="I173" s="3"/>
      <c r="J173" s="3"/>
      <c r="K173" s="25" t="s">
        <v>624</v>
      </c>
      <c r="L173" t="str">
        <f t="shared" si="4"/>
        <v>DECIMAL(3),</v>
      </c>
      <c r="N173" s="38" t="str">
        <f t="shared" si="5"/>
        <v>COMMENT ON COLUMN bfs_service_summary_device.relative_period_3 IS '相対期間3';</v>
      </c>
      <c r="R173" s="34" t="s">
        <v>625</v>
      </c>
    </row>
    <row r="174" spans="1:18" ht="19.5" thickBot="1">
      <c r="A174" s="6"/>
      <c r="B174" s="6">
        <v>168</v>
      </c>
      <c r="C174" s="6" t="s">
        <v>626</v>
      </c>
      <c r="D174" s="6" t="s">
        <v>66</v>
      </c>
      <c r="E174" s="6">
        <v>1800</v>
      </c>
      <c r="F174" s="7" t="s">
        <v>67</v>
      </c>
      <c r="G174" s="6"/>
      <c r="H174" s="8"/>
      <c r="I174" s="6"/>
      <c r="J174" s="6"/>
      <c r="K174" s="25" t="s">
        <v>627</v>
      </c>
      <c r="L174" t="str">
        <f t="shared" si="4"/>
        <v>VARCHAR(1800),</v>
      </c>
      <c r="N174" s="38" t="str">
        <f t="shared" si="5"/>
        <v>COMMENT ON COLUMN bfs_service_summary_device.relative_pd_category_4 IS '相対pdカテゴリ4';</v>
      </c>
      <c r="R174" s="34" t="s">
        <v>628</v>
      </c>
    </row>
    <row r="175" spans="1:18" ht="19.5" thickBot="1">
      <c r="A175" s="3"/>
      <c r="B175" s="3">
        <v>169</v>
      </c>
      <c r="C175" s="3" t="s">
        <v>629</v>
      </c>
      <c r="D175" s="3" t="s">
        <v>66</v>
      </c>
      <c r="E175" s="3">
        <v>1800</v>
      </c>
      <c r="F175" s="2" t="s">
        <v>67</v>
      </c>
      <c r="G175" s="3"/>
      <c r="H175" s="5"/>
      <c r="I175" s="3"/>
      <c r="J175" s="3"/>
      <c r="K175" s="25" t="s">
        <v>630</v>
      </c>
      <c r="L175" t="str">
        <f t="shared" si="4"/>
        <v>VARCHAR(1800),</v>
      </c>
      <c r="N175" s="38" t="str">
        <f t="shared" si="5"/>
        <v>COMMENT ON COLUMN bfs_service_summary_device.relative_pd_name_4 IS '相対pd名称4';</v>
      </c>
      <c r="R175" s="34" t="s">
        <v>631</v>
      </c>
    </row>
    <row r="176" spans="1:18" ht="19.5" thickBot="1">
      <c r="A176" s="6"/>
      <c r="B176" s="6">
        <v>170</v>
      </c>
      <c r="C176" s="6" t="s">
        <v>632</v>
      </c>
      <c r="D176" s="6" t="s">
        <v>66</v>
      </c>
      <c r="E176" s="6">
        <v>900</v>
      </c>
      <c r="F176" s="7" t="s">
        <v>67</v>
      </c>
      <c r="G176" s="6"/>
      <c r="H176" s="8"/>
      <c r="I176" s="6"/>
      <c r="J176" s="6"/>
      <c r="K176" s="25" t="s">
        <v>633</v>
      </c>
      <c r="L176" t="str">
        <f t="shared" si="4"/>
        <v>VARCHAR(900),</v>
      </c>
      <c r="N176" s="38" t="str">
        <f t="shared" si="5"/>
        <v>COMMENT ON COLUMN bfs_service_summary_device.relative_discount_method_4 IS '相対割引方法4';</v>
      </c>
      <c r="R176" s="34" t="s">
        <v>634</v>
      </c>
    </row>
    <row r="177" spans="1:18" ht="19.5" thickBot="1">
      <c r="A177" s="3"/>
      <c r="B177" s="3">
        <v>171</v>
      </c>
      <c r="C177" s="3" t="s">
        <v>635</v>
      </c>
      <c r="D177" s="3" t="s">
        <v>66</v>
      </c>
      <c r="E177" s="3">
        <v>60</v>
      </c>
      <c r="F177" s="2" t="s">
        <v>67</v>
      </c>
      <c r="G177" s="3"/>
      <c r="H177" s="5"/>
      <c r="I177" s="3"/>
      <c r="J177" s="3"/>
      <c r="K177" s="25" t="s">
        <v>636</v>
      </c>
      <c r="L177" t="str">
        <f t="shared" si="4"/>
        <v>VARCHAR(60),</v>
      </c>
      <c r="N177" s="38" t="str">
        <f t="shared" si="5"/>
        <v>COMMENT ON COLUMN bfs_service_summary_device.relative_effective_start_date_4 IS '相対有効開始日4';</v>
      </c>
      <c r="R177" s="34" t="s">
        <v>637</v>
      </c>
    </row>
    <row r="178" spans="1:18" ht="19.5" thickBot="1">
      <c r="A178" s="6"/>
      <c r="B178" s="6">
        <v>172</v>
      </c>
      <c r="C178" s="6" t="s">
        <v>638</v>
      </c>
      <c r="D178" s="6" t="s">
        <v>66</v>
      </c>
      <c r="E178" s="6">
        <v>60</v>
      </c>
      <c r="F178" s="7" t="s">
        <v>67</v>
      </c>
      <c r="G178" s="6"/>
      <c r="H178" s="8"/>
      <c r="I178" s="6"/>
      <c r="J178" s="6"/>
      <c r="K178" s="25" t="s">
        <v>639</v>
      </c>
      <c r="L178" t="str">
        <f t="shared" si="4"/>
        <v>VARCHAR(60),</v>
      </c>
      <c r="N178" s="38" t="str">
        <f t="shared" si="5"/>
        <v>COMMENT ON COLUMN bfs_service_summary_device.relative_effective_end_date_4 IS '相対有効終了日4';</v>
      </c>
      <c r="R178" s="34" t="s">
        <v>640</v>
      </c>
    </row>
    <row r="179" spans="1:18" ht="19.5" thickBot="1">
      <c r="A179" s="3"/>
      <c r="B179" s="3">
        <v>173</v>
      </c>
      <c r="C179" s="3" t="s">
        <v>641</v>
      </c>
      <c r="D179" s="3" t="s">
        <v>66</v>
      </c>
      <c r="E179" s="3">
        <v>24</v>
      </c>
      <c r="F179" s="2" t="s">
        <v>67</v>
      </c>
      <c r="G179" s="3"/>
      <c r="H179" s="5"/>
      <c r="I179" s="3"/>
      <c r="J179" s="3"/>
      <c r="K179" s="25" t="s">
        <v>642</v>
      </c>
      <c r="L179" t="str">
        <f t="shared" si="4"/>
        <v>VARCHAR(24),</v>
      </c>
      <c r="N179" s="38" t="str">
        <f t="shared" si="5"/>
        <v>COMMENT ON COLUMN bfs_service_summary_device.relative_invoice_amount_4 IS '相対請求金額4';</v>
      </c>
      <c r="R179" s="34" t="s">
        <v>643</v>
      </c>
    </row>
    <row r="180" spans="1:18" ht="19.5" thickBot="1">
      <c r="A180" s="6"/>
      <c r="B180" s="6">
        <v>174</v>
      </c>
      <c r="C180" s="6" t="s">
        <v>644</v>
      </c>
      <c r="D180" s="6" t="s">
        <v>66</v>
      </c>
      <c r="E180" s="6">
        <v>24</v>
      </c>
      <c r="F180" s="7" t="s">
        <v>67</v>
      </c>
      <c r="G180" s="6"/>
      <c r="H180" s="8"/>
      <c r="I180" s="6"/>
      <c r="J180" s="6"/>
      <c r="K180" s="25" t="s">
        <v>645</v>
      </c>
      <c r="L180" t="str">
        <f t="shared" si="4"/>
        <v>VARCHAR(24),</v>
      </c>
      <c r="N180" s="38" t="str">
        <f t="shared" si="5"/>
        <v>COMMENT ON COLUMN bfs_service_summary_device.relative_discount_amount_4 IS '相対割引金額4';</v>
      </c>
      <c r="R180" s="34" t="s">
        <v>646</v>
      </c>
    </row>
    <row r="181" spans="1:18" ht="19.5" thickBot="1">
      <c r="A181" s="3"/>
      <c r="B181" s="3">
        <v>175</v>
      </c>
      <c r="C181" s="3" t="s">
        <v>647</v>
      </c>
      <c r="D181" s="3" t="s">
        <v>66</v>
      </c>
      <c r="E181" s="3">
        <v>18</v>
      </c>
      <c r="F181" s="2" t="s">
        <v>67</v>
      </c>
      <c r="G181" s="3"/>
      <c r="H181" s="5"/>
      <c r="I181" s="3"/>
      <c r="J181" s="3"/>
      <c r="K181" s="25" t="s">
        <v>648</v>
      </c>
      <c r="L181" t="str">
        <f t="shared" si="4"/>
        <v>VARCHAR(18),</v>
      </c>
      <c r="N181" s="38" t="str">
        <f t="shared" si="5"/>
        <v>COMMENT ON COLUMN bfs_service_summary_device.relative_discount_rate_4 IS '相対割引率4';</v>
      </c>
      <c r="R181" s="34" t="s">
        <v>649</v>
      </c>
    </row>
    <row r="182" spans="1:18" ht="19.5" thickBot="1">
      <c r="A182" s="6"/>
      <c r="B182" s="6">
        <v>176</v>
      </c>
      <c r="C182" s="6" t="s">
        <v>650</v>
      </c>
      <c r="D182" s="6" t="s">
        <v>66</v>
      </c>
      <c r="E182" s="6">
        <v>6</v>
      </c>
      <c r="F182" s="7" t="s">
        <v>67</v>
      </c>
      <c r="G182" s="6"/>
      <c r="H182" s="8"/>
      <c r="I182" s="6"/>
      <c r="J182" s="6"/>
      <c r="K182" s="25" t="s">
        <v>651</v>
      </c>
      <c r="L182" t="str">
        <f t="shared" si="4"/>
        <v>VARCHAR(6),</v>
      </c>
      <c r="N182" s="38" t="str">
        <f t="shared" si="5"/>
        <v>COMMENT ON COLUMN bfs_service_summary_device.relative_discount_start_month_4 IS '相対割引開始月4';</v>
      </c>
      <c r="R182" s="34" t="s">
        <v>652</v>
      </c>
    </row>
    <row r="183" spans="1:18" ht="19.5" thickBot="1">
      <c r="A183" s="3"/>
      <c r="B183" s="3">
        <v>177</v>
      </c>
      <c r="C183" s="3" t="s">
        <v>653</v>
      </c>
      <c r="D183" s="3" t="s">
        <v>89</v>
      </c>
      <c r="E183" s="3">
        <v>3</v>
      </c>
      <c r="F183" s="2" t="s">
        <v>67</v>
      </c>
      <c r="G183" s="3"/>
      <c r="H183" s="5"/>
      <c r="I183" s="3"/>
      <c r="J183" s="3"/>
      <c r="K183" s="25" t="s">
        <v>654</v>
      </c>
      <c r="L183" t="str">
        <f t="shared" si="4"/>
        <v>DECIMAL(3),</v>
      </c>
      <c r="N183" s="38" t="str">
        <f t="shared" si="5"/>
        <v>COMMENT ON COLUMN bfs_service_summary_device.relative_period_4 IS '相対期間4';</v>
      </c>
      <c r="R183" s="34" t="s">
        <v>655</v>
      </c>
    </row>
    <row r="184" spans="1:18" ht="19.5" thickBot="1">
      <c r="A184" s="6"/>
      <c r="B184" s="6">
        <v>178</v>
      </c>
      <c r="C184" s="6" t="s">
        <v>656</v>
      </c>
      <c r="D184" s="6" t="s">
        <v>66</v>
      </c>
      <c r="E184" s="6">
        <v>1800</v>
      </c>
      <c r="F184" s="7" t="s">
        <v>67</v>
      </c>
      <c r="G184" s="6"/>
      <c r="H184" s="8"/>
      <c r="I184" s="6"/>
      <c r="J184" s="6"/>
      <c r="K184" s="25" t="s">
        <v>657</v>
      </c>
      <c r="L184" t="str">
        <f t="shared" si="4"/>
        <v>VARCHAR(1800),</v>
      </c>
      <c r="N184" s="38" t="str">
        <f t="shared" si="5"/>
        <v>COMMENT ON COLUMN bfs_service_summary_device.relative_pd_category_5 IS '相対pdカテゴリ5';</v>
      </c>
      <c r="R184" s="34" t="s">
        <v>658</v>
      </c>
    </row>
    <row r="185" spans="1:18" ht="19.5" thickBot="1">
      <c r="A185" s="3"/>
      <c r="B185" s="3">
        <v>179</v>
      </c>
      <c r="C185" s="3" t="s">
        <v>659</v>
      </c>
      <c r="D185" s="3" t="s">
        <v>66</v>
      </c>
      <c r="E185" s="3">
        <v>1800</v>
      </c>
      <c r="F185" s="2" t="s">
        <v>67</v>
      </c>
      <c r="G185" s="3"/>
      <c r="H185" s="5"/>
      <c r="I185" s="3"/>
      <c r="J185" s="3"/>
      <c r="K185" s="25" t="s">
        <v>660</v>
      </c>
      <c r="L185" t="str">
        <f t="shared" si="4"/>
        <v>VARCHAR(1800),</v>
      </c>
      <c r="N185" s="38" t="str">
        <f t="shared" si="5"/>
        <v>COMMENT ON COLUMN bfs_service_summary_device.relative_pd_name_5 IS '相対pd名称5';</v>
      </c>
      <c r="R185" s="34" t="s">
        <v>661</v>
      </c>
    </row>
    <row r="186" spans="1:18" ht="19.5" thickBot="1">
      <c r="A186" s="6"/>
      <c r="B186" s="6">
        <v>180</v>
      </c>
      <c r="C186" s="6" t="s">
        <v>662</v>
      </c>
      <c r="D186" s="6" t="s">
        <v>66</v>
      </c>
      <c r="E186" s="6">
        <v>900</v>
      </c>
      <c r="F186" s="7" t="s">
        <v>67</v>
      </c>
      <c r="G186" s="6"/>
      <c r="H186" s="8"/>
      <c r="I186" s="6"/>
      <c r="J186" s="6"/>
      <c r="K186" s="25" t="s">
        <v>663</v>
      </c>
      <c r="L186" t="str">
        <f t="shared" si="4"/>
        <v>VARCHAR(900),</v>
      </c>
      <c r="N186" s="38" t="str">
        <f t="shared" si="5"/>
        <v>COMMENT ON COLUMN bfs_service_summary_device.relative_discount_method_5 IS '相対割引方法5';</v>
      </c>
      <c r="R186" s="34" t="s">
        <v>664</v>
      </c>
    </row>
    <row r="187" spans="1:18" ht="19.5" thickBot="1">
      <c r="A187" s="3"/>
      <c r="B187" s="3">
        <v>181</v>
      </c>
      <c r="C187" s="3" t="s">
        <v>665</v>
      </c>
      <c r="D187" s="3" t="s">
        <v>66</v>
      </c>
      <c r="E187" s="3">
        <v>60</v>
      </c>
      <c r="F187" s="2" t="s">
        <v>67</v>
      </c>
      <c r="G187" s="3"/>
      <c r="H187" s="5"/>
      <c r="I187" s="3"/>
      <c r="J187" s="3"/>
      <c r="K187" s="25" t="s">
        <v>666</v>
      </c>
      <c r="L187" t="str">
        <f t="shared" si="4"/>
        <v>VARCHAR(60),</v>
      </c>
      <c r="N187" s="38" t="str">
        <f t="shared" si="5"/>
        <v>COMMENT ON COLUMN bfs_service_summary_device.relative_effective_start_date_5 IS '相対有効開始日5';</v>
      </c>
      <c r="R187" s="34" t="s">
        <v>667</v>
      </c>
    </row>
    <row r="188" spans="1:18" ht="19.5" thickBot="1">
      <c r="A188" s="6"/>
      <c r="B188" s="6">
        <v>182</v>
      </c>
      <c r="C188" s="6" t="s">
        <v>668</v>
      </c>
      <c r="D188" s="6" t="s">
        <v>66</v>
      </c>
      <c r="E188" s="6">
        <v>60</v>
      </c>
      <c r="F188" s="7" t="s">
        <v>67</v>
      </c>
      <c r="G188" s="6"/>
      <c r="H188" s="8"/>
      <c r="I188" s="6"/>
      <c r="J188" s="6"/>
      <c r="K188" s="25" t="s">
        <v>669</v>
      </c>
      <c r="L188" t="str">
        <f t="shared" si="4"/>
        <v>VARCHAR(60),</v>
      </c>
      <c r="N188" s="38" t="str">
        <f t="shared" si="5"/>
        <v>COMMENT ON COLUMN bfs_service_summary_device.relative_effective_end_date_5 IS '相対有効終了日5';</v>
      </c>
      <c r="R188" s="34" t="s">
        <v>670</v>
      </c>
    </row>
    <row r="189" spans="1:18" ht="19.5" thickBot="1">
      <c r="A189" s="3"/>
      <c r="B189" s="3">
        <v>183</v>
      </c>
      <c r="C189" s="3" t="s">
        <v>671</v>
      </c>
      <c r="D189" s="3" t="s">
        <v>66</v>
      </c>
      <c r="E189" s="3">
        <v>24</v>
      </c>
      <c r="F189" s="2" t="s">
        <v>67</v>
      </c>
      <c r="G189" s="3"/>
      <c r="H189" s="5"/>
      <c r="I189" s="3"/>
      <c r="J189" s="3"/>
      <c r="K189" s="25" t="s">
        <v>672</v>
      </c>
      <c r="L189" t="str">
        <f t="shared" si="4"/>
        <v>VARCHAR(24),</v>
      </c>
      <c r="N189" s="38" t="str">
        <f t="shared" si="5"/>
        <v>COMMENT ON COLUMN bfs_service_summary_device.relative_invoice_amount_5 IS '相対請求金額5';</v>
      </c>
      <c r="R189" s="34" t="s">
        <v>673</v>
      </c>
    </row>
    <row r="190" spans="1:18" ht="19.5" thickBot="1">
      <c r="A190" s="6"/>
      <c r="B190" s="6">
        <v>184</v>
      </c>
      <c r="C190" s="6" t="s">
        <v>674</v>
      </c>
      <c r="D190" s="6" t="s">
        <v>66</v>
      </c>
      <c r="E190" s="6">
        <v>24</v>
      </c>
      <c r="F190" s="7" t="s">
        <v>67</v>
      </c>
      <c r="G190" s="6"/>
      <c r="H190" s="8"/>
      <c r="I190" s="6"/>
      <c r="J190" s="6"/>
      <c r="K190" s="25" t="s">
        <v>675</v>
      </c>
      <c r="L190" t="str">
        <f t="shared" si="4"/>
        <v>VARCHAR(24),</v>
      </c>
      <c r="N190" s="38" t="str">
        <f t="shared" si="5"/>
        <v>COMMENT ON COLUMN bfs_service_summary_device.relative_discount_amount_5 IS '相対割引金額5';</v>
      </c>
      <c r="R190" s="34" t="s">
        <v>676</v>
      </c>
    </row>
    <row r="191" spans="1:18" ht="19.5" thickBot="1">
      <c r="A191" s="3"/>
      <c r="B191" s="3">
        <v>185</v>
      </c>
      <c r="C191" s="3" t="s">
        <v>677</v>
      </c>
      <c r="D191" s="3" t="s">
        <v>66</v>
      </c>
      <c r="E191" s="3">
        <v>18</v>
      </c>
      <c r="F191" s="2" t="s">
        <v>67</v>
      </c>
      <c r="G191" s="3"/>
      <c r="H191" s="5"/>
      <c r="I191" s="3"/>
      <c r="J191" s="3"/>
      <c r="K191" s="25" t="s">
        <v>678</v>
      </c>
      <c r="L191" t="str">
        <f t="shared" si="4"/>
        <v>VARCHAR(18),</v>
      </c>
      <c r="N191" s="38" t="str">
        <f t="shared" si="5"/>
        <v>COMMENT ON COLUMN bfs_service_summary_device.relative_discount_rate_5 IS '相対割引率5';</v>
      </c>
      <c r="R191" s="34" t="s">
        <v>679</v>
      </c>
    </row>
    <row r="192" spans="1:18" ht="19.5" thickBot="1">
      <c r="A192" s="6"/>
      <c r="B192" s="6">
        <v>186</v>
      </c>
      <c r="C192" s="6" t="s">
        <v>680</v>
      </c>
      <c r="D192" s="6" t="s">
        <v>66</v>
      </c>
      <c r="E192" s="6">
        <v>6</v>
      </c>
      <c r="F192" s="7" t="s">
        <v>67</v>
      </c>
      <c r="G192" s="6"/>
      <c r="H192" s="8"/>
      <c r="I192" s="6"/>
      <c r="J192" s="6"/>
      <c r="K192" s="25" t="s">
        <v>681</v>
      </c>
      <c r="L192" t="str">
        <f t="shared" si="4"/>
        <v>VARCHAR(6),</v>
      </c>
      <c r="N192" s="38" t="str">
        <f t="shared" si="5"/>
        <v>COMMENT ON COLUMN bfs_service_summary_device.relative_discount_start_month_5 IS '相対割引開始月5';</v>
      </c>
      <c r="R192" s="34" t="s">
        <v>682</v>
      </c>
    </row>
    <row r="193" spans="1:18" ht="19.5" thickBot="1">
      <c r="A193" s="3"/>
      <c r="B193" s="3">
        <v>187</v>
      </c>
      <c r="C193" s="3" t="s">
        <v>683</v>
      </c>
      <c r="D193" s="3" t="s">
        <v>89</v>
      </c>
      <c r="E193" s="3">
        <v>3</v>
      </c>
      <c r="F193" s="2" t="s">
        <v>67</v>
      </c>
      <c r="G193" s="3"/>
      <c r="H193" s="5"/>
      <c r="I193" s="3"/>
      <c r="J193" s="3"/>
      <c r="K193" s="25" t="s">
        <v>684</v>
      </c>
      <c r="L193" t="str">
        <f t="shared" si="4"/>
        <v>DECIMAL(3),</v>
      </c>
      <c r="N193" s="38" t="str">
        <f t="shared" si="5"/>
        <v>COMMENT ON COLUMN bfs_service_summary_device.relative_period_5 IS '相対期間5';</v>
      </c>
      <c r="R193" s="34" t="s">
        <v>685</v>
      </c>
    </row>
    <row r="194" spans="1:18" ht="19.5" thickBot="1">
      <c r="A194" s="6"/>
      <c r="B194" s="6">
        <v>188</v>
      </c>
      <c r="C194" s="6" t="s">
        <v>686</v>
      </c>
      <c r="D194" s="6" t="s">
        <v>66</v>
      </c>
      <c r="E194" s="6">
        <v>1800</v>
      </c>
      <c r="F194" s="7" t="s">
        <v>67</v>
      </c>
      <c r="G194" s="6"/>
      <c r="H194" s="8"/>
      <c r="I194" s="6"/>
      <c r="J194" s="6"/>
      <c r="K194" s="25" t="s">
        <v>687</v>
      </c>
      <c r="L194" t="str">
        <f t="shared" si="4"/>
        <v>VARCHAR(1800),</v>
      </c>
      <c r="N194" s="38" t="str">
        <f t="shared" si="5"/>
        <v>COMMENT ON COLUMN bfs_service_summary_device.relative_pd_category_6 IS '相対pdカテゴリ6';</v>
      </c>
      <c r="R194" s="34" t="s">
        <v>688</v>
      </c>
    </row>
    <row r="195" spans="1:18" ht="19.5" thickBot="1">
      <c r="A195" s="3"/>
      <c r="B195" s="3">
        <v>189</v>
      </c>
      <c r="C195" s="3" t="s">
        <v>689</v>
      </c>
      <c r="D195" s="3" t="s">
        <v>66</v>
      </c>
      <c r="E195" s="3">
        <v>1800</v>
      </c>
      <c r="F195" s="2" t="s">
        <v>67</v>
      </c>
      <c r="G195" s="3"/>
      <c r="H195" s="5"/>
      <c r="I195" s="3"/>
      <c r="J195" s="3"/>
      <c r="K195" s="25" t="s">
        <v>690</v>
      </c>
      <c r="L195" t="str">
        <f t="shared" si="4"/>
        <v>VARCHAR(1800),</v>
      </c>
      <c r="N195" s="38" t="str">
        <f t="shared" si="5"/>
        <v>COMMENT ON COLUMN bfs_service_summary_device.relative_pd_name_6 IS '相対pd名称6';</v>
      </c>
      <c r="R195" s="34" t="s">
        <v>691</v>
      </c>
    </row>
    <row r="196" spans="1:18" ht="19.5" thickBot="1">
      <c r="A196" s="6"/>
      <c r="B196" s="6">
        <v>190</v>
      </c>
      <c r="C196" s="6" t="s">
        <v>692</v>
      </c>
      <c r="D196" s="6" t="s">
        <v>66</v>
      </c>
      <c r="E196" s="6">
        <v>900</v>
      </c>
      <c r="F196" s="7" t="s">
        <v>67</v>
      </c>
      <c r="G196" s="6"/>
      <c r="H196" s="8"/>
      <c r="I196" s="6"/>
      <c r="J196" s="6"/>
      <c r="K196" s="25" t="s">
        <v>693</v>
      </c>
      <c r="L196" t="str">
        <f t="shared" si="4"/>
        <v>VARCHAR(900),</v>
      </c>
      <c r="N196" s="38" t="str">
        <f t="shared" si="5"/>
        <v>COMMENT ON COLUMN bfs_service_summary_device.relative_discount_method_6 IS '相対割引方法6';</v>
      </c>
      <c r="R196" s="34" t="s">
        <v>694</v>
      </c>
    </row>
    <row r="197" spans="1:18" ht="19.5" thickBot="1">
      <c r="A197" s="3"/>
      <c r="B197" s="3">
        <v>191</v>
      </c>
      <c r="C197" s="3" t="s">
        <v>695</v>
      </c>
      <c r="D197" s="3" t="s">
        <v>66</v>
      </c>
      <c r="E197" s="3">
        <v>60</v>
      </c>
      <c r="F197" s="2" t="s">
        <v>67</v>
      </c>
      <c r="G197" s="3"/>
      <c r="H197" s="5"/>
      <c r="I197" s="3"/>
      <c r="J197" s="3"/>
      <c r="K197" s="25" t="s">
        <v>696</v>
      </c>
      <c r="L197" t="str">
        <f t="shared" si="4"/>
        <v>VARCHAR(60),</v>
      </c>
      <c r="N197" s="38" t="str">
        <f t="shared" si="5"/>
        <v>COMMENT ON COLUMN bfs_service_summary_device.relative_effective_start_date_6 IS '相対有効開始日6';</v>
      </c>
      <c r="R197" s="34" t="s">
        <v>697</v>
      </c>
    </row>
    <row r="198" spans="1:18" ht="19.5" thickBot="1">
      <c r="A198" s="6"/>
      <c r="B198" s="6">
        <v>192</v>
      </c>
      <c r="C198" s="6" t="s">
        <v>698</v>
      </c>
      <c r="D198" s="6" t="s">
        <v>66</v>
      </c>
      <c r="E198" s="6">
        <v>60</v>
      </c>
      <c r="F198" s="7" t="s">
        <v>67</v>
      </c>
      <c r="G198" s="6"/>
      <c r="H198" s="8"/>
      <c r="I198" s="6"/>
      <c r="J198" s="6"/>
      <c r="K198" s="25" t="s">
        <v>699</v>
      </c>
      <c r="L198" t="str">
        <f t="shared" si="4"/>
        <v>VARCHAR(60),</v>
      </c>
      <c r="N198" s="38" t="str">
        <f t="shared" si="5"/>
        <v>COMMENT ON COLUMN bfs_service_summary_device.relative_effective_end_date_6 IS '相対有効終了日6';</v>
      </c>
      <c r="R198" s="34" t="s">
        <v>700</v>
      </c>
    </row>
    <row r="199" spans="1:18" ht="19.5" thickBot="1">
      <c r="A199" s="3"/>
      <c r="B199" s="3">
        <v>193</v>
      </c>
      <c r="C199" s="3" t="s">
        <v>701</v>
      </c>
      <c r="D199" s="3" t="s">
        <v>66</v>
      </c>
      <c r="E199" s="3">
        <v>24</v>
      </c>
      <c r="F199" s="2" t="s">
        <v>67</v>
      </c>
      <c r="G199" s="3"/>
      <c r="H199" s="5"/>
      <c r="I199" s="3"/>
      <c r="J199" s="3"/>
      <c r="K199" s="25" t="s">
        <v>702</v>
      </c>
      <c r="L199" t="str">
        <f t="shared" si="4"/>
        <v>VARCHAR(24),</v>
      </c>
      <c r="N199" s="38" t="str">
        <f t="shared" si="5"/>
        <v>COMMENT ON COLUMN bfs_service_summary_device.relative_invoice_amount_6 IS '相対請求金額6';</v>
      </c>
      <c r="R199" s="34" t="s">
        <v>703</v>
      </c>
    </row>
    <row r="200" spans="1:18" ht="19.5" thickBot="1">
      <c r="A200" s="6"/>
      <c r="B200" s="6">
        <v>194</v>
      </c>
      <c r="C200" s="6" t="s">
        <v>704</v>
      </c>
      <c r="D200" s="6" t="s">
        <v>66</v>
      </c>
      <c r="E200" s="6">
        <v>24</v>
      </c>
      <c r="F200" s="7" t="s">
        <v>67</v>
      </c>
      <c r="G200" s="6"/>
      <c r="H200" s="8"/>
      <c r="I200" s="6"/>
      <c r="J200" s="6"/>
      <c r="K200" s="25" t="s">
        <v>705</v>
      </c>
      <c r="L200" t="str">
        <f t="shared" ref="L200:L263" si="6">D200&amp;"("&amp;E200&amp;"),"</f>
        <v>VARCHAR(24),</v>
      </c>
      <c r="N200" s="38" t="str">
        <f t="shared" ref="N200:N263" si="7">"COMMENT ON COLUMN "&amp;$H$3&amp;"."&amp;$K200&amp;" IS '"&amp;C200&amp;"';"</f>
        <v>COMMENT ON COLUMN bfs_service_summary_device.relative_discount_amount_6 IS '相対割引金額6';</v>
      </c>
      <c r="R200" s="34" t="s">
        <v>706</v>
      </c>
    </row>
    <row r="201" spans="1:18" ht="19.5" thickBot="1">
      <c r="A201" s="3"/>
      <c r="B201" s="3">
        <v>195</v>
      </c>
      <c r="C201" s="3" t="s">
        <v>707</v>
      </c>
      <c r="D201" s="3" t="s">
        <v>66</v>
      </c>
      <c r="E201" s="3">
        <v>18</v>
      </c>
      <c r="F201" s="2" t="s">
        <v>67</v>
      </c>
      <c r="G201" s="3"/>
      <c r="H201" s="5"/>
      <c r="I201" s="3"/>
      <c r="J201" s="3"/>
      <c r="K201" s="25" t="s">
        <v>708</v>
      </c>
      <c r="L201" t="str">
        <f t="shared" si="6"/>
        <v>VARCHAR(18),</v>
      </c>
      <c r="N201" s="38" t="str">
        <f t="shared" si="7"/>
        <v>COMMENT ON COLUMN bfs_service_summary_device.relative_discount_rate_6 IS '相対割引率6';</v>
      </c>
      <c r="R201" s="34" t="s">
        <v>709</v>
      </c>
    </row>
    <row r="202" spans="1:18" ht="19.5" thickBot="1">
      <c r="A202" s="6"/>
      <c r="B202" s="6">
        <v>196</v>
      </c>
      <c r="C202" s="6" t="s">
        <v>710</v>
      </c>
      <c r="D202" s="6" t="s">
        <v>66</v>
      </c>
      <c r="E202" s="6">
        <v>6</v>
      </c>
      <c r="F202" s="7" t="s">
        <v>67</v>
      </c>
      <c r="G202" s="6"/>
      <c r="H202" s="8"/>
      <c r="I202" s="6"/>
      <c r="J202" s="6"/>
      <c r="K202" s="25" t="s">
        <v>711</v>
      </c>
      <c r="L202" t="str">
        <f t="shared" si="6"/>
        <v>VARCHAR(6),</v>
      </c>
      <c r="N202" s="38" t="str">
        <f t="shared" si="7"/>
        <v>COMMENT ON COLUMN bfs_service_summary_device.relative_discount_start_month_6 IS '相対割引開始月6';</v>
      </c>
      <c r="R202" s="34" t="s">
        <v>712</v>
      </c>
    </row>
    <row r="203" spans="1:18" ht="19.5" thickBot="1">
      <c r="A203" s="3"/>
      <c r="B203" s="3">
        <v>197</v>
      </c>
      <c r="C203" s="3" t="s">
        <v>713</v>
      </c>
      <c r="D203" s="3" t="s">
        <v>89</v>
      </c>
      <c r="E203" s="3">
        <v>3</v>
      </c>
      <c r="F203" s="2" t="s">
        <v>67</v>
      </c>
      <c r="G203" s="3"/>
      <c r="H203" s="5"/>
      <c r="I203" s="3"/>
      <c r="J203" s="3"/>
      <c r="K203" s="25" t="s">
        <v>714</v>
      </c>
      <c r="L203" t="str">
        <f t="shared" si="6"/>
        <v>DECIMAL(3),</v>
      </c>
      <c r="N203" s="38" t="str">
        <f t="shared" si="7"/>
        <v>COMMENT ON COLUMN bfs_service_summary_device.relative_period_6 IS '相対期間6';</v>
      </c>
      <c r="R203" s="34" t="s">
        <v>715</v>
      </c>
    </row>
    <row r="204" spans="1:18" ht="19.5" thickBot="1">
      <c r="A204" s="6"/>
      <c r="B204" s="6">
        <v>198</v>
      </c>
      <c r="C204" s="6" t="s">
        <v>716</v>
      </c>
      <c r="D204" s="6" t="s">
        <v>66</v>
      </c>
      <c r="E204" s="6">
        <v>1800</v>
      </c>
      <c r="F204" s="7" t="s">
        <v>67</v>
      </c>
      <c r="G204" s="6"/>
      <c r="H204" s="8"/>
      <c r="I204" s="6"/>
      <c r="J204" s="6"/>
      <c r="K204" s="25" t="s">
        <v>717</v>
      </c>
      <c r="L204" t="str">
        <f t="shared" si="6"/>
        <v>VARCHAR(1800),</v>
      </c>
      <c r="N204" s="38" t="str">
        <f t="shared" si="7"/>
        <v>COMMENT ON COLUMN bfs_service_summary_device.relative_pd_category_7 IS '相対pdカテゴリ7';</v>
      </c>
      <c r="R204" s="34" t="s">
        <v>718</v>
      </c>
    </row>
    <row r="205" spans="1:18" ht="19.5" thickBot="1">
      <c r="A205" s="3"/>
      <c r="B205" s="3">
        <v>199</v>
      </c>
      <c r="C205" s="3" t="s">
        <v>719</v>
      </c>
      <c r="D205" s="3" t="s">
        <v>66</v>
      </c>
      <c r="E205" s="3">
        <v>1800</v>
      </c>
      <c r="F205" s="2" t="s">
        <v>67</v>
      </c>
      <c r="G205" s="3"/>
      <c r="H205" s="5"/>
      <c r="I205" s="3"/>
      <c r="J205" s="3"/>
      <c r="K205" s="25" t="s">
        <v>720</v>
      </c>
      <c r="L205" t="str">
        <f t="shared" si="6"/>
        <v>VARCHAR(1800),</v>
      </c>
      <c r="N205" s="38" t="str">
        <f t="shared" si="7"/>
        <v>COMMENT ON COLUMN bfs_service_summary_device.relative_pd_name_7 IS '相対pd名称7';</v>
      </c>
      <c r="R205" s="34" t="s">
        <v>721</v>
      </c>
    </row>
    <row r="206" spans="1:18" ht="19.5" thickBot="1">
      <c r="A206" s="6"/>
      <c r="B206" s="6">
        <v>200</v>
      </c>
      <c r="C206" s="6" t="s">
        <v>722</v>
      </c>
      <c r="D206" s="6" t="s">
        <v>66</v>
      </c>
      <c r="E206" s="6">
        <v>900</v>
      </c>
      <c r="F206" s="7" t="s">
        <v>67</v>
      </c>
      <c r="G206" s="6"/>
      <c r="H206" s="8"/>
      <c r="I206" s="6"/>
      <c r="J206" s="6"/>
      <c r="K206" s="25" t="s">
        <v>723</v>
      </c>
      <c r="L206" t="str">
        <f t="shared" si="6"/>
        <v>VARCHAR(900),</v>
      </c>
      <c r="N206" s="38" t="str">
        <f t="shared" si="7"/>
        <v>COMMENT ON COLUMN bfs_service_summary_device.relative_discount_method_7 IS '相対割引方法7';</v>
      </c>
      <c r="R206" s="34" t="s">
        <v>724</v>
      </c>
    </row>
    <row r="207" spans="1:18" ht="19.5" thickBot="1">
      <c r="A207" s="3"/>
      <c r="B207" s="3">
        <v>201</v>
      </c>
      <c r="C207" s="3" t="s">
        <v>725</v>
      </c>
      <c r="D207" s="3" t="s">
        <v>66</v>
      </c>
      <c r="E207" s="3">
        <v>60</v>
      </c>
      <c r="F207" s="2" t="s">
        <v>67</v>
      </c>
      <c r="G207" s="3"/>
      <c r="H207" s="5"/>
      <c r="I207" s="3"/>
      <c r="J207" s="3"/>
      <c r="K207" s="25" t="s">
        <v>726</v>
      </c>
      <c r="L207" t="str">
        <f t="shared" si="6"/>
        <v>VARCHAR(60),</v>
      </c>
      <c r="N207" s="38" t="str">
        <f t="shared" si="7"/>
        <v>COMMENT ON COLUMN bfs_service_summary_device.relative_effective_start_date_7 IS '相対有効開始日7';</v>
      </c>
      <c r="R207" s="34" t="s">
        <v>727</v>
      </c>
    </row>
    <row r="208" spans="1:18" ht="19.5" thickBot="1">
      <c r="A208" s="6"/>
      <c r="B208" s="6">
        <v>202</v>
      </c>
      <c r="C208" s="6" t="s">
        <v>728</v>
      </c>
      <c r="D208" s="6" t="s">
        <v>66</v>
      </c>
      <c r="E208" s="6">
        <v>60</v>
      </c>
      <c r="F208" s="7" t="s">
        <v>67</v>
      </c>
      <c r="G208" s="6"/>
      <c r="H208" s="8"/>
      <c r="I208" s="6"/>
      <c r="J208" s="6"/>
      <c r="K208" s="25" t="s">
        <v>729</v>
      </c>
      <c r="L208" t="str">
        <f t="shared" si="6"/>
        <v>VARCHAR(60),</v>
      </c>
      <c r="N208" s="38" t="str">
        <f t="shared" si="7"/>
        <v>COMMENT ON COLUMN bfs_service_summary_device.relative_effective_end_date_7 IS '相対有効終了日7';</v>
      </c>
      <c r="R208" s="34" t="s">
        <v>730</v>
      </c>
    </row>
    <row r="209" spans="1:18" ht="19.5" thickBot="1">
      <c r="A209" s="3"/>
      <c r="B209" s="3">
        <v>203</v>
      </c>
      <c r="C209" s="3" t="s">
        <v>731</v>
      </c>
      <c r="D209" s="3" t="s">
        <v>66</v>
      </c>
      <c r="E209" s="3">
        <v>24</v>
      </c>
      <c r="F209" s="2" t="s">
        <v>67</v>
      </c>
      <c r="G209" s="3"/>
      <c r="H209" s="5"/>
      <c r="I209" s="3"/>
      <c r="J209" s="3"/>
      <c r="K209" s="25" t="s">
        <v>732</v>
      </c>
      <c r="L209" t="str">
        <f t="shared" si="6"/>
        <v>VARCHAR(24),</v>
      </c>
      <c r="N209" s="38" t="str">
        <f t="shared" si="7"/>
        <v>COMMENT ON COLUMN bfs_service_summary_device.relative_invoice_amount_7 IS '相対請求金額7';</v>
      </c>
      <c r="R209" s="34" t="s">
        <v>733</v>
      </c>
    </row>
    <row r="210" spans="1:18" ht="19.5" thickBot="1">
      <c r="A210" s="6"/>
      <c r="B210" s="6">
        <v>204</v>
      </c>
      <c r="C210" s="6" t="s">
        <v>734</v>
      </c>
      <c r="D210" s="6" t="s">
        <v>66</v>
      </c>
      <c r="E210" s="6">
        <v>24</v>
      </c>
      <c r="F210" s="7" t="s">
        <v>67</v>
      </c>
      <c r="G210" s="6"/>
      <c r="H210" s="8"/>
      <c r="I210" s="6"/>
      <c r="J210" s="6"/>
      <c r="K210" s="25" t="s">
        <v>735</v>
      </c>
      <c r="L210" t="str">
        <f t="shared" si="6"/>
        <v>VARCHAR(24),</v>
      </c>
      <c r="N210" s="38" t="str">
        <f t="shared" si="7"/>
        <v>COMMENT ON COLUMN bfs_service_summary_device.relative_discount_amount_7 IS '相対割引金額7';</v>
      </c>
      <c r="R210" s="34" t="s">
        <v>736</v>
      </c>
    </row>
    <row r="211" spans="1:18" ht="19.5" thickBot="1">
      <c r="A211" s="3"/>
      <c r="B211" s="3">
        <v>205</v>
      </c>
      <c r="C211" s="3" t="s">
        <v>737</v>
      </c>
      <c r="D211" s="3" t="s">
        <v>66</v>
      </c>
      <c r="E211" s="3">
        <v>18</v>
      </c>
      <c r="F211" s="2" t="s">
        <v>67</v>
      </c>
      <c r="G211" s="3"/>
      <c r="H211" s="5"/>
      <c r="I211" s="3"/>
      <c r="J211" s="3"/>
      <c r="K211" s="25" t="s">
        <v>738</v>
      </c>
      <c r="L211" t="str">
        <f t="shared" si="6"/>
        <v>VARCHAR(18),</v>
      </c>
      <c r="N211" s="38" t="str">
        <f t="shared" si="7"/>
        <v>COMMENT ON COLUMN bfs_service_summary_device.relative_discount_rate_7 IS '相対割引率7';</v>
      </c>
      <c r="R211" s="34" t="s">
        <v>739</v>
      </c>
    </row>
    <row r="212" spans="1:18" ht="19.5" thickBot="1">
      <c r="A212" s="6"/>
      <c r="B212" s="6">
        <v>206</v>
      </c>
      <c r="C212" s="6" t="s">
        <v>740</v>
      </c>
      <c r="D212" s="6" t="s">
        <v>66</v>
      </c>
      <c r="E212" s="6">
        <v>6</v>
      </c>
      <c r="F212" s="7" t="s">
        <v>67</v>
      </c>
      <c r="G212" s="6"/>
      <c r="H212" s="8"/>
      <c r="I212" s="6"/>
      <c r="J212" s="6"/>
      <c r="K212" s="25" t="s">
        <v>741</v>
      </c>
      <c r="L212" t="str">
        <f t="shared" si="6"/>
        <v>VARCHAR(6),</v>
      </c>
      <c r="N212" s="38" t="str">
        <f t="shared" si="7"/>
        <v>COMMENT ON COLUMN bfs_service_summary_device.relative_discount_start_month_7 IS '相対割引開始月7';</v>
      </c>
      <c r="R212" s="34" t="s">
        <v>742</v>
      </c>
    </row>
    <row r="213" spans="1:18" ht="19.5" thickBot="1">
      <c r="A213" s="3"/>
      <c r="B213" s="3">
        <v>207</v>
      </c>
      <c r="C213" s="3" t="s">
        <v>743</v>
      </c>
      <c r="D213" s="3" t="s">
        <v>89</v>
      </c>
      <c r="E213" s="3">
        <v>3</v>
      </c>
      <c r="F213" s="2" t="s">
        <v>67</v>
      </c>
      <c r="G213" s="3"/>
      <c r="H213" s="5"/>
      <c r="I213" s="3"/>
      <c r="J213" s="3"/>
      <c r="K213" s="25" t="s">
        <v>744</v>
      </c>
      <c r="L213" t="str">
        <f t="shared" si="6"/>
        <v>DECIMAL(3),</v>
      </c>
      <c r="N213" s="38" t="str">
        <f t="shared" si="7"/>
        <v>COMMENT ON COLUMN bfs_service_summary_device.relative_period_7 IS '相対期間7';</v>
      </c>
      <c r="R213" s="34" t="s">
        <v>745</v>
      </c>
    </row>
    <row r="214" spans="1:18" ht="19.5" thickBot="1">
      <c r="A214" s="6"/>
      <c r="B214" s="6">
        <v>208</v>
      </c>
      <c r="C214" s="6" t="s">
        <v>746</v>
      </c>
      <c r="D214" s="6" t="s">
        <v>66</v>
      </c>
      <c r="E214" s="6">
        <v>1800</v>
      </c>
      <c r="F214" s="7" t="s">
        <v>67</v>
      </c>
      <c r="G214" s="6"/>
      <c r="H214" s="8"/>
      <c r="I214" s="6"/>
      <c r="J214" s="6"/>
      <c r="K214" s="25" t="s">
        <v>747</v>
      </c>
      <c r="L214" t="str">
        <f t="shared" si="6"/>
        <v>VARCHAR(1800),</v>
      </c>
      <c r="N214" s="38" t="str">
        <f t="shared" si="7"/>
        <v>COMMENT ON COLUMN bfs_service_summary_device.relative_pd_category_8 IS '相対pdカテゴリ8';</v>
      </c>
      <c r="R214" s="34" t="s">
        <v>748</v>
      </c>
    </row>
    <row r="215" spans="1:18" ht="19.5" thickBot="1">
      <c r="A215" s="3"/>
      <c r="B215" s="3">
        <v>209</v>
      </c>
      <c r="C215" s="3" t="s">
        <v>749</v>
      </c>
      <c r="D215" s="3" t="s">
        <v>66</v>
      </c>
      <c r="E215" s="3">
        <v>1800</v>
      </c>
      <c r="F215" s="2" t="s">
        <v>67</v>
      </c>
      <c r="G215" s="3"/>
      <c r="H215" s="5"/>
      <c r="I215" s="3"/>
      <c r="J215" s="3"/>
      <c r="K215" s="25" t="s">
        <v>750</v>
      </c>
      <c r="L215" t="str">
        <f t="shared" si="6"/>
        <v>VARCHAR(1800),</v>
      </c>
      <c r="N215" s="38" t="str">
        <f t="shared" si="7"/>
        <v>COMMENT ON COLUMN bfs_service_summary_device.relative_pd_name_8 IS '相対pd名称8';</v>
      </c>
      <c r="R215" s="34" t="s">
        <v>751</v>
      </c>
    </row>
    <row r="216" spans="1:18" ht="19.5" thickBot="1">
      <c r="A216" s="6"/>
      <c r="B216" s="6">
        <v>210</v>
      </c>
      <c r="C216" s="6" t="s">
        <v>752</v>
      </c>
      <c r="D216" s="6" t="s">
        <v>66</v>
      </c>
      <c r="E216" s="6">
        <v>900</v>
      </c>
      <c r="F216" s="7" t="s">
        <v>67</v>
      </c>
      <c r="G216" s="6"/>
      <c r="H216" s="8"/>
      <c r="I216" s="6"/>
      <c r="J216" s="6"/>
      <c r="K216" s="25" t="s">
        <v>753</v>
      </c>
      <c r="L216" t="str">
        <f t="shared" si="6"/>
        <v>VARCHAR(900),</v>
      </c>
      <c r="N216" s="38" t="str">
        <f t="shared" si="7"/>
        <v>COMMENT ON COLUMN bfs_service_summary_device.relative_discount_method_8 IS '相対割引方法8';</v>
      </c>
      <c r="R216" s="34" t="s">
        <v>754</v>
      </c>
    </row>
    <row r="217" spans="1:18" ht="19.5" thickBot="1">
      <c r="A217" s="3"/>
      <c r="B217" s="3">
        <v>211</v>
      </c>
      <c r="C217" s="3" t="s">
        <v>755</v>
      </c>
      <c r="D217" s="3" t="s">
        <v>66</v>
      </c>
      <c r="E217" s="3">
        <v>60</v>
      </c>
      <c r="F217" s="2" t="s">
        <v>67</v>
      </c>
      <c r="G217" s="3"/>
      <c r="H217" s="5"/>
      <c r="I217" s="3"/>
      <c r="J217" s="3"/>
      <c r="K217" s="25" t="s">
        <v>756</v>
      </c>
      <c r="L217" t="str">
        <f t="shared" si="6"/>
        <v>VARCHAR(60),</v>
      </c>
      <c r="N217" s="38" t="str">
        <f t="shared" si="7"/>
        <v>COMMENT ON COLUMN bfs_service_summary_device.relative_effective_start_date_8 IS '相対有効開始日8';</v>
      </c>
      <c r="R217" s="34" t="s">
        <v>757</v>
      </c>
    </row>
    <row r="218" spans="1:18" ht="19.5" thickBot="1">
      <c r="A218" s="6"/>
      <c r="B218" s="6">
        <v>212</v>
      </c>
      <c r="C218" s="6" t="s">
        <v>758</v>
      </c>
      <c r="D218" s="6" t="s">
        <v>66</v>
      </c>
      <c r="E218" s="6">
        <v>60</v>
      </c>
      <c r="F218" s="7" t="s">
        <v>67</v>
      </c>
      <c r="G218" s="6"/>
      <c r="H218" s="8"/>
      <c r="I218" s="6"/>
      <c r="J218" s="6"/>
      <c r="K218" s="25" t="s">
        <v>759</v>
      </c>
      <c r="L218" t="str">
        <f t="shared" si="6"/>
        <v>VARCHAR(60),</v>
      </c>
      <c r="N218" s="38" t="str">
        <f t="shared" si="7"/>
        <v>COMMENT ON COLUMN bfs_service_summary_device.relative_effective_end_date_8 IS '相対有効終了日8';</v>
      </c>
      <c r="R218" s="34" t="s">
        <v>760</v>
      </c>
    </row>
    <row r="219" spans="1:18" ht="19.5" thickBot="1">
      <c r="A219" s="3"/>
      <c r="B219" s="3">
        <v>213</v>
      </c>
      <c r="C219" s="3" t="s">
        <v>761</v>
      </c>
      <c r="D219" s="3" t="s">
        <v>66</v>
      </c>
      <c r="E219" s="3">
        <v>24</v>
      </c>
      <c r="F219" s="2" t="s">
        <v>67</v>
      </c>
      <c r="G219" s="3"/>
      <c r="H219" s="5"/>
      <c r="I219" s="3"/>
      <c r="J219" s="3"/>
      <c r="K219" s="25" t="s">
        <v>762</v>
      </c>
      <c r="L219" t="str">
        <f t="shared" si="6"/>
        <v>VARCHAR(24),</v>
      </c>
      <c r="N219" s="38" t="str">
        <f t="shared" si="7"/>
        <v>COMMENT ON COLUMN bfs_service_summary_device.relative_invoice_amount_8 IS '相対請求金額8';</v>
      </c>
      <c r="R219" s="34" t="s">
        <v>763</v>
      </c>
    </row>
    <row r="220" spans="1:18" ht="19.5" thickBot="1">
      <c r="A220" s="6"/>
      <c r="B220" s="6">
        <v>214</v>
      </c>
      <c r="C220" s="6" t="s">
        <v>764</v>
      </c>
      <c r="D220" s="6" t="s">
        <v>66</v>
      </c>
      <c r="E220" s="6">
        <v>24</v>
      </c>
      <c r="F220" s="7" t="s">
        <v>67</v>
      </c>
      <c r="G220" s="6"/>
      <c r="H220" s="8"/>
      <c r="I220" s="6"/>
      <c r="J220" s="6"/>
      <c r="K220" s="25" t="s">
        <v>765</v>
      </c>
      <c r="L220" t="str">
        <f t="shared" si="6"/>
        <v>VARCHAR(24),</v>
      </c>
      <c r="N220" s="38" t="str">
        <f t="shared" si="7"/>
        <v>COMMENT ON COLUMN bfs_service_summary_device.relative_discount_amount_8 IS '相対割引金額8';</v>
      </c>
      <c r="R220" s="34" t="s">
        <v>766</v>
      </c>
    </row>
    <row r="221" spans="1:18" ht="19.5" thickBot="1">
      <c r="A221" s="3"/>
      <c r="B221" s="3">
        <v>215</v>
      </c>
      <c r="C221" s="3" t="s">
        <v>767</v>
      </c>
      <c r="D221" s="3" t="s">
        <v>66</v>
      </c>
      <c r="E221" s="3">
        <v>18</v>
      </c>
      <c r="F221" s="2" t="s">
        <v>67</v>
      </c>
      <c r="G221" s="3"/>
      <c r="H221" s="5"/>
      <c r="I221" s="3"/>
      <c r="J221" s="3"/>
      <c r="K221" s="25" t="s">
        <v>768</v>
      </c>
      <c r="L221" t="str">
        <f t="shared" si="6"/>
        <v>VARCHAR(18),</v>
      </c>
      <c r="N221" s="38" t="str">
        <f t="shared" si="7"/>
        <v>COMMENT ON COLUMN bfs_service_summary_device.relative_discount_rate_8 IS '相対割引率8';</v>
      </c>
      <c r="R221" s="34" t="s">
        <v>769</v>
      </c>
    </row>
    <row r="222" spans="1:18" ht="19.5" thickBot="1">
      <c r="A222" s="6"/>
      <c r="B222" s="6">
        <v>216</v>
      </c>
      <c r="C222" s="6" t="s">
        <v>770</v>
      </c>
      <c r="D222" s="6" t="s">
        <v>66</v>
      </c>
      <c r="E222" s="6">
        <v>6</v>
      </c>
      <c r="F222" s="7" t="s">
        <v>67</v>
      </c>
      <c r="G222" s="6"/>
      <c r="H222" s="8"/>
      <c r="I222" s="6"/>
      <c r="J222" s="6"/>
      <c r="K222" s="25" t="s">
        <v>771</v>
      </c>
      <c r="L222" t="str">
        <f t="shared" si="6"/>
        <v>VARCHAR(6),</v>
      </c>
      <c r="N222" s="38" t="str">
        <f t="shared" si="7"/>
        <v>COMMENT ON COLUMN bfs_service_summary_device.relative_discount_start_month_8 IS '相対割引開始月8';</v>
      </c>
      <c r="R222" s="34" t="s">
        <v>772</v>
      </c>
    </row>
    <row r="223" spans="1:18" ht="19.5" thickBot="1">
      <c r="A223" s="3"/>
      <c r="B223" s="3">
        <v>217</v>
      </c>
      <c r="C223" s="3" t="s">
        <v>773</v>
      </c>
      <c r="D223" s="3" t="s">
        <v>89</v>
      </c>
      <c r="E223" s="3">
        <v>3</v>
      </c>
      <c r="F223" s="2" t="s">
        <v>67</v>
      </c>
      <c r="G223" s="3"/>
      <c r="H223" s="5"/>
      <c r="I223" s="3"/>
      <c r="J223" s="3"/>
      <c r="K223" s="25" t="s">
        <v>774</v>
      </c>
      <c r="L223" t="str">
        <f t="shared" si="6"/>
        <v>DECIMAL(3),</v>
      </c>
      <c r="N223" s="38" t="str">
        <f t="shared" si="7"/>
        <v>COMMENT ON COLUMN bfs_service_summary_device.relative_period_8 IS '相対期間8';</v>
      </c>
      <c r="R223" s="34" t="s">
        <v>775</v>
      </c>
    </row>
    <row r="224" spans="1:18" ht="19.5" thickBot="1">
      <c r="A224" s="6"/>
      <c r="B224" s="6">
        <v>218</v>
      </c>
      <c r="C224" s="6" t="s">
        <v>776</v>
      </c>
      <c r="D224" s="6" t="s">
        <v>66</v>
      </c>
      <c r="E224" s="6">
        <v>1800</v>
      </c>
      <c r="F224" s="7" t="s">
        <v>67</v>
      </c>
      <c r="G224" s="6"/>
      <c r="H224" s="8"/>
      <c r="I224" s="6"/>
      <c r="J224" s="6"/>
      <c r="K224" s="25" t="s">
        <v>777</v>
      </c>
      <c r="L224" t="str">
        <f t="shared" si="6"/>
        <v>VARCHAR(1800),</v>
      </c>
      <c r="N224" s="38" t="str">
        <f t="shared" si="7"/>
        <v>COMMENT ON COLUMN bfs_service_summary_device.relative_pd_category_9 IS '相対pdカテゴリ9';</v>
      </c>
      <c r="R224" s="34" t="s">
        <v>778</v>
      </c>
    </row>
    <row r="225" spans="1:18" ht="19.5" thickBot="1">
      <c r="A225" s="3"/>
      <c r="B225" s="3">
        <v>219</v>
      </c>
      <c r="C225" s="3" t="s">
        <v>779</v>
      </c>
      <c r="D225" s="3" t="s">
        <v>66</v>
      </c>
      <c r="E225" s="3">
        <v>1800</v>
      </c>
      <c r="F225" s="2" t="s">
        <v>67</v>
      </c>
      <c r="G225" s="3"/>
      <c r="H225" s="5"/>
      <c r="I225" s="3"/>
      <c r="J225" s="3"/>
      <c r="K225" s="25" t="s">
        <v>780</v>
      </c>
      <c r="L225" t="str">
        <f t="shared" si="6"/>
        <v>VARCHAR(1800),</v>
      </c>
      <c r="N225" s="38" t="str">
        <f t="shared" si="7"/>
        <v>COMMENT ON COLUMN bfs_service_summary_device.relative_pd_name_9 IS '相対pd名称9';</v>
      </c>
      <c r="R225" s="34" t="s">
        <v>781</v>
      </c>
    </row>
    <row r="226" spans="1:18" ht="19.5" thickBot="1">
      <c r="A226" s="6"/>
      <c r="B226" s="6">
        <v>220</v>
      </c>
      <c r="C226" s="6" t="s">
        <v>782</v>
      </c>
      <c r="D226" s="6" t="s">
        <v>66</v>
      </c>
      <c r="E226" s="6">
        <v>900</v>
      </c>
      <c r="F226" s="7" t="s">
        <v>67</v>
      </c>
      <c r="G226" s="6"/>
      <c r="H226" s="8"/>
      <c r="I226" s="6"/>
      <c r="J226" s="6"/>
      <c r="K226" s="25" t="s">
        <v>783</v>
      </c>
      <c r="L226" t="str">
        <f t="shared" si="6"/>
        <v>VARCHAR(900),</v>
      </c>
      <c r="N226" s="38" t="str">
        <f t="shared" si="7"/>
        <v>COMMENT ON COLUMN bfs_service_summary_device.relative_discount_method_9 IS '相対割引方法9';</v>
      </c>
      <c r="R226" s="34" t="s">
        <v>784</v>
      </c>
    </row>
    <row r="227" spans="1:18" ht="19.5" thickBot="1">
      <c r="A227" s="3"/>
      <c r="B227" s="3">
        <v>221</v>
      </c>
      <c r="C227" s="3" t="s">
        <v>785</v>
      </c>
      <c r="D227" s="3" t="s">
        <v>66</v>
      </c>
      <c r="E227" s="3">
        <v>60</v>
      </c>
      <c r="F227" s="2" t="s">
        <v>67</v>
      </c>
      <c r="G227" s="3"/>
      <c r="H227" s="5"/>
      <c r="I227" s="3"/>
      <c r="J227" s="3"/>
      <c r="K227" s="25" t="s">
        <v>786</v>
      </c>
      <c r="L227" t="str">
        <f t="shared" si="6"/>
        <v>VARCHAR(60),</v>
      </c>
      <c r="N227" s="38" t="str">
        <f t="shared" si="7"/>
        <v>COMMENT ON COLUMN bfs_service_summary_device.relative_effective_start_date_9 IS '相対有効開始日9';</v>
      </c>
      <c r="R227" s="34" t="s">
        <v>787</v>
      </c>
    </row>
    <row r="228" spans="1:18" ht="19.5" thickBot="1">
      <c r="A228" s="6"/>
      <c r="B228" s="6">
        <v>222</v>
      </c>
      <c r="C228" s="6" t="s">
        <v>788</v>
      </c>
      <c r="D228" s="6" t="s">
        <v>66</v>
      </c>
      <c r="E228" s="6">
        <v>60</v>
      </c>
      <c r="F228" s="7" t="s">
        <v>67</v>
      </c>
      <c r="G228" s="6"/>
      <c r="H228" s="8"/>
      <c r="I228" s="6"/>
      <c r="J228" s="6"/>
      <c r="K228" s="25" t="s">
        <v>789</v>
      </c>
      <c r="L228" t="str">
        <f t="shared" si="6"/>
        <v>VARCHAR(60),</v>
      </c>
      <c r="N228" s="38" t="str">
        <f t="shared" si="7"/>
        <v>COMMENT ON COLUMN bfs_service_summary_device.relative_effective_end_date_9 IS '相対有効終了日9';</v>
      </c>
      <c r="R228" s="34" t="s">
        <v>790</v>
      </c>
    </row>
    <row r="229" spans="1:18" ht="19.5" thickBot="1">
      <c r="A229" s="3"/>
      <c r="B229" s="3">
        <v>223</v>
      </c>
      <c r="C229" s="3" t="s">
        <v>791</v>
      </c>
      <c r="D229" s="3" t="s">
        <v>66</v>
      </c>
      <c r="E229" s="3">
        <v>24</v>
      </c>
      <c r="F229" s="2" t="s">
        <v>67</v>
      </c>
      <c r="G229" s="3"/>
      <c r="H229" s="5"/>
      <c r="I229" s="3"/>
      <c r="J229" s="3"/>
      <c r="K229" s="25" t="s">
        <v>792</v>
      </c>
      <c r="L229" t="str">
        <f t="shared" si="6"/>
        <v>VARCHAR(24),</v>
      </c>
      <c r="N229" s="38" t="str">
        <f t="shared" si="7"/>
        <v>COMMENT ON COLUMN bfs_service_summary_device.relative_invoice_amount_9 IS '相対請求金額9';</v>
      </c>
      <c r="R229" s="34" t="s">
        <v>793</v>
      </c>
    </row>
    <row r="230" spans="1:18" ht="19.5" thickBot="1">
      <c r="A230" s="6"/>
      <c r="B230" s="6">
        <v>224</v>
      </c>
      <c r="C230" s="6" t="s">
        <v>794</v>
      </c>
      <c r="D230" s="6" t="s">
        <v>66</v>
      </c>
      <c r="E230" s="6">
        <v>24</v>
      </c>
      <c r="F230" s="7" t="s">
        <v>67</v>
      </c>
      <c r="G230" s="6"/>
      <c r="H230" s="8"/>
      <c r="I230" s="6"/>
      <c r="J230" s="6"/>
      <c r="K230" s="25" t="s">
        <v>795</v>
      </c>
      <c r="L230" t="str">
        <f t="shared" si="6"/>
        <v>VARCHAR(24),</v>
      </c>
      <c r="N230" s="38" t="str">
        <f t="shared" si="7"/>
        <v>COMMENT ON COLUMN bfs_service_summary_device.relative_discount_amount_9 IS '相対割引金額9';</v>
      </c>
      <c r="R230" s="34" t="s">
        <v>796</v>
      </c>
    </row>
    <row r="231" spans="1:18" ht="19.5" thickBot="1">
      <c r="A231" s="3"/>
      <c r="B231" s="3">
        <v>225</v>
      </c>
      <c r="C231" s="3" t="s">
        <v>797</v>
      </c>
      <c r="D231" s="3" t="s">
        <v>66</v>
      </c>
      <c r="E231" s="3">
        <v>18</v>
      </c>
      <c r="F231" s="2" t="s">
        <v>67</v>
      </c>
      <c r="G231" s="3"/>
      <c r="H231" s="5"/>
      <c r="I231" s="3"/>
      <c r="J231" s="3"/>
      <c r="K231" s="25" t="s">
        <v>798</v>
      </c>
      <c r="L231" t="str">
        <f t="shared" si="6"/>
        <v>VARCHAR(18),</v>
      </c>
      <c r="N231" s="38" t="str">
        <f t="shared" si="7"/>
        <v>COMMENT ON COLUMN bfs_service_summary_device.relative_discount_rate_9 IS '相対割引率9';</v>
      </c>
      <c r="R231" s="34" t="s">
        <v>799</v>
      </c>
    </row>
    <row r="232" spans="1:18" ht="19.5" thickBot="1">
      <c r="A232" s="6"/>
      <c r="B232" s="6">
        <v>226</v>
      </c>
      <c r="C232" s="6" t="s">
        <v>800</v>
      </c>
      <c r="D232" s="6" t="s">
        <v>66</v>
      </c>
      <c r="E232" s="6">
        <v>6</v>
      </c>
      <c r="F232" s="7" t="s">
        <v>67</v>
      </c>
      <c r="G232" s="6"/>
      <c r="H232" s="8"/>
      <c r="I232" s="6"/>
      <c r="J232" s="6"/>
      <c r="K232" s="25" t="s">
        <v>801</v>
      </c>
      <c r="L232" t="str">
        <f t="shared" si="6"/>
        <v>VARCHAR(6),</v>
      </c>
      <c r="N232" s="38" t="str">
        <f t="shared" si="7"/>
        <v>COMMENT ON COLUMN bfs_service_summary_device.relative_discount_start_month_9 IS '相対割引開始月9';</v>
      </c>
      <c r="R232" s="34" t="s">
        <v>802</v>
      </c>
    </row>
    <row r="233" spans="1:18" ht="19.5" thickBot="1">
      <c r="A233" s="3"/>
      <c r="B233" s="3">
        <v>227</v>
      </c>
      <c r="C233" s="3" t="s">
        <v>803</v>
      </c>
      <c r="D233" s="3" t="s">
        <v>89</v>
      </c>
      <c r="E233" s="3">
        <v>3</v>
      </c>
      <c r="F233" s="2" t="s">
        <v>67</v>
      </c>
      <c r="G233" s="3"/>
      <c r="H233" s="5"/>
      <c r="I233" s="3"/>
      <c r="J233" s="3"/>
      <c r="K233" s="25" t="s">
        <v>804</v>
      </c>
      <c r="L233" t="str">
        <f t="shared" si="6"/>
        <v>DECIMAL(3),</v>
      </c>
      <c r="N233" s="38" t="str">
        <f t="shared" si="7"/>
        <v>COMMENT ON COLUMN bfs_service_summary_device.relative_period_9 IS '相対期間9';</v>
      </c>
      <c r="R233" s="34" t="s">
        <v>805</v>
      </c>
    </row>
    <row r="234" spans="1:18" ht="19.5" thickBot="1">
      <c r="A234" s="6"/>
      <c r="B234" s="6">
        <v>228</v>
      </c>
      <c r="C234" s="6" t="s">
        <v>806</v>
      </c>
      <c r="D234" s="6" t="s">
        <v>66</v>
      </c>
      <c r="E234" s="6">
        <v>1800</v>
      </c>
      <c r="F234" s="7" t="s">
        <v>67</v>
      </c>
      <c r="G234" s="6"/>
      <c r="H234" s="8"/>
      <c r="I234" s="6"/>
      <c r="J234" s="6"/>
      <c r="K234" s="25" t="s">
        <v>807</v>
      </c>
      <c r="L234" t="str">
        <f t="shared" si="6"/>
        <v>VARCHAR(1800),</v>
      </c>
      <c r="N234" s="38" t="str">
        <f t="shared" si="7"/>
        <v>COMMENT ON COLUMN bfs_service_summary_device.relative_pd_category_10 IS '相対pdカテゴリ10';</v>
      </c>
      <c r="R234" s="34" t="s">
        <v>808</v>
      </c>
    </row>
    <row r="235" spans="1:18" ht="19.5" thickBot="1">
      <c r="A235" s="3"/>
      <c r="B235" s="3">
        <v>229</v>
      </c>
      <c r="C235" s="3" t="s">
        <v>809</v>
      </c>
      <c r="D235" s="3" t="s">
        <v>66</v>
      </c>
      <c r="E235" s="3">
        <v>1800</v>
      </c>
      <c r="F235" s="2" t="s">
        <v>67</v>
      </c>
      <c r="G235" s="3"/>
      <c r="H235" s="5"/>
      <c r="I235" s="3"/>
      <c r="J235" s="3"/>
      <c r="K235" s="25" t="s">
        <v>810</v>
      </c>
      <c r="L235" t="str">
        <f t="shared" si="6"/>
        <v>VARCHAR(1800),</v>
      </c>
      <c r="N235" s="38" t="str">
        <f t="shared" si="7"/>
        <v>COMMENT ON COLUMN bfs_service_summary_device.relative_pd_name_10 IS '相対pd名称10';</v>
      </c>
      <c r="R235" s="34" t="s">
        <v>811</v>
      </c>
    </row>
    <row r="236" spans="1:18" ht="19.5" thickBot="1">
      <c r="A236" s="6"/>
      <c r="B236" s="6">
        <v>230</v>
      </c>
      <c r="C236" s="6" t="s">
        <v>812</v>
      </c>
      <c r="D236" s="6" t="s">
        <v>66</v>
      </c>
      <c r="E236" s="6">
        <v>900</v>
      </c>
      <c r="F236" s="7" t="s">
        <v>67</v>
      </c>
      <c r="G236" s="6"/>
      <c r="H236" s="8"/>
      <c r="I236" s="6"/>
      <c r="J236" s="6"/>
      <c r="K236" s="25" t="s">
        <v>813</v>
      </c>
      <c r="L236" t="str">
        <f t="shared" si="6"/>
        <v>VARCHAR(900),</v>
      </c>
      <c r="N236" s="38" t="str">
        <f t="shared" si="7"/>
        <v>COMMENT ON COLUMN bfs_service_summary_device.relative_discount_method_10 IS '相対割引方法10';</v>
      </c>
      <c r="R236" s="34" t="s">
        <v>814</v>
      </c>
    </row>
    <row r="237" spans="1:18" ht="19.5" thickBot="1">
      <c r="A237" s="3"/>
      <c r="B237" s="3">
        <v>231</v>
      </c>
      <c r="C237" s="3" t="s">
        <v>815</v>
      </c>
      <c r="D237" s="3" t="s">
        <v>66</v>
      </c>
      <c r="E237" s="3">
        <v>60</v>
      </c>
      <c r="F237" s="2" t="s">
        <v>67</v>
      </c>
      <c r="G237" s="3"/>
      <c r="H237" s="5"/>
      <c r="I237" s="3"/>
      <c r="J237" s="3"/>
      <c r="K237" s="25" t="s">
        <v>816</v>
      </c>
      <c r="L237" t="str">
        <f t="shared" si="6"/>
        <v>VARCHAR(60),</v>
      </c>
      <c r="N237" s="38" t="str">
        <f t="shared" si="7"/>
        <v>COMMENT ON COLUMN bfs_service_summary_device.relative_effective_start_date_10 IS '相対有効開始日10';</v>
      </c>
      <c r="R237" s="34" t="s">
        <v>817</v>
      </c>
    </row>
    <row r="238" spans="1:18" ht="19.5" thickBot="1">
      <c r="A238" s="6"/>
      <c r="B238" s="6">
        <v>232</v>
      </c>
      <c r="C238" s="6" t="s">
        <v>818</v>
      </c>
      <c r="D238" s="6" t="s">
        <v>66</v>
      </c>
      <c r="E238" s="6">
        <v>60</v>
      </c>
      <c r="F238" s="7" t="s">
        <v>67</v>
      </c>
      <c r="G238" s="6"/>
      <c r="H238" s="8"/>
      <c r="I238" s="6"/>
      <c r="J238" s="6"/>
      <c r="K238" s="25" t="s">
        <v>819</v>
      </c>
      <c r="L238" t="str">
        <f t="shared" si="6"/>
        <v>VARCHAR(60),</v>
      </c>
      <c r="N238" s="38" t="str">
        <f t="shared" si="7"/>
        <v>COMMENT ON COLUMN bfs_service_summary_device.relative_effective_end_date_10 IS '相対有効終了日10';</v>
      </c>
      <c r="R238" s="34" t="s">
        <v>820</v>
      </c>
    </row>
    <row r="239" spans="1:18" ht="19.5" thickBot="1">
      <c r="A239" s="3"/>
      <c r="B239" s="3">
        <v>233</v>
      </c>
      <c r="C239" s="3" t="s">
        <v>821</v>
      </c>
      <c r="D239" s="3" t="s">
        <v>66</v>
      </c>
      <c r="E239" s="3">
        <v>24</v>
      </c>
      <c r="F239" s="2" t="s">
        <v>67</v>
      </c>
      <c r="G239" s="3"/>
      <c r="H239" s="5"/>
      <c r="I239" s="3"/>
      <c r="J239" s="3"/>
      <c r="K239" s="25" t="s">
        <v>822</v>
      </c>
      <c r="L239" t="str">
        <f t="shared" si="6"/>
        <v>VARCHAR(24),</v>
      </c>
      <c r="N239" s="38" t="str">
        <f t="shared" si="7"/>
        <v>COMMENT ON COLUMN bfs_service_summary_device.relative_invoice_amount_10 IS '相対請求金額10';</v>
      </c>
      <c r="R239" s="34" t="s">
        <v>823</v>
      </c>
    </row>
    <row r="240" spans="1:18" ht="19.5" thickBot="1">
      <c r="A240" s="6"/>
      <c r="B240" s="6">
        <v>234</v>
      </c>
      <c r="C240" s="6" t="s">
        <v>824</v>
      </c>
      <c r="D240" s="6" t="s">
        <v>66</v>
      </c>
      <c r="E240" s="6">
        <v>24</v>
      </c>
      <c r="F240" s="7" t="s">
        <v>67</v>
      </c>
      <c r="G240" s="6"/>
      <c r="H240" s="8"/>
      <c r="I240" s="6"/>
      <c r="J240" s="6"/>
      <c r="K240" s="25" t="s">
        <v>825</v>
      </c>
      <c r="L240" t="str">
        <f t="shared" si="6"/>
        <v>VARCHAR(24),</v>
      </c>
      <c r="N240" s="38" t="str">
        <f t="shared" si="7"/>
        <v>COMMENT ON COLUMN bfs_service_summary_device.relative_discount_amount_10 IS '相対割引金額10';</v>
      </c>
      <c r="R240" s="34" t="s">
        <v>826</v>
      </c>
    </row>
    <row r="241" spans="1:18" ht="19.5" thickBot="1">
      <c r="A241" s="3"/>
      <c r="B241" s="3">
        <v>235</v>
      </c>
      <c r="C241" s="3" t="s">
        <v>827</v>
      </c>
      <c r="D241" s="3" t="s">
        <v>66</v>
      </c>
      <c r="E241" s="3">
        <v>18</v>
      </c>
      <c r="F241" s="2" t="s">
        <v>67</v>
      </c>
      <c r="G241" s="3"/>
      <c r="H241" s="5"/>
      <c r="I241" s="3"/>
      <c r="J241" s="3"/>
      <c r="K241" s="25" t="s">
        <v>828</v>
      </c>
      <c r="L241" t="str">
        <f t="shared" si="6"/>
        <v>VARCHAR(18),</v>
      </c>
      <c r="N241" s="38" t="str">
        <f t="shared" si="7"/>
        <v>COMMENT ON COLUMN bfs_service_summary_device.relative_discount_rate_10 IS '相対割引率10';</v>
      </c>
      <c r="R241" s="34" t="s">
        <v>829</v>
      </c>
    </row>
    <row r="242" spans="1:18" ht="19.5" thickBot="1">
      <c r="A242" s="6"/>
      <c r="B242" s="6">
        <v>236</v>
      </c>
      <c r="C242" s="6" t="s">
        <v>830</v>
      </c>
      <c r="D242" s="6" t="s">
        <v>66</v>
      </c>
      <c r="E242" s="6">
        <v>6</v>
      </c>
      <c r="F242" s="7" t="s">
        <v>67</v>
      </c>
      <c r="G242" s="6"/>
      <c r="H242" s="8"/>
      <c r="I242" s="6"/>
      <c r="J242" s="6"/>
      <c r="K242" s="25" t="s">
        <v>831</v>
      </c>
      <c r="L242" t="str">
        <f t="shared" si="6"/>
        <v>VARCHAR(6),</v>
      </c>
      <c r="N242" s="38" t="str">
        <f t="shared" si="7"/>
        <v>COMMENT ON COLUMN bfs_service_summary_device.relative_discount_start_month_10 IS '相対割引開始月10';</v>
      </c>
      <c r="R242" s="34" t="s">
        <v>832</v>
      </c>
    </row>
    <row r="243" spans="1:18" ht="19.5" thickBot="1">
      <c r="A243" s="3"/>
      <c r="B243" s="3">
        <v>237</v>
      </c>
      <c r="C243" s="3" t="s">
        <v>833</v>
      </c>
      <c r="D243" s="3" t="s">
        <v>89</v>
      </c>
      <c r="E243" s="3">
        <v>3</v>
      </c>
      <c r="F243" s="2" t="s">
        <v>67</v>
      </c>
      <c r="G243" s="3"/>
      <c r="H243" s="5"/>
      <c r="I243" s="3"/>
      <c r="J243" s="3"/>
      <c r="K243" s="25" t="s">
        <v>834</v>
      </c>
      <c r="L243" t="str">
        <f t="shared" si="6"/>
        <v>DECIMAL(3),</v>
      </c>
      <c r="N243" s="38" t="str">
        <f t="shared" si="7"/>
        <v>COMMENT ON COLUMN bfs_service_summary_device.relative_period_10 IS '相対期間10';</v>
      </c>
      <c r="R243" s="34" t="s">
        <v>835</v>
      </c>
    </row>
    <row r="244" spans="1:18" ht="19.5" thickBot="1">
      <c r="A244" s="6"/>
      <c r="B244" s="6">
        <v>238</v>
      </c>
      <c r="C244" s="6" t="s">
        <v>836</v>
      </c>
      <c r="D244" s="6" t="s">
        <v>66</v>
      </c>
      <c r="E244" s="6">
        <v>1800</v>
      </c>
      <c r="F244" s="7" t="s">
        <v>67</v>
      </c>
      <c r="G244" s="6"/>
      <c r="H244" s="8"/>
      <c r="I244" s="6"/>
      <c r="J244" s="6"/>
      <c r="K244" s="25" t="s">
        <v>837</v>
      </c>
      <c r="L244" t="str">
        <f t="shared" si="6"/>
        <v>VARCHAR(1800),</v>
      </c>
      <c r="N244" s="38" t="str">
        <f t="shared" si="7"/>
        <v>COMMENT ON COLUMN bfs_service_summary_device.relative_other_pd_category_1 IS '相対他pdカテゴリ1';</v>
      </c>
      <c r="R244" s="34" t="s">
        <v>838</v>
      </c>
    </row>
    <row r="245" spans="1:18" ht="19.5" thickBot="1">
      <c r="A245" s="3"/>
      <c r="B245" s="3">
        <v>239</v>
      </c>
      <c r="C245" s="3" t="s">
        <v>839</v>
      </c>
      <c r="D245" s="3" t="s">
        <v>66</v>
      </c>
      <c r="E245" s="3">
        <v>1800</v>
      </c>
      <c r="F245" s="2" t="s">
        <v>67</v>
      </c>
      <c r="G245" s="3"/>
      <c r="H245" s="5"/>
      <c r="I245" s="3"/>
      <c r="J245" s="3"/>
      <c r="K245" s="25" t="s">
        <v>840</v>
      </c>
      <c r="L245" t="str">
        <f t="shared" si="6"/>
        <v>VARCHAR(1800),</v>
      </c>
      <c r="N245" s="38" t="str">
        <f t="shared" si="7"/>
        <v>COMMENT ON COLUMN bfs_service_summary_device.relative_other_pd_name_1 IS '相対他pd名称1';</v>
      </c>
      <c r="R245" s="34" t="s">
        <v>841</v>
      </c>
    </row>
    <row r="246" spans="1:18" ht="19.5" thickBot="1">
      <c r="A246" s="6"/>
      <c r="B246" s="6">
        <v>240</v>
      </c>
      <c r="C246" s="6" t="s">
        <v>842</v>
      </c>
      <c r="D246" s="6" t="s">
        <v>66</v>
      </c>
      <c r="E246" s="6">
        <v>900</v>
      </c>
      <c r="F246" s="7" t="s">
        <v>67</v>
      </c>
      <c r="G246" s="6"/>
      <c r="H246" s="8"/>
      <c r="I246" s="6"/>
      <c r="J246" s="6"/>
      <c r="K246" s="25" t="s">
        <v>843</v>
      </c>
      <c r="L246" t="str">
        <f t="shared" si="6"/>
        <v>VARCHAR(900),</v>
      </c>
      <c r="N246" s="38" t="str">
        <f t="shared" si="7"/>
        <v>COMMENT ON COLUMN bfs_service_summary_device.relative_other_discount_method_1 IS '相対他割引方法1';</v>
      </c>
      <c r="R246" s="34" t="s">
        <v>844</v>
      </c>
    </row>
    <row r="247" spans="1:18" ht="19.5" thickBot="1">
      <c r="A247" s="3"/>
      <c r="B247" s="3">
        <v>241</v>
      </c>
      <c r="C247" s="3" t="s">
        <v>845</v>
      </c>
      <c r="D247" s="3" t="s">
        <v>66</v>
      </c>
      <c r="E247" s="3">
        <v>60</v>
      </c>
      <c r="F247" s="2" t="s">
        <v>67</v>
      </c>
      <c r="G247" s="3"/>
      <c r="H247" s="5"/>
      <c r="I247" s="3"/>
      <c r="J247" s="3"/>
      <c r="K247" s="25" t="s">
        <v>846</v>
      </c>
      <c r="L247" t="str">
        <f t="shared" si="6"/>
        <v>VARCHAR(60),</v>
      </c>
      <c r="N247" s="38" t="str">
        <f t="shared" si="7"/>
        <v>COMMENT ON COLUMN bfs_service_summary_device.relative_other_effective_start_date_1 IS '相対他有効開始日1';</v>
      </c>
      <c r="R247" s="34" t="s">
        <v>847</v>
      </c>
    </row>
    <row r="248" spans="1:18" ht="19.5" thickBot="1">
      <c r="A248" s="6"/>
      <c r="B248" s="6">
        <v>242</v>
      </c>
      <c r="C248" s="6" t="s">
        <v>848</v>
      </c>
      <c r="D248" s="6" t="s">
        <v>66</v>
      </c>
      <c r="E248" s="6">
        <v>60</v>
      </c>
      <c r="F248" s="7" t="s">
        <v>67</v>
      </c>
      <c r="G248" s="6"/>
      <c r="H248" s="8"/>
      <c r="I248" s="6"/>
      <c r="J248" s="6"/>
      <c r="K248" s="25" t="s">
        <v>849</v>
      </c>
      <c r="L248" t="str">
        <f t="shared" si="6"/>
        <v>VARCHAR(60),</v>
      </c>
      <c r="N248" s="38" t="str">
        <f t="shared" si="7"/>
        <v>COMMENT ON COLUMN bfs_service_summary_device.relative_other_effective_end_date_1 IS '相対他有効終了日1';</v>
      </c>
      <c r="R248" s="34" t="s">
        <v>850</v>
      </c>
    </row>
    <row r="249" spans="1:18" ht="19.5" thickBot="1">
      <c r="A249" s="3"/>
      <c r="B249" s="3">
        <v>243</v>
      </c>
      <c r="C249" s="3" t="s">
        <v>851</v>
      </c>
      <c r="D249" s="3" t="s">
        <v>66</v>
      </c>
      <c r="E249" s="3">
        <v>24</v>
      </c>
      <c r="F249" s="2" t="s">
        <v>67</v>
      </c>
      <c r="G249" s="3"/>
      <c r="H249" s="5"/>
      <c r="I249" s="3"/>
      <c r="J249" s="3"/>
      <c r="K249" s="25" t="s">
        <v>852</v>
      </c>
      <c r="L249" t="str">
        <f t="shared" si="6"/>
        <v>VARCHAR(24),</v>
      </c>
      <c r="N249" s="38" t="str">
        <f t="shared" si="7"/>
        <v>COMMENT ON COLUMN bfs_service_summary_device.relative_other_invoice_amount_1 IS '相対他請求金額1';</v>
      </c>
      <c r="R249" s="34" t="s">
        <v>853</v>
      </c>
    </row>
    <row r="250" spans="1:18" ht="19.5" thickBot="1">
      <c r="A250" s="6"/>
      <c r="B250" s="6">
        <v>244</v>
      </c>
      <c r="C250" s="6" t="s">
        <v>854</v>
      </c>
      <c r="D250" s="6" t="s">
        <v>66</v>
      </c>
      <c r="E250" s="6">
        <v>24</v>
      </c>
      <c r="F250" s="7" t="s">
        <v>67</v>
      </c>
      <c r="G250" s="6"/>
      <c r="H250" s="8"/>
      <c r="I250" s="6"/>
      <c r="J250" s="6"/>
      <c r="K250" s="25" t="s">
        <v>855</v>
      </c>
      <c r="L250" t="str">
        <f t="shared" si="6"/>
        <v>VARCHAR(24),</v>
      </c>
      <c r="N250" s="38" t="str">
        <f t="shared" si="7"/>
        <v>COMMENT ON COLUMN bfs_service_summary_device.relative_other_discount_amount_1 IS '相対他割引金額1';</v>
      </c>
      <c r="R250" s="34" t="s">
        <v>856</v>
      </c>
    </row>
    <row r="251" spans="1:18" ht="19.5" thickBot="1">
      <c r="A251" s="3"/>
      <c r="B251" s="3">
        <v>245</v>
      </c>
      <c r="C251" s="3" t="s">
        <v>857</v>
      </c>
      <c r="D251" s="3" t="s">
        <v>66</v>
      </c>
      <c r="E251" s="3">
        <v>18</v>
      </c>
      <c r="F251" s="2" t="s">
        <v>67</v>
      </c>
      <c r="G251" s="3"/>
      <c r="H251" s="5"/>
      <c r="I251" s="3"/>
      <c r="J251" s="3"/>
      <c r="K251" s="25" t="s">
        <v>858</v>
      </c>
      <c r="L251" t="str">
        <f t="shared" si="6"/>
        <v>VARCHAR(18),</v>
      </c>
      <c r="N251" s="38" t="str">
        <f t="shared" si="7"/>
        <v>COMMENT ON COLUMN bfs_service_summary_device.relative_other_discount_rate_1 IS '相対他割引率1';</v>
      </c>
      <c r="R251" s="34" t="s">
        <v>859</v>
      </c>
    </row>
    <row r="252" spans="1:18" ht="19.5" thickBot="1">
      <c r="A252" s="6"/>
      <c r="B252" s="6">
        <v>246</v>
      </c>
      <c r="C252" s="6" t="s">
        <v>860</v>
      </c>
      <c r="D252" s="6" t="s">
        <v>66</v>
      </c>
      <c r="E252" s="6">
        <v>6</v>
      </c>
      <c r="F252" s="7" t="s">
        <v>67</v>
      </c>
      <c r="G252" s="6"/>
      <c r="H252" s="8"/>
      <c r="I252" s="6"/>
      <c r="J252" s="6"/>
      <c r="K252" s="25" t="s">
        <v>861</v>
      </c>
      <c r="L252" t="str">
        <f t="shared" si="6"/>
        <v>VARCHAR(6),</v>
      </c>
      <c r="N252" s="38" t="str">
        <f t="shared" si="7"/>
        <v>COMMENT ON COLUMN bfs_service_summary_device.relative_other_discount_start_month_1 IS '相対他割引開始月1';</v>
      </c>
      <c r="R252" s="34" t="s">
        <v>862</v>
      </c>
    </row>
    <row r="253" spans="1:18" ht="19.5" thickBot="1">
      <c r="A253" s="3"/>
      <c r="B253" s="3">
        <v>247</v>
      </c>
      <c r="C253" s="3" t="s">
        <v>863</v>
      </c>
      <c r="D253" s="3" t="s">
        <v>89</v>
      </c>
      <c r="E253" s="3">
        <v>3</v>
      </c>
      <c r="F253" s="2" t="s">
        <v>67</v>
      </c>
      <c r="G253" s="3"/>
      <c r="H253" s="5"/>
      <c r="I253" s="3"/>
      <c r="J253" s="3"/>
      <c r="K253" s="25" t="s">
        <v>864</v>
      </c>
      <c r="L253" t="str">
        <f t="shared" si="6"/>
        <v>DECIMAL(3),</v>
      </c>
      <c r="N253" s="38" t="str">
        <f t="shared" si="7"/>
        <v>COMMENT ON COLUMN bfs_service_summary_device.relative_other_period_1 IS '相対他期間1';</v>
      </c>
      <c r="R253" s="34" t="s">
        <v>865</v>
      </c>
    </row>
    <row r="254" spans="1:18" ht="19.5" thickBot="1">
      <c r="A254" s="6"/>
      <c r="B254" s="6">
        <v>248</v>
      </c>
      <c r="C254" s="6" t="s">
        <v>866</v>
      </c>
      <c r="D254" s="6" t="s">
        <v>66</v>
      </c>
      <c r="E254" s="6">
        <v>1800</v>
      </c>
      <c r="F254" s="7" t="s">
        <v>67</v>
      </c>
      <c r="G254" s="6"/>
      <c r="H254" s="8"/>
      <c r="I254" s="6"/>
      <c r="J254" s="6"/>
      <c r="K254" s="25" t="s">
        <v>867</v>
      </c>
      <c r="L254" t="str">
        <f t="shared" si="6"/>
        <v>VARCHAR(1800),</v>
      </c>
      <c r="N254" s="38" t="str">
        <f t="shared" si="7"/>
        <v>COMMENT ON COLUMN bfs_service_summary_device.relative_other_pd_category_2 IS '相対他pdカテゴリ2';</v>
      </c>
      <c r="R254" s="34" t="s">
        <v>868</v>
      </c>
    </row>
    <row r="255" spans="1:18" ht="19.5" thickBot="1">
      <c r="A255" s="3"/>
      <c r="B255" s="3">
        <v>249</v>
      </c>
      <c r="C255" s="3" t="s">
        <v>869</v>
      </c>
      <c r="D255" s="3" t="s">
        <v>66</v>
      </c>
      <c r="E255" s="3">
        <v>1800</v>
      </c>
      <c r="F255" s="2" t="s">
        <v>67</v>
      </c>
      <c r="G255" s="3"/>
      <c r="H255" s="5"/>
      <c r="I255" s="3"/>
      <c r="J255" s="3"/>
      <c r="K255" s="25" t="s">
        <v>870</v>
      </c>
      <c r="L255" t="str">
        <f t="shared" si="6"/>
        <v>VARCHAR(1800),</v>
      </c>
      <c r="N255" s="38" t="str">
        <f t="shared" si="7"/>
        <v>COMMENT ON COLUMN bfs_service_summary_device.relative_other_pd_name_2 IS '相対他pd名称2';</v>
      </c>
      <c r="R255" s="34" t="s">
        <v>871</v>
      </c>
    </row>
    <row r="256" spans="1:18" ht="19.5" thickBot="1">
      <c r="A256" s="6"/>
      <c r="B256" s="6">
        <v>250</v>
      </c>
      <c r="C256" s="6" t="s">
        <v>872</v>
      </c>
      <c r="D256" s="6" t="s">
        <v>66</v>
      </c>
      <c r="E256" s="6">
        <v>900</v>
      </c>
      <c r="F256" s="7" t="s">
        <v>67</v>
      </c>
      <c r="G256" s="6"/>
      <c r="H256" s="8"/>
      <c r="I256" s="6"/>
      <c r="J256" s="6"/>
      <c r="K256" s="25" t="s">
        <v>873</v>
      </c>
      <c r="L256" t="str">
        <f t="shared" si="6"/>
        <v>VARCHAR(900),</v>
      </c>
      <c r="N256" s="38" t="str">
        <f t="shared" si="7"/>
        <v>COMMENT ON COLUMN bfs_service_summary_device.relative_other_discount_method_2 IS '相対他割引方法2';</v>
      </c>
      <c r="R256" s="34" t="s">
        <v>874</v>
      </c>
    </row>
    <row r="257" spans="1:18" ht="19.5" thickBot="1">
      <c r="A257" s="3"/>
      <c r="B257" s="3">
        <v>251</v>
      </c>
      <c r="C257" s="3" t="s">
        <v>875</v>
      </c>
      <c r="D257" s="3" t="s">
        <v>66</v>
      </c>
      <c r="E257" s="3">
        <v>60</v>
      </c>
      <c r="F257" s="2" t="s">
        <v>67</v>
      </c>
      <c r="G257" s="3"/>
      <c r="H257" s="5"/>
      <c r="I257" s="3"/>
      <c r="J257" s="3"/>
      <c r="K257" s="25" t="s">
        <v>876</v>
      </c>
      <c r="L257" t="str">
        <f t="shared" si="6"/>
        <v>VARCHAR(60),</v>
      </c>
      <c r="N257" s="38" t="str">
        <f t="shared" si="7"/>
        <v>COMMENT ON COLUMN bfs_service_summary_device.relative_other_effective_open_start_date_2 IS '相対他有効開始日2';</v>
      </c>
      <c r="R257" s="34" t="s">
        <v>877</v>
      </c>
    </row>
    <row r="258" spans="1:18" ht="19.5" thickBot="1">
      <c r="A258" s="6"/>
      <c r="B258" s="6">
        <v>252</v>
      </c>
      <c r="C258" s="6" t="s">
        <v>878</v>
      </c>
      <c r="D258" s="6" t="s">
        <v>66</v>
      </c>
      <c r="E258" s="6">
        <v>60</v>
      </c>
      <c r="F258" s="7" t="s">
        <v>67</v>
      </c>
      <c r="G258" s="6"/>
      <c r="H258" s="8"/>
      <c r="I258" s="6"/>
      <c r="J258" s="6"/>
      <c r="K258" s="25" t="s">
        <v>879</v>
      </c>
      <c r="L258" t="str">
        <f t="shared" si="6"/>
        <v>VARCHAR(60),</v>
      </c>
      <c r="N258" s="38" t="str">
        <f t="shared" si="7"/>
        <v>COMMENT ON COLUMN bfs_service_summary_device.relative_other_effective_end_date_2 IS '相対他有効終了日2';</v>
      </c>
      <c r="R258" s="34" t="s">
        <v>880</v>
      </c>
    </row>
    <row r="259" spans="1:18" ht="19.5" thickBot="1">
      <c r="A259" s="3"/>
      <c r="B259" s="3">
        <v>253</v>
      </c>
      <c r="C259" s="3" t="s">
        <v>881</v>
      </c>
      <c r="D259" s="3" t="s">
        <v>66</v>
      </c>
      <c r="E259" s="3">
        <v>24</v>
      </c>
      <c r="F259" s="2" t="s">
        <v>67</v>
      </c>
      <c r="G259" s="3"/>
      <c r="H259" s="5"/>
      <c r="I259" s="3"/>
      <c r="J259" s="3"/>
      <c r="K259" s="25" t="s">
        <v>882</v>
      </c>
      <c r="L259" t="str">
        <f t="shared" si="6"/>
        <v>VARCHAR(24),</v>
      </c>
      <c r="N259" s="38" t="str">
        <f t="shared" si="7"/>
        <v>COMMENT ON COLUMN bfs_service_summary_device.relative_other_invoice_amount_2 IS '相対他請求金額2';</v>
      </c>
      <c r="R259" s="34" t="s">
        <v>883</v>
      </c>
    </row>
    <row r="260" spans="1:18" ht="19.5" thickBot="1">
      <c r="A260" s="6"/>
      <c r="B260" s="6">
        <v>254</v>
      </c>
      <c r="C260" s="6" t="s">
        <v>884</v>
      </c>
      <c r="D260" s="6" t="s">
        <v>66</v>
      </c>
      <c r="E260" s="6">
        <v>24</v>
      </c>
      <c r="F260" s="7" t="s">
        <v>67</v>
      </c>
      <c r="G260" s="6"/>
      <c r="H260" s="8"/>
      <c r="I260" s="6"/>
      <c r="J260" s="6"/>
      <c r="K260" s="25" t="s">
        <v>885</v>
      </c>
      <c r="L260" t="str">
        <f t="shared" si="6"/>
        <v>VARCHAR(24),</v>
      </c>
      <c r="N260" s="38" t="str">
        <f t="shared" si="7"/>
        <v>COMMENT ON COLUMN bfs_service_summary_device.relative_other_discount_amount_2 IS '相対他割引金額2';</v>
      </c>
      <c r="R260" s="34" t="s">
        <v>886</v>
      </c>
    </row>
    <row r="261" spans="1:18" ht="19.5" thickBot="1">
      <c r="A261" s="3"/>
      <c r="B261" s="3">
        <v>255</v>
      </c>
      <c r="C261" s="3" t="s">
        <v>887</v>
      </c>
      <c r="D261" s="3" t="s">
        <v>66</v>
      </c>
      <c r="E261" s="3">
        <v>18</v>
      </c>
      <c r="F261" s="2" t="s">
        <v>67</v>
      </c>
      <c r="G261" s="3"/>
      <c r="H261" s="5"/>
      <c r="I261" s="3"/>
      <c r="J261" s="3"/>
      <c r="K261" s="25" t="s">
        <v>888</v>
      </c>
      <c r="L261" t="str">
        <f t="shared" si="6"/>
        <v>VARCHAR(18),</v>
      </c>
      <c r="N261" s="38" t="str">
        <f t="shared" si="7"/>
        <v>COMMENT ON COLUMN bfs_service_summary_device.relative_other_discount_rate_2 IS '相対他割引率2';</v>
      </c>
      <c r="R261" s="34" t="s">
        <v>889</v>
      </c>
    </row>
    <row r="262" spans="1:18" ht="19.5" thickBot="1">
      <c r="A262" s="6"/>
      <c r="B262" s="6">
        <v>256</v>
      </c>
      <c r="C262" s="6" t="s">
        <v>890</v>
      </c>
      <c r="D262" s="6" t="s">
        <v>66</v>
      </c>
      <c r="E262" s="6">
        <v>6</v>
      </c>
      <c r="F262" s="7" t="s">
        <v>67</v>
      </c>
      <c r="G262" s="6"/>
      <c r="H262" s="8"/>
      <c r="I262" s="6"/>
      <c r="J262" s="6"/>
      <c r="K262" s="25" t="s">
        <v>891</v>
      </c>
      <c r="L262" t="str">
        <f t="shared" si="6"/>
        <v>VARCHAR(6),</v>
      </c>
      <c r="N262" s="38" t="str">
        <f t="shared" si="7"/>
        <v>COMMENT ON COLUMN bfs_service_summary_device.relative_other_discount_start_month_2 IS '相対他割引開始月2';</v>
      </c>
      <c r="R262" s="34" t="s">
        <v>892</v>
      </c>
    </row>
    <row r="263" spans="1:18" ht="19.5" thickBot="1">
      <c r="A263" s="3"/>
      <c r="B263" s="3">
        <v>257</v>
      </c>
      <c r="C263" s="3" t="s">
        <v>893</v>
      </c>
      <c r="D263" s="3" t="s">
        <v>89</v>
      </c>
      <c r="E263" s="3">
        <v>3</v>
      </c>
      <c r="F263" s="2" t="s">
        <v>67</v>
      </c>
      <c r="G263" s="3"/>
      <c r="H263" s="5"/>
      <c r="I263" s="3"/>
      <c r="J263" s="3"/>
      <c r="K263" s="25" t="s">
        <v>894</v>
      </c>
      <c r="L263" t="str">
        <f t="shared" si="6"/>
        <v>DECIMAL(3),</v>
      </c>
      <c r="N263" s="38" t="str">
        <f t="shared" si="7"/>
        <v>COMMENT ON COLUMN bfs_service_summary_device.relative_other_period_2 IS '相対他期間2';</v>
      </c>
      <c r="R263" s="34" t="s">
        <v>895</v>
      </c>
    </row>
    <row r="264" spans="1:18" ht="19.5" thickBot="1">
      <c r="A264" s="6"/>
      <c r="B264" s="6">
        <v>258</v>
      </c>
      <c r="C264" s="6" t="s">
        <v>896</v>
      </c>
      <c r="D264" s="6" t="s">
        <v>66</v>
      </c>
      <c r="E264" s="6">
        <v>1800</v>
      </c>
      <c r="F264" s="7" t="s">
        <v>67</v>
      </c>
      <c r="G264" s="6"/>
      <c r="H264" s="8"/>
      <c r="I264" s="6"/>
      <c r="J264" s="6"/>
      <c r="K264" s="25" t="s">
        <v>897</v>
      </c>
      <c r="L264" t="str">
        <f t="shared" ref="L264:L327" si="8">D264&amp;"("&amp;E264&amp;"),"</f>
        <v>VARCHAR(1800),</v>
      </c>
      <c r="N264" s="38" t="str">
        <f t="shared" ref="N264:N327" si="9">"COMMENT ON COLUMN "&amp;$H$3&amp;"."&amp;$K264&amp;" IS '"&amp;C264&amp;"';"</f>
        <v>COMMENT ON COLUMN bfs_service_summary_device.relative_other_pd_category_3 IS '相対他pdカテゴリ3';</v>
      </c>
      <c r="R264" s="34" t="s">
        <v>898</v>
      </c>
    </row>
    <row r="265" spans="1:18" ht="19.5" thickBot="1">
      <c r="A265" s="3"/>
      <c r="B265" s="3">
        <v>259</v>
      </c>
      <c r="C265" s="3" t="s">
        <v>899</v>
      </c>
      <c r="D265" s="3" t="s">
        <v>66</v>
      </c>
      <c r="E265" s="3">
        <v>1800</v>
      </c>
      <c r="F265" s="2" t="s">
        <v>67</v>
      </c>
      <c r="G265" s="3"/>
      <c r="H265" s="5"/>
      <c r="I265" s="3"/>
      <c r="J265" s="3"/>
      <c r="K265" s="25" t="s">
        <v>900</v>
      </c>
      <c r="L265" t="str">
        <f t="shared" si="8"/>
        <v>VARCHAR(1800),</v>
      </c>
      <c r="N265" s="38" t="str">
        <f t="shared" si="9"/>
        <v>COMMENT ON COLUMN bfs_service_summary_device.relative_other_pd_name_3 IS '相対他pd名称3';</v>
      </c>
      <c r="R265" s="34" t="s">
        <v>901</v>
      </c>
    </row>
    <row r="266" spans="1:18" ht="19.5" thickBot="1">
      <c r="A266" s="6"/>
      <c r="B266" s="6">
        <v>260</v>
      </c>
      <c r="C266" s="6" t="s">
        <v>902</v>
      </c>
      <c r="D266" s="6" t="s">
        <v>66</v>
      </c>
      <c r="E266" s="6">
        <v>900</v>
      </c>
      <c r="F266" s="7" t="s">
        <v>67</v>
      </c>
      <c r="G266" s="6"/>
      <c r="H266" s="8"/>
      <c r="I266" s="6"/>
      <c r="J266" s="6"/>
      <c r="K266" s="25" t="s">
        <v>903</v>
      </c>
      <c r="L266" t="str">
        <f t="shared" si="8"/>
        <v>VARCHAR(900),</v>
      </c>
      <c r="N266" s="38" t="str">
        <f t="shared" si="9"/>
        <v>COMMENT ON COLUMN bfs_service_summary_device.relative_other_discount_method_3 IS '相対他割引方法3';</v>
      </c>
      <c r="R266" s="34" t="s">
        <v>904</v>
      </c>
    </row>
    <row r="267" spans="1:18" ht="19.5" thickBot="1">
      <c r="A267" s="3"/>
      <c r="B267" s="3">
        <v>261</v>
      </c>
      <c r="C267" s="3" t="s">
        <v>905</v>
      </c>
      <c r="D267" s="3" t="s">
        <v>66</v>
      </c>
      <c r="E267" s="3">
        <v>60</v>
      </c>
      <c r="F267" s="2" t="s">
        <v>67</v>
      </c>
      <c r="G267" s="3"/>
      <c r="H267" s="5"/>
      <c r="I267" s="3"/>
      <c r="J267" s="3"/>
      <c r="K267" s="25" t="s">
        <v>906</v>
      </c>
      <c r="L267" t="str">
        <f t="shared" si="8"/>
        <v>VARCHAR(60),</v>
      </c>
      <c r="N267" s="38" t="str">
        <f t="shared" si="9"/>
        <v>COMMENT ON COLUMN bfs_service_summary_device.relative_other_effective_start_date_3 IS '相対他有効開始日3';</v>
      </c>
      <c r="R267" s="34" t="s">
        <v>907</v>
      </c>
    </row>
    <row r="268" spans="1:18" ht="19.5" thickBot="1">
      <c r="A268" s="6"/>
      <c r="B268" s="6">
        <v>262</v>
      </c>
      <c r="C268" s="6" t="s">
        <v>908</v>
      </c>
      <c r="D268" s="6" t="s">
        <v>66</v>
      </c>
      <c r="E268" s="6">
        <v>60</v>
      </c>
      <c r="F268" s="7" t="s">
        <v>67</v>
      </c>
      <c r="G268" s="6"/>
      <c r="H268" s="8"/>
      <c r="I268" s="6"/>
      <c r="J268" s="6"/>
      <c r="K268" s="25" t="s">
        <v>909</v>
      </c>
      <c r="L268" t="str">
        <f t="shared" si="8"/>
        <v>VARCHAR(60),</v>
      </c>
      <c r="N268" s="38" t="str">
        <f t="shared" si="9"/>
        <v>COMMENT ON COLUMN bfs_service_summary_device.relative_other_effective_end_date_3 IS '相対他有効終了日3';</v>
      </c>
      <c r="R268" s="34" t="s">
        <v>910</v>
      </c>
    </row>
    <row r="269" spans="1:18" ht="19.5" thickBot="1">
      <c r="A269" s="3"/>
      <c r="B269" s="3">
        <v>263</v>
      </c>
      <c r="C269" s="3" t="s">
        <v>911</v>
      </c>
      <c r="D269" s="3" t="s">
        <v>66</v>
      </c>
      <c r="E269" s="3">
        <v>24</v>
      </c>
      <c r="F269" s="2" t="s">
        <v>67</v>
      </c>
      <c r="G269" s="3"/>
      <c r="H269" s="5"/>
      <c r="I269" s="3"/>
      <c r="J269" s="3"/>
      <c r="K269" s="25" t="s">
        <v>912</v>
      </c>
      <c r="L269" t="str">
        <f t="shared" si="8"/>
        <v>VARCHAR(24),</v>
      </c>
      <c r="N269" s="38" t="str">
        <f t="shared" si="9"/>
        <v>COMMENT ON COLUMN bfs_service_summary_device.relative_other_invoice_amount_3 IS '相対他請求金額3';</v>
      </c>
      <c r="R269" s="34" t="s">
        <v>913</v>
      </c>
    </row>
    <row r="270" spans="1:18" ht="19.5" thickBot="1">
      <c r="A270" s="6"/>
      <c r="B270" s="6">
        <v>264</v>
      </c>
      <c r="C270" s="6" t="s">
        <v>914</v>
      </c>
      <c r="D270" s="6" t="s">
        <v>66</v>
      </c>
      <c r="E270" s="6">
        <v>24</v>
      </c>
      <c r="F270" s="7" t="s">
        <v>67</v>
      </c>
      <c r="G270" s="6"/>
      <c r="H270" s="8"/>
      <c r="I270" s="6"/>
      <c r="J270" s="6"/>
      <c r="K270" s="25" t="s">
        <v>915</v>
      </c>
      <c r="L270" t="str">
        <f t="shared" si="8"/>
        <v>VARCHAR(24),</v>
      </c>
      <c r="N270" s="38" t="str">
        <f t="shared" si="9"/>
        <v>COMMENT ON COLUMN bfs_service_summary_device.relative_other_discount_amount_3 IS '相対他割引金額3';</v>
      </c>
      <c r="R270" s="34" t="s">
        <v>916</v>
      </c>
    </row>
    <row r="271" spans="1:18" ht="19.5" thickBot="1">
      <c r="A271" s="3"/>
      <c r="B271" s="3">
        <v>265</v>
      </c>
      <c r="C271" s="3" t="s">
        <v>917</v>
      </c>
      <c r="D271" s="3" t="s">
        <v>66</v>
      </c>
      <c r="E271" s="3">
        <v>18</v>
      </c>
      <c r="F271" s="2" t="s">
        <v>67</v>
      </c>
      <c r="G271" s="3"/>
      <c r="H271" s="5"/>
      <c r="I271" s="3"/>
      <c r="J271" s="3"/>
      <c r="K271" s="25" t="s">
        <v>918</v>
      </c>
      <c r="L271" t="str">
        <f t="shared" si="8"/>
        <v>VARCHAR(18),</v>
      </c>
      <c r="N271" s="38" t="str">
        <f t="shared" si="9"/>
        <v>COMMENT ON COLUMN bfs_service_summary_device.relative_other_discount_rate_3 IS '相対他割引率3';</v>
      </c>
      <c r="R271" s="34" t="s">
        <v>919</v>
      </c>
    </row>
    <row r="272" spans="1:18" ht="19.5" thickBot="1">
      <c r="A272" s="6"/>
      <c r="B272" s="6">
        <v>266</v>
      </c>
      <c r="C272" s="6" t="s">
        <v>920</v>
      </c>
      <c r="D272" s="6" t="s">
        <v>66</v>
      </c>
      <c r="E272" s="6">
        <v>6</v>
      </c>
      <c r="F272" s="7" t="s">
        <v>67</v>
      </c>
      <c r="G272" s="6"/>
      <c r="H272" s="8"/>
      <c r="I272" s="6"/>
      <c r="J272" s="6"/>
      <c r="K272" s="25" t="s">
        <v>921</v>
      </c>
      <c r="L272" t="str">
        <f t="shared" si="8"/>
        <v>VARCHAR(6),</v>
      </c>
      <c r="N272" s="38" t="str">
        <f t="shared" si="9"/>
        <v>COMMENT ON COLUMN bfs_service_summary_device.relative_other_discount_start_month_3 IS '相対他割引開始月3';</v>
      </c>
      <c r="R272" s="34" t="s">
        <v>922</v>
      </c>
    </row>
    <row r="273" spans="1:18" ht="19.5" thickBot="1">
      <c r="A273" s="3"/>
      <c r="B273" s="3">
        <v>267</v>
      </c>
      <c r="C273" s="3" t="s">
        <v>923</v>
      </c>
      <c r="D273" s="3" t="s">
        <v>89</v>
      </c>
      <c r="E273" s="3">
        <v>3</v>
      </c>
      <c r="F273" s="2" t="s">
        <v>67</v>
      </c>
      <c r="G273" s="3"/>
      <c r="H273" s="5"/>
      <c r="I273" s="3"/>
      <c r="J273" s="3"/>
      <c r="K273" s="25" t="s">
        <v>924</v>
      </c>
      <c r="L273" t="str">
        <f t="shared" si="8"/>
        <v>DECIMAL(3),</v>
      </c>
      <c r="N273" s="38" t="str">
        <f t="shared" si="9"/>
        <v>COMMENT ON COLUMN bfs_service_summary_device.relative_other_period_3 IS '相対他期間3';</v>
      </c>
      <c r="R273" s="34" t="s">
        <v>925</v>
      </c>
    </row>
    <row r="274" spans="1:18" ht="19.5" thickBot="1">
      <c r="A274" s="6"/>
      <c r="B274" s="6">
        <v>268</v>
      </c>
      <c r="C274" s="6" t="s">
        <v>926</v>
      </c>
      <c r="D274" s="6" t="s">
        <v>66</v>
      </c>
      <c r="E274" s="6">
        <v>1800</v>
      </c>
      <c r="F274" s="7" t="s">
        <v>67</v>
      </c>
      <c r="G274" s="6"/>
      <c r="H274" s="8"/>
      <c r="I274" s="6"/>
      <c r="J274" s="6"/>
      <c r="K274" s="25" t="s">
        <v>927</v>
      </c>
      <c r="L274" t="str">
        <f t="shared" si="8"/>
        <v>VARCHAR(1800),</v>
      </c>
      <c r="N274" s="38" t="str">
        <f t="shared" si="9"/>
        <v>COMMENT ON COLUMN bfs_service_summary_device.relative_other_pd_category_4 IS '相対他pdカテゴリ4';</v>
      </c>
      <c r="R274" s="34" t="s">
        <v>928</v>
      </c>
    </row>
    <row r="275" spans="1:18" ht="19.5" thickBot="1">
      <c r="A275" s="3"/>
      <c r="B275" s="3">
        <v>269</v>
      </c>
      <c r="C275" s="3" t="s">
        <v>929</v>
      </c>
      <c r="D275" s="3" t="s">
        <v>66</v>
      </c>
      <c r="E275" s="3">
        <v>1800</v>
      </c>
      <c r="F275" s="2" t="s">
        <v>67</v>
      </c>
      <c r="G275" s="3"/>
      <c r="H275" s="5"/>
      <c r="I275" s="3"/>
      <c r="J275" s="3"/>
      <c r="K275" s="25" t="s">
        <v>930</v>
      </c>
      <c r="L275" t="str">
        <f t="shared" si="8"/>
        <v>VARCHAR(1800),</v>
      </c>
      <c r="N275" s="38" t="str">
        <f t="shared" si="9"/>
        <v>COMMENT ON COLUMN bfs_service_summary_device.relative_other_pd_name_4 IS '相対他pd名称4';</v>
      </c>
      <c r="R275" s="34" t="s">
        <v>931</v>
      </c>
    </row>
    <row r="276" spans="1:18" ht="19.5" thickBot="1">
      <c r="A276" s="6"/>
      <c r="B276" s="6">
        <v>270</v>
      </c>
      <c r="C276" s="6" t="s">
        <v>932</v>
      </c>
      <c r="D276" s="6" t="s">
        <v>66</v>
      </c>
      <c r="E276" s="6">
        <v>900</v>
      </c>
      <c r="F276" s="7" t="s">
        <v>67</v>
      </c>
      <c r="G276" s="6"/>
      <c r="H276" s="8"/>
      <c r="I276" s="6"/>
      <c r="J276" s="6"/>
      <c r="K276" s="25" t="s">
        <v>933</v>
      </c>
      <c r="L276" t="str">
        <f t="shared" si="8"/>
        <v>VARCHAR(900),</v>
      </c>
      <c r="N276" s="38" t="str">
        <f t="shared" si="9"/>
        <v>COMMENT ON COLUMN bfs_service_summary_device.relative_other_discount_method_4 IS '相対他割引方法4';</v>
      </c>
      <c r="R276" s="34" t="s">
        <v>934</v>
      </c>
    </row>
    <row r="277" spans="1:18" ht="19.5" thickBot="1">
      <c r="A277" s="3"/>
      <c r="B277" s="3">
        <v>271</v>
      </c>
      <c r="C277" s="3" t="s">
        <v>935</v>
      </c>
      <c r="D277" s="3" t="s">
        <v>66</v>
      </c>
      <c r="E277" s="3">
        <v>60</v>
      </c>
      <c r="F277" s="2" t="s">
        <v>67</v>
      </c>
      <c r="G277" s="3"/>
      <c r="H277" s="5"/>
      <c r="I277" s="3"/>
      <c r="J277" s="3"/>
      <c r="K277" s="25" t="s">
        <v>936</v>
      </c>
      <c r="L277" t="str">
        <f t="shared" si="8"/>
        <v>VARCHAR(60),</v>
      </c>
      <c r="N277" s="38" t="str">
        <f t="shared" si="9"/>
        <v>COMMENT ON COLUMN bfs_service_summary_device.relative_other_effective_start_date_4 IS '相対他有効開始日4';</v>
      </c>
      <c r="R277" s="34" t="s">
        <v>937</v>
      </c>
    </row>
    <row r="278" spans="1:18" ht="19.5" thickBot="1">
      <c r="A278" s="6"/>
      <c r="B278" s="6">
        <v>272</v>
      </c>
      <c r="C278" s="6" t="s">
        <v>938</v>
      </c>
      <c r="D278" s="6" t="s">
        <v>66</v>
      </c>
      <c r="E278" s="6">
        <v>60</v>
      </c>
      <c r="F278" s="7" t="s">
        <v>67</v>
      </c>
      <c r="G278" s="6"/>
      <c r="H278" s="8"/>
      <c r="I278" s="6"/>
      <c r="J278" s="6"/>
      <c r="K278" s="25" t="s">
        <v>939</v>
      </c>
      <c r="L278" t="str">
        <f t="shared" si="8"/>
        <v>VARCHAR(60),</v>
      </c>
      <c r="N278" s="38" t="str">
        <f t="shared" si="9"/>
        <v>COMMENT ON COLUMN bfs_service_summary_device.relative_other_effective_end_date_4 IS '相対他有効終了日4';</v>
      </c>
      <c r="R278" s="34" t="s">
        <v>940</v>
      </c>
    </row>
    <row r="279" spans="1:18" ht="19.5" thickBot="1">
      <c r="A279" s="3"/>
      <c r="B279" s="3">
        <v>273</v>
      </c>
      <c r="C279" s="3" t="s">
        <v>941</v>
      </c>
      <c r="D279" s="3" t="s">
        <v>66</v>
      </c>
      <c r="E279" s="3">
        <v>24</v>
      </c>
      <c r="F279" s="2" t="s">
        <v>67</v>
      </c>
      <c r="G279" s="3"/>
      <c r="H279" s="5"/>
      <c r="I279" s="3"/>
      <c r="J279" s="3"/>
      <c r="K279" s="25" t="s">
        <v>942</v>
      </c>
      <c r="L279" t="str">
        <f t="shared" si="8"/>
        <v>VARCHAR(24),</v>
      </c>
      <c r="N279" s="38" t="str">
        <f t="shared" si="9"/>
        <v>COMMENT ON COLUMN bfs_service_summary_device.relative_other_invoice_amount_4 IS '相対他請求金額4';</v>
      </c>
      <c r="R279" s="34" t="s">
        <v>943</v>
      </c>
    </row>
    <row r="280" spans="1:18" ht="19.5" thickBot="1">
      <c r="A280" s="6"/>
      <c r="B280" s="6">
        <v>274</v>
      </c>
      <c r="C280" s="6" t="s">
        <v>944</v>
      </c>
      <c r="D280" s="6" t="s">
        <v>66</v>
      </c>
      <c r="E280" s="6">
        <v>24</v>
      </c>
      <c r="F280" s="7" t="s">
        <v>67</v>
      </c>
      <c r="G280" s="6"/>
      <c r="H280" s="8"/>
      <c r="I280" s="6"/>
      <c r="J280" s="6"/>
      <c r="K280" s="25" t="s">
        <v>945</v>
      </c>
      <c r="L280" t="str">
        <f t="shared" si="8"/>
        <v>VARCHAR(24),</v>
      </c>
      <c r="N280" s="38" t="str">
        <f t="shared" si="9"/>
        <v>COMMENT ON COLUMN bfs_service_summary_device.relative_other_discount_amount_4 IS '相対他割引金額4';</v>
      </c>
      <c r="R280" s="34" t="s">
        <v>946</v>
      </c>
    </row>
    <row r="281" spans="1:18" ht="19.5" thickBot="1">
      <c r="A281" s="3"/>
      <c r="B281" s="3">
        <v>275</v>
      </c>
      <c r="C281" s="3" t="s">
        <v>947</v>
      </c>
      <c r="D281" s="3" t="s">
        <v>66</v>
      </c>
      <c r="E281" s="3">
        <v>18</v>
      </c>
      <c r="F281" s="2" t="s">
        <v>67</v>
      </c>
      <c r="G281" s="3"/>
      <c r="H281" s="5"/>
      <c r="I281" s="3"/>
      <c r="J281" s="3"/>
      <c r="K281" s="25" t="s">
        <v>948</v>
      </c>
      <c r="L281" t="str">
        <f t="shared" si="8"/>
        <v>VARCHAR(18),</v>
      </c>
      <c r="N281" s="38" t="str">
        <f t="shared" si="9"/>
        <v>COMMENT ON COLUMN bfs_service_summary_device.relative_other_discount_rate_4 IS '相対他割引率4';</v>
      </c>
      <c r="R281" s="34" t="s">
        <v>949</v>
      </c>
    </row>
    <row r="282" spans="1:18" ht="19.5" thickBot="1">
      <c r="A282" s="6"/>
      <c r="B282" s="6">
        <v>276</v>
      </c>
      <c r="C282" s="6" t="s">
        <v>950</v>
      </c>
      <c r="D282" s="6" t="s">
        <v>66</v>
      </c>
      <c r="E282" s="6">
        <v>6</v>
      </c>
      <c r="F282" s="7" t="s">
        <v>67</v>
      </c>
      <c r="G282" s="6"/>
      <c r="H282" s="8"/>
      <c r="I282" s="6"/>
      <c r="J282" s="6"/>
      <c r="K282" s="25" t="s">
        <v>951</v>
      </c>
      <c r="L282" t="str">
        <f t="shared" si="8"/>
        <v>VARCHAR(6),</v>
      </c>
      <c r="N282" s="38" t="str">
        <f t="shared" si="9"/>
        <v>COMMENT ON COLUMN bfs_service_summary_device.relative_other_discount_start_month_4 IS '相対他割引開始月4';</v>
      </c>
      <c r="R282" s="34" t="s">
        <v>952</v>
      </c>
    </row>
    <row r="283" spans="1:18" ht="19.5" thickBot="1">
      <c r="A283" s="3"/>
      <c r="B283" s="3">
        <v>277</v>
      </c>
      <c r="C283" s="3" t="s">
        <v>953</v>
      </c>
      <c r="D283" s="3" t="s">
        <v>89</v>
      </c>
      <c r="E283" s="3">
        <v>3</v>
      </c>
      <c r="F283" s="2" t="s">
        <v>67</v>
      </c>
      <c r="G283" s="3"/>
      <c r="H283" s="5"/>
      <c r="I283" s="3"/>
      <c r="J283" s="3"/>
      <c r="K283" s="25" t="s">
        <v>954</v>
      </c>
      <c r="L283" t="str">
        <f t="shared" si="8"/>
        <v>DECIMAL(3),</v>
      </c>
      <c r="N283" s="38" t="str">
        <f t="shared" si="9"/>
        <v>COMMENT ON COLUMN bfs_service_summary_device.relative_other_period_4 IS '相対他期間4';</v>
      </c>
      <c r="R283" s="34" t="s">
        <v>955</v>
      </c>
    </row>
    <row r="284" spans="1:18" ht="19.5" thickBot="1">
      <c r="A284" s="6"/>
      <c r="B284" s="6">
        <v>278</v>
      </c>
      <c r="C284" s="6" t="s">
        <v>956</v>
      </c>
      <c r="D284" s="6" t="s">
        <v>66</v>
      </c>
      <c r="E284" s="6">
        <v>1800</v>
      </c>
      <c r="F284" s="7" t="s">
        <v>67</v>
      </c>
      <c r="G284" s="6"/>
      <c r="H284" s="8"/>
      <c r="I284" s="6"/>
      <c r="J284" s="6"/>
      <c r="K284" s="25" t="s">
        <v>957</v>
      </c>
      <c r="L284" t="str">
        <f t="shared" si="8"/>
        <v>VARCHAR(1800),</v>
      </c>
      <c r="N284" s="38" t="str">
        <f t="shared" si="9"/>
        <v>COMMENT ON COLUMN bfs_service_summary_device.relative_other_pd_category_5 IS '相対他pdカテゴリ5';</v>
      </c>
      <c r="R284" s="34" t="s">
        <v>958</v>
      </c>
    </row>
    <row r="285" spans="1:18" ht="19.5" thickBot="1">
      <c r="A285" s="3"/>
      <c r="B285" s="3">
        <v>279</v>
      </c>
      <c r="C285" s="3" t="s">
        <v>959</v>
      </c>
      <c r="D285" s="3" t="s">
        <v>66</v>
      </c>
      <c r="E285" s="3">
        <v>1800</v>
      </c>
      <c r="F285" s="2" t="s">
        <v>67</v>
      </c>
      <c r="G285" s="3"/>
      <c r="H285" s="5"/>
      <c r="I285" s="3"/>
      <c r="J285" s="3"/>
      <c r="K285" s="25" t="s">
        <v>960</v>
      </c>
      <c r="L285" t="str">
        <f t="shared" si="8"/>
        <v>VARCHAR(1800),</v>
      </c>
      <c r="N285" s="38" t="str">
        <f t="shared" si="9"/>
        <v>COMMENT ON COLUMN bfs_service_summary_device.relative_other_pd_name_5 IS '相対他pd名称5';</v>
      </c>
      <c r="R285" s="34" t="s">
        <v>961</v>
      </c>
    </row>
    <row r="286" spans="1:18" ht="19.5" thickBot="1">
      <c r="A286" s="6"/>
      <c r="B286" s="6">
        <v>280</v>
      </c>
      <c r="C286" s="6" t="s">
        <v>962</v>
      </c>
      <c r="D286" s="6" t="s">
        <v>66</v>
      </c>
      <c r="E286" s="6">
        <v>900</v>
      </c>
      <c r="F286" s="7" t="s">
        <v>67</v>
      </c>
      <c r="G286" s="6"/>
      <c r="H286" s="8"/>
      <c r="I286" s="6"/>
      <c r="J286" s="6"/>
      <c r="K286" s="25" t="s">
        <v>963</v>
      </c>
      <c r="L286" t="str">
        <f t="shared" si="8"/>
        <v>VARCHAR(900),</v>
      </c>
      <c r="N286" s="38" t="str">
        <f t="shared" si="9"/>
        <v>COMMENT ON COLUMN bfs_service_summary_device.relative_other_discount_method_5 IS '相対他割引方法5';</v>
      </c>
      <c r="R286" s="34" t="s">
        <v>964</v>
      </c>
    </row>
    <row r="287" spans="1:18" ht="19.5" thickBot="1">
      <c r="A287" s="3"/>
      <c r="B287" s="3">
        <v>281</v>
      </c>
      <c r="C287" s="3" t="s">
        <v>965</v>
      </c>
      <c r="D287" s="3" t="s">
        <v>66</v>
      </c>
      <c r="E287" s="3">
        <v>60</v>
      </c>
      <c r="F287" s="2" t="s">
        <v>67</v>
      </c>
      <c r="G287" s="3"/>
      <c r="H287" s="5"/>
      <c r="I287" s="3"/>
      <c r="J287" s="3"/>
      <c r="K287" s="25" t="s">
        <v>966</v>
      </c>
      <c r="L287" t="str">
        <f t="shared" si="8"/>
        <v>VARCHAR(60),</v>
      </c>
      <c r="N287" s="38" t="str">
        <f t="shared" si="9"/>
        <v>COMMENT ON COLUMN bfs_service_summary_device.relative_other_effective_start_date_5 IS '相対他有効開始日5';</v>
      </c>
      <c r="R287" s="34" t="s">
        <v>967</v>
      </c>
    </row>
    <row r="288" spans="1:18" ht="19.5" thickBot="1">
      <c r="A288" s="6"/>
      <c r="B288" s="6">
        <v>282</v>
      </c>
      <c r="C288" s="6" t="s">
        <v>968</v>
      </c>
      <c r="D288" s="6" t="s">
        <v>66</v>
      </c>
      <c r="E288" s="6">
        <v>60</v>
      </c>
      <c r="F288" s="7" t="s">
        <v>67</v>
      </c>
      <c r="G288" s="6"/>
      <c r="H288" s="8"/>
      <c r="I288" s="6"/>
      <c r="J288" s="6"/>
      <c r="K288" s="25" t="s">
        <v>969</v>
      </c>
      <c r="L288" t="str">
        <f t="shared" si="8"/>
        <v>VARCHAR(60),</v>
      </c>
      <c r="N288" s="38" t="str">
        <f t="shared" si="9"/>
        <v>COMMENT ON COLUMN bfs_service_summary_device.relative_other_effective_end_date_5 IS '相対他有効終了日5';</v>
      </c>
      <c r="R288" s="34" t="s">
        <v>970</v>
      </c>
    </row>
    <row r="289" spans="1:18" ht="19.5" thickBot="1">
      <c r="A289" s="3"/>
      <c r="B289" s="3">
        <v>283</v>
      </c>
      <c r="C289" s="3" t="s">
        <v>971</v>
      </c>
      <c r="D289" s="3" t="s">
        <v>66</v>
      </c>
      <c r="E289" s="3">
        <v>24</v>
      </c>
      <c r="F289" s="2" t="s">
        <v>67</v>
      </c>
      <c r="G289" s="3"/>
      <c r="H289" s="5"/>
      <c r="I289" s="3"/>
      <c r="J289" s="3"/>
      <c r="K289" s="25" t="s">
        <v>972</v>
      </c>
      <c r="L289" t="str">
        <f t="shared" si="8"/>
        <v>VARCHAR(24),</v>
      </c>
      <c r="N289" s="38" t="str">
        <f t="shared" si="9"/>
        <v>COMMENT ON COLUMN bfs_service_summary_device.relative_other_billing_amount_5 IS '相対他請求金額5';</v>
      </c>
      <c r="R289" s="34" t="s">
        <v>973</v>
      </c>
    </row>
    <row r="290" spans="1:18" ht="19.5" thickBot="1">
      <c r="A290" s="6"/>
      <c r="B290" s="6">
        <v>284</v>
      </c>
      <c r="C290" s="6" t="s">
        <v>974</v>
      </c>
      <c r="D290" s="6" t="s">
        <v>66</v>
      </c>
      <c r="E290" s="6">
        <v>24</v>
      </c>
      <c r="F290" s="7" t="s">
        <v>67</v>
      </c>
      <c r="G290" s="6"/>
      <c r="H290" s="8"/>
      <c r="I290" s="6"/>
      <c r="J290" s="6"/>
      <c r="K290" s="25" t="s">
        <v>975</v>
      </c>
      <c r="L290" t="str">
        <f t="shared" si="8"/>
        <v>VARCHAR(24),</v>
      </c>
      <c r="N290" s="38" t="str">
        <f t="shared" si="9"/>
        <v>COMMENT ON COLUMN bfs_service_summary_device.relative_other_discount_amount_5 IS '相対他割引金額5';</v>
      </c>
      <c r="R290" s="34" t="s">
        <v>976</v>
      </c>
    </row>
    <row r="291" spans="1:18" ht="19.5" thickBot="1">
      <c r="A291" s="3"/>
      <c r="B291" s="3">
        <v>285</v>
      </c>
      <c r="C291" s="3" t="s">
        <v>977</v>
      </c>
      <c r="D291" s="3" t="s">
        <v>66</v>
      </c>
      <c r="E291" s="3">
        <v>18</v>
      </c>
      <c r="F291" s="2" t="s">
        <v>67</v>
      </c>
      <c r="G291" s="3"/>
      <c r="H291" s="5"/>
      <c r="I291" s="3"/>
      <c r="J291" s="3"/>
      <c r="K291" s="25" t="s">
        <v>978</v>
      </c>
      <c r="L291" t="str">
        <f t="shared" si="8"/>
        <v>VARCHAR(18),</v>
      </c>
      <c r="N291" s="38" t="str">
        <f t="shared" si="9"/>
        <v>COMMENT ON COLUMN bfs_service_summary_device.relative_other_discount_rate_5 IS '相対他割引率5';</v>
      </c>
      <c r="R291" s="34" t="s">
        <v>979</v>
      </c>
    </row>
    <row r="292" spans="1:18" ht="19.5" thickBot="1">
      <c r="A292" s="6"/>
      <c r="B292" s="6">
        <v>286</v>
      </c>
      <c r="C292" s="6" t="s">
        <v>980</v>
      </c>
      <c r="D292" s="6" t="s">
        <v>66</v>
      </c>
      <c r="E292" s="6">
        <v>6</v>
      </c>
      <c r="F292" s="7" t="s">
        <v>67</v>
      </c>
      <c r="G292" s="6"/>
      <c r="H292" s="8"/>
      <c r="I292" s="6"/>
      <c r="J292" s="6"/>
      <c r="K292" s="25" t="s">
        <v>981</v>
      </c>
      <c r="L292" t="str">
        <f t="shared" si="8"/>
        <v>VARCHAR(6),</v>
      </c>
      <c r="N292" s="38" t="str">
        <f t="shared" si="9"/>
        <v>COMMENT ON COLUMN bfs_service_summary_device.relative_other_discount_start_month_5 IS '相対他割引開始月5';</v>
      </c>
      <c r="R292" s="34" t="s">
        <v>982</v>
      </c>
    </row>
    <row r="293" spans="1:18" ht="19.5" thickBot="1">
      <c r="A293" s="3"/>
      <c r="B293" s="3">
        <v>287</v>
      </c>
      <c r="C293" s="3" t="s">
        <v>983</v>
      </c>
      <c r="D293" s="3" t="s">
        <v>89</v>
      </c>
      <c r="E293" s="3">
        <v>3</v>
      </c>
      <c r="F293" s="2" t="s">
        <v>67</v>
      </c>
      <c r="G293" s="3"/>
      <c r="H293" s="5"/>
      <c r="I293" s="3"/>
      <c r="J293" s="3"/>
      <c r="K293" s="25" t="s">
        <v>984</v>
      </c>
      <c r="L293" t="str">
        <f t="shared" si="8"/>
        <v>DECIMAL(3),</v>
      </c>
      <c r="N293" s="38" t="str">
        <f t="shared" si="9"/>
        <v>COMMENT ON COLUMN bfs_service_summary_device.relative_other_period_5 IS '相対他期間5';</v>
      </c>
      <c r="R293" s="34" t="s">
        <v>985</v>
      </c>
    </row>
    <row r="294" spans="1:18" ht="19.5" thickBot="1">
      <c r="A294" s="6"/>
      <c r="B294" s="6">
        <v>288</v>
      </c>
      <c r="C294" s="6" t="s">
        <v>986</v>
      </c>
      <c r="D294" s="6" t="s">
        <v>66</v>
      </c>
      <c r="E294" s="6">
        <v>900</v>
      </c>
      <c r="F294" s="7" t="s">
        <v>67</v>
      </c>
      <c r="G294" s="6"/>
      <c r="H294" s="8"/>
      <c r="I294" s="6"/>
      <c r="J294" s="6"/>
      <c r="K294" s="25" t="s">
        <v>987</v>
      </c>
      <c r="L294" t="str">
        <f t="shared" si="8"/>
        <v>VARCHAR(900),</v>
      </c>
      <c r="N294" s="38" t="str">
        <f t="shared" si="9"/>
        <v>COMMENT ON COLUMN bfs_service_summary_device.rnt_registration_administrative_fee_waiver IS 'rnt登録事務手数料免除';</v>
      </c>
      <c r="R294" s="34" t="s">
        <v>988</v>
      </c>
    </row>
    <row r="295" spans="1:18" ht="19.5" thickBot="1">
      <c r="A295" s="3"/>
      <c r="B295" s="3">
        <v>289</v>
      </c>
      <c r="C295" s="3" t="s">
        <v>989</v>
      </c>
      <c r="D295" s="3" t="s">
        <v>66</v>
      </c>
      <c r="E295" s="3">
        <v>900</v>
      </c>
      <c r="F295" s="2" t="s">
        <v>67</v>
      </c>
      <c r="G295" s="3"/>
      <c r="H295" s="5"/>
      <c r="I295" s="3"/>
      <c r="J295" s="3"/>
      <c r="K295" s="25" t="s">
        <v>990</v>
      </c>
      <c r="L295" t="str">
        <f t="shared" si="8"/>
        <v>VARCHAR(900),</v>
      </c>
      <c r="N295" s="38" t="str">
        <f t="shared" si="9"/>
        <v>COMMENT ON COLUMN bfs_service_summary_device.rnt_registration_administrative_fee_amount IS 'rnt登録事務手数料金額';</v>
      </c>
      <c r="R295" s="34" t="s">
        <v>991</v>
      </c>
    </row>
    <row r="296" spans="1:18" ht="19.5" thickBot="1">
      <c r="A296" s="6"/>
      <c r="B296" s="6">
        <v>290</v>
      </c>
      <c r="C296" s="6" t="s">
        <v>992</v>
      </c>
      <c r="D296" s="6" t="s">
        <v>66</v>
      </c>
      <c r="E296" s="6">
        <v>900</v>
      </c>
      <c r="F296" s="7" t="s">
        <v>67</v>
      </c>
      <c r="G296" s="6"/>
      <c r="H296" s="8"/>
      <c r="I296" s="6"/>
      <c r="J296" s="6"/>
      <c r="K296" s="25" t="s">
        <v>993</v>
      </c>
      <c r="L296" t="str">
        <f t="shared" si="8"/>
        <v>VARCHAR(900),</v>
      </c>
      <c r="N296" s="38" t="str">
        <f t="shared" si="9"/>
        <v>COMMENT ON COLUMN bfs_service_summary_device.rnt_cancellation_penalty_discount_method IS 'rnt解約違約金割引方法';</v>
      </c>
      <c r="R296" s="34" t="s">
        <v>994</v>
      </c>
    </row>
    <row r="297" spans="1:18" ht="19.5" thickBot="1">
      <c r="A297" s="3"/>
      <c r="B297" s="3">
        <v>291</v>
      </c>
      <c r="C297" s="3" t="s">
        <v>995</v>
      </c>
      <c r="D297" s="3" t="s">
        <v>66</v>
      </c>
      <c r="E297" s="3">
        <v>900</v>
      </c>
      <c r="F297" s="2" t="s">
        <v>67</v>
      </c>
      <c r="G297" s="3"/>
      <c r="H297" s="5"/>
      <c r="I297" s="3"/>
      <c r="J297" s="3"/>
      <c r="K297" s="25" t="s">
        <v>996</v>
      </c>
      <c r="L297" t="str">
        <f t="shared" si="8"/>
        <v>VARCHAR(900),</v>
      </c>
      <c r="N297" s="38" t="str">
        <f t="shared" si="9"/>
        <v>COMMENT ON COLUMN bfs_service_summary_device.rnt_cancellation_penalty_amount IS 'rnt解約違約金金額';</v>
      </c>
      <c r="R297" s="34" t="s">
        <v>997</v>
      </c>
    </row>
    <row r="298" spans="1:18" ht="19.5" thickBot="1">
      <c r="A298" s="6"/>
      <c r="B298" s="6">
        <v>292</v>
      </c>
      <c r="C298" s="6" t="s">
        <v>998</v>
      </c>
      <c r="D298" s="6" t="s">
        <v>66</v>
      </c>
      <c r="E298" s="6">
        <v>900</v>
      </c>
      <c r="F298" s="7" t="s">
        <v>67</v>
      </c>
      <c r="G298" s="6"/>
      <c r="H298" s="8"/>
      <c r="I298" s="6"/>
      <c r="J298" s="6"/>
      <c r="K298" s="25" t="s">
        <v>999</v>
      </c>
      <c r="L298" t="str">
        <f t="shared" si="8"/>
        <v>VARCHAR(900),</v>
      </c>
      <c r="N298" s="38" t="str">
        <f t="shared" si="9"/>
        <v>COMMENT ON COLUMN bfs_service_summary_device.rrelative_op_1 IS 'r相対op1';</v>
      </c>
      <c r="R298" s="34" t="s">
        <v>1000</v>
      </c>
    </row>
    <row r="299" spans="1:18" ht="19.5" thickBot="1">
      <c r="A299" s="3"/>
      <c r="B299" s="3">
        <v>293</v>
      </c>
      <c r="C299" s="3" t="s">
        <v>1001</v>
      </c>
      <c r="D299" s="3" t="s">
        <v>66</v>
      </c>
      <c r="E299" s="3">
        <v>600</v>
      </c>
      <c r="F299" s="2" t="s">
        <v>67</v>
      </c>
      <c r="G299" s="3"/>
      <c r="H299" s="5"/>
      <c r="I299" s="3"/>
      <c r="J299" s="3"/>
      <c r="K299" s="25" t="s">
        <v>1002</v>
      </c>
      <c r="L299" t="str">
        <f t="shared" si="8"/>
        <v>VARCHAR(600),</v>
      </c>
      <c r="N299" s="38" t="str">
        <f t="shared" si="9"/>
        <v>COMMENT ON COLUMN bfs_service_summary_device.rrelative_plan_1 IS 'r相対プラン1';</v>
      </c>
      <c r="R299" s="34" t="s">
        <v>1003</v>
      </c>
    </row>
    <row r="300" spans="1:18" ht="19.5" thickBot="1">
      <c r="A300" s="6"/>
      <c r="B300" s="6">
        <v>294</v>
      </c>
      <c r="C300" s="6" t="s">
        <v>1004</v>
      </c>
      <c r="D300" s="6" t="s">
        <v>66</v>
      </c>
      <c r="E300" s="6">
        <v>900</v>
      </c>
      <c r="F300" s="7" t="s">
        <v>67</v>
      </c>
      <c r="G300" s="6"/>
      <c r="H300" s="8"/>
      <c r="I300" s="6"/>
      <c r="J300" s="6"/>
      <c r="K300" s="25" t="s">
        <v>1005</v>
      </c>
      <c r="L300" t="str">
        <f t="shared" si="8"/>
        <v>VARCHAR(900),</v>
      </c>
      <c r="N300" s="38" t="str">
        <f t="shared" si="9"/>
        <v>COMMENT ON COLUMN bfs_service_summary_device.rrelative_discount_method_1 IS 'r相対割引方法1';</v>
      </c>
      <c r="R300" s="34" t="s">
        <v>1006</v>
      </c>
    </row>
    <row r="301" spans="1:18" ht="19.5" thickBot="1">
      <c r="A301" s="3"/>
      <c r="B301" s="3">
        <v>295</v>
      </c>
      <c r="C301" s="3" t="s">
        <v>1007</v>
      </c>
      <c r="D301" s="3" t="s">
        <v>66</v>
      </c>
      <c r="E301" s="3">
        <v>60</v>
      </c>
      <c r="F301" s="2" t="s">
        <v>67</v>
      </c>
      <c r="G301" s="3"/>
      <c r="H301" s="5"/>
      <c r="I301" s="3"/>
      <c r="J301" s="3"/>
      <c r="K301" s="25" t="s">
        <v>1008</v>
      </c>
      <c r="L301" t="str">
        <f t="shared" si="8"/>
        <v>VARCHAR(60),</v>
      </c>
      <c r="N301" s="38" t="str">
        <f t="shared" si="9"/>
        <v>COMMENT ON COLUMN bfs_service_summary_device.rrelative_effective_start_date_1 IS 'r相対有効開始日1';</v>
      </c>
      <c r="R301" s="34" t="s">
        <v>1009</v>
      </c>
    </row>
    <row r="302" spans="1:18" ht="19.5" thickBot="1">
      <c r="A302" s="6"/>
      <c r="B302" s="6">
        <v>296</v>
      </c>
      <c r="C302" s="6" t="s">
        <v>1010</v>
      </c>
      <c r="D302" s="6" t="s">
        <v>66</v>
      </c>
      <c r="E302" s="6">
        <v>60</v>
      </c>
      <c r="F302" s="7" t="s">
        <v>67</v>
      </c>
      <c r="G302" s="6"/>
      <c r="H302" s="8"/>
      <c r="I302" s="6"/>
      <c r="J302" s="6"/>
      <c r="K302" s="25" t="s">
        <v>1011</v>
      </c>
      <c r="L302" t="str">
        <f t="shared" si="8"/>
        <v>VARCHAR(60),</v>
      </c>
      <c r="N302" s="38" t="str">
        <f t="shared" si="9"/>
        <v>COMMENT ON COLUMN bfs_service_summary_device.rrelative_effective_end_date_1 IS 'r相対有効終了日1';</v>
      </c>
      <c r="R302" s="34" t="s">
        <v>1012</v>
      </c>
    </row>
    <row r="303" spans="1:18" ht="19.5" thickBot="1">
      <c r="A303" s="3"/>
      <c r="B303" s="3">
        <v>297</v>
      </c>
      <c r="C303" s="3" t="s">
        <v>1013</v>
      </c>
      <c r="D303" s="3" t="s">
        <v>89</v>
      </c>
      <c r="E303" s="3">
        <v>10</v>
      </c>
      <c r="F303" s="2" t="s">
        <v>67</v>
      </c>
      <c r="G303" s="3"/>
      <c r="H303" s="5"/>
      <c r="I303" s="3"/>
      <c r="J303" s="3"/>
      <c r="K303" s="25" t="s">
        <v>1014</v>
      </c>
      <c r="L303" t="str">
        <f t="shared" si="8"/>
        <v>DECIMAL(10),</v>
      </c>
      <c r="N303" s="38" t="str">
        <f t="shared" si="9"/>
        <v>COMMENT ON COLUMN bfs_service_summary_device.rrelative_amount_1 IS 'r相対金額1';</v>
      </c>
      <c r="R303" s="34" t="s">
        <v>1015</v>
      </c>
    </row>
    <row r="304" spans="1:18" ht="19.5" thickBot="1">
      <c r="A304" s="6"/>
      <c r="B304" s="6">
        <v>298</v>
      </c>
      <c r="C304" s="6" t="s">
        <v>1016</v>
      </c>
      <c r="D304" s="6" t="s">
        <v>89</v>
      </c>
      <c r="E304" s="6">
        <v>3</v>
      </c>
      <c r="F304" s="7" t="s">
        <v>67</v>
      </c>
      <c r="G304" s="6"/>
      <c r="H304" s="8"/>
      <c r="I304" s="6"/>
      <c r="J304" s="6"/>
      <c r="K304" s="25" t="s">
        <v>1017</v>
      </c>
      <c r="L304" t="str">
        <f t="shared" si="8"/>
        <v>DECIMAL(3),</v>
      </c>
      <c r="N304" s="38" t="str">
        <f t="shared" si="9"/>
        <v>COMMENT ON COLUMN bfs_service_summary_device.rrelative_period_1 IS 'r相対期間1';</v>
      </c>
      <c r="R304" s="34" t="s">
        <v>1018</v>
      </c>
    </row>
    <row r="305" spans="1:18" ht="19.5" thickBot="1">
      <c r="A305" s="3"/>
      <c r="B305" s="3">
        <v>299</v>
      </c>
      <c r="C305" s="3" t="s">
        <v>1019</v>
      </c>
      <c r="D305" s="3" t="s">
        <v>66</v>
      </c>
      <c r="E305" s="3">
        <v>900</v>
      </c>
      <c r="F305" s="2" t="s">
        <v>67</v>
      </c>
      <c r="G305" s="3"/>
      <c r="H305" s="5"/>
      <c r="I305" s="3"/>
      <c r="J305" s="3"/>
      <c r="K305" s="25" t="s">
        <v>1020</v>
      </c>
      <c r="L305" t="str">
        <f t="shared" si="8"/>
        <v>VARCHAR(900),</v>
      </c>
      <c r="N305" s="38" t="str">
        <f t="shared" si="9"/>
        <v>COMMENT ON COLUMN bfs_service_summary_device.rrelative_op_2 IS 'r相対op2';</v>
      </c>
      <c r="R305" s="34" t="s">
        <v>1021</v>
      </c>
    </row>
    <row r="306" spans="1:18" ht="19.5" thickBot="1">
      <c r="A306" s="6"/>
      <c r="B306" s="6">
        <v>300</v>
      </c>
      <c r="C306" s="6" t="s">
        <v>1022</v>
      </c>
      <c r="D306" s="6" t="s">
        <v>66</v>
      </c>
      <c r="E306" s="6">
        <v>600</v>
      </c>
      <c r="F306" s="7" t="s">
        <v>67</v>
      </c>
      <c r="G306" s="6"/>
      <c r="H306" s="8"/>
      <c r="I306" s="6"/>
      <c r="J306" s="6"/>
      <c r="K306" s="25" t="s">
        <v>1023</v>
      </c>
      <c r="L306" t="str">
        <f t="shared" si="8"/>
        <v>VARCHAR(600),</v>
      </c>
      <c r="N306" s="38" t="str">
        <f t="shared" si="9"/>
        <v>COMMENT ON COLUMN bfs_service_summary_device.rrelative_plan_2 IS 'r相対プラン2';</v>
      </c>
      <c r="R306" s="34" t="s">
        <v>1024</v>
      </c>
    </row>
    <row r="307" spans="1:18" ht="19.5" thickBot="1">
      <c r="A307" s="3"/>
      <c r="B307" s="3">
        <v>301</v>
      </c>
      <c r="C307" s="3" t="s">
        <v>1025</v>
      </c>
      <c r="D307" s="3" t="s">
        <v>66</v>
      </c>
      <c r="E307" s="3">
        <v>900</v>
      </c>
      <c r="F307" s="2" t="s">
        <v>67</v>
      </c>
      <c r="G307" s="3"/>
      <c r="H307" s="5"/>
      <c r="I307" s="3"/>
      <c r="J307" s="3"/>
      <c r="K307" s="25" t="s">
        <v>1026</v>
      </c>
      <c r="L307" t="str">
        <f t="shared" si="8"/>
        <v>VARCHAR(900),</v>
      </c>
      <c r="N307" s="38" t="str">
        <f t="shared" si="9"/>
        <v>COMMENT ON COLUMN bfs_service_summary_device.rrelative_discount_method_2 IS 'r相対割引方法2';</v>
      </c>
      <c r="R307" s="34" t="s">
        <v>1027</v>
      </c>
    </row>
    <row r="308" spans="1:18" ht="19.5" thickBot="1">
      <c r="A308" s="6"/>
      <c r="B308" s="6">
        <v>302</v>
      </c>
      <c r="C308" s="6" t="s">
        <v>1028</v>
      </c>
      <c r="D308" s="6" t="s">
        <v>66</v>
      </c>
      <c r="E308" s="6">
        <v>60</v>
      </c>
      <c r="F308" s="7" t="s">
        <v>67</v>
      </c>
      <c r="G308" s="6"/>
      <c r="H308" s="8"/>
      <c r="I308" s="6"/>
      <c r="J308" s="6"/>
      <c r="K308" s="25" t="s">
        <v>1029</v>
      </c>
      <c r="L308" t="str">
        <f t="shared" si="8"/>
        <v>VARCHAR(60),</v>
      </c>
      <c r="N308" s="38" t="str">
        <f t="shared" si="9"/>
        <v>COMMENT ON COLUMN bfs_service_summary_device.rrelative_effective_start_date_2 IS 'r相対有効開始日2';</v>
      </c>
      <c r="R308" s="34" t="s">
        <v>1030</v>
      </c>
    </row>
    <row r="309" spans="1:18" ht="19.5" thickBot="1">
      <c r="A309" s="3"/>
      <c r="B309" s="3">
        <v>303</v>
      </c>
      <c r="C309" s="3" t="s">
        <v>1031</v>
      </c>
      <c r="D309" s="3" t="s">
        <v>66</v>
      </c>
      <c r="E309" s="3">
        <v>60</v>
      </c>
      <c r="F309" s="2" t="s">
        <v>67</v>
      </c>
      <c r="G309" s="3"/>
      <c r="H309" s="5"/>
      <c r="I309" s="3"/>
      <c r="J309" s="3"/>
      <c r="K309" s="25" t="s">
        <v>1032</v>
      </c>
      <c r="L309" t="str">
        <f t="shared" si="8"/>
        <v>VARCHAR(60),</v>
      </c>
      <c r="N309" s="38" t="str">
        <f t="shared" si="9"/>
        <v>COMMENT ON COLUMN bfs_service_summary_device.rrelative_effective_end_date_2 IS 'r相対有効終了日2';</v>
      </c>
      <c r="R309" s="34" t="s">
        <v>1033</v>
      </c>
    </row>
    <row r="310" spans="1:18" ht="19.5" thickBot="1">
      <c r="A310" s="6"/>
      <c r="B310" s="6">
        <v>304</v>
      </c>
      <c r="C310" s="6" t="s">
        <v>1034</v>
      </c>
      <c r="D310" s="6" t="s">
        <v>89</v>
      </c>
      <c r="E310" s="6">
        <v>10</v>
      </c>
      <c r="F310" s="7" t="s">
        <v>67</v>
      </c>
      <c r="G310" s="6"/>
      <c r="H310" s="8"/>
      <c r="I310" s="6"/>
      <c r="J310" s="6"/>
      <c r="K310" s="25" t="s">
        <v>1035</v>
      </c>
      <c r="L310" t="str">
        <f t="shared" si="8"/>
        <v>DECIMAL(10),</v>
      </c>
      <c r="N310" s="38" t="str">
        <f t="shared" si="9"/>
        <v>COMMENT ON COLUMN bfs_service_summary_device.rrelative_amount_2 IS 'r相対金額2';</v>
      </c>
      <c r="R310" s="34" t="s">
        <v>1036</v>
      </c>
    </row>
    <row r="311" spans="1:18" ht="19.5" thickBot="1">
      <c r="A311" s="3"/>
      <c r="B311" s="3">
        <v>305</v>
      </c>
      <c r="C311" s="3" t="s">
        <v>1037</v>
      </c>
      <c r="D311" s="3" t="s">
        <v>89</v>
      </c>
      <c r="E311" s="3">
        <v>3</v>
      </c>
      <c r="F311" s="2" t="s">
        <v>67</v>
      </c>
      <c r="G311" s="3"/>
      <c r="H311" s="5"/>
      <c r="I311" s="3"/>
      <c r="J311" s="3"/>
      <c r="K311" s="25" t="s">
        <v>1038</v>
      </c>
      <c r="L311" t="str">
        <f t="shared" si="8"/>
        <v>DECIMAL(3),</v>
      </c>
      <c r="N311" s="38" t="str">
        <f t="shared" si="9"/>
        <v>COMMENT ON COLUMN bfs_service_summary_device.rrelative_period_2 IS 'r相対期間2';</v>
      </c>
      <c r="R311" s="34" t="s">
        <v>1039</v>
      </c>
    </row>
    <row r="312" spans="1:18" ht="19.5" thickBot="1">
      <c r="A312" s="6"/>
      <c r="B312" s="6">
        <v>306</v>
      </c>
      <c r="C312" s="6" t="s">
        <v>1040</v>
      </c>
      <c r="D312" s="6" t="s">
        <v>66</v>
      </c>
      <c r="E312" s="6">
        <v>900</v>
      </c>
      <c r="F312" s="7" t="s">
        <v>67</v>
      </c>
      <c r="G312" s="6"/>
      <c r="H312" s="8"/>
      <c r="I312" s="6"/>
      <c r="J312" s="6"/>
      <c r="K312" s="25" t="s">
        <v>1041</v>
      </c>
      <c r="L312" t="str">
        <f t="shared" si="8"/>
        <v>VARCHAR(900),</v>
      </c>
      <c r="N312" s="38" t="str">
        <f t="shared" si="9"/>
        <v>COMMENT ON COLUMN bfs_service_summary_device.rrelative_op_3 IS 'r相対op3';</v>
      </c>
      <c r="R312" s="34" t="s">
        <v>1042</v>
      </c>
    </row>
    <row r="313" spans="1:18" ht="19.5" thickBot="1">
      <c r="A313" s="3"/>
      <c r="B313" s="3">
        <v>307</v>
      </c>
      <c r="C313" s="3" t="s">
        <v>1043</v>
      </c>
      <c r="D313" s="3" t="s">
        <v>66</v>
      </c>
      <c r="E313" s="3">
        <v>600</v>
      </c>
      <c r="F313" s="2" t="s">
        <v>67</v>
      </c>
      <c r="G313" s="3"/>
      <c r="H313" s="5"/>
      <c r="I313" s="3"/>
      <c r="J313" s="3"/>
      <c r="K313" s="25" t="s">
        <v>1044</v>
      </c>
      <c r="L313" t="str">
        <f t="shared" si="8"/>
        <v>VARCHAR(600),</v>
      </c>
      <c r="N313" s="38" t="str">
        <f t="shared" si="9"/>
        <v>COMMENT ON COLUMN bfs_service_summary_device.rrelative_plan_3 IS 'r相対プラン3';</v>
      </c>
      <c r="R313" s="34" t="s">
        <v>1045</v>
      </c>
    </row>
    <row r="314" spans="1:18" ht="19.5" thickBot="1">
      <c r="A314" s="6"/>
      <c r="B314" s="6">
        <v>308</v>
      </c>
      <c r="C314" s="6" t="s">
        <v>1046</v>
      </c>
      <c r="D314" s="6" t="s">
        <v>66</v>
      </c>
      <c r="E314" s="6">
        <v>900</v>
      </c>
      <c r="F314" s="7" t="s">
        <v>67</v>
      </c>
      <c r="G314" s="6"/>
      <c r="H314" s="8"/>
      <c r="I314" s="6"/>
      <c r="J314" s="6"/>
      <c r="K314" s="25" t="s">
        <v>1047</v>
      </c>
      <c r="L314" t="str">
        <f t="shared" si="8"/>
        <v>VARCHAR(900),</v>
      </c>
      <c r="N314" s="38" t="str">
        <f t="shared" si="9"/>
        <v>COMMENT ON COLUMN bfs_service_summary_device.rrelative_discount_method_3 IS 'r相対割引方法3';</v>
      </c>
      <c r="R314" s="34" t="s">
        <v>1048</v>
      </c>
    </row>
    <row r="315" spans="1:18" ht="19.5" thickBot="1">
      <c r="A315" s="3"/>
      <c r="B315" s="3">
        <v>309</v>
      </c>
      <c r="C315" s="3" t="s">
        <v>1049</v>
      </c>
      <c r="D315" s="3" t="s">
        <v>66</v>
      </c>
      <c r="E315" s="3">
        <v>60</v>
      </c>
      <c r="F315" s="2" t="s">
        <v>67</v>
      </c>
      <c r="G315" s="3"/>
      <c r="H315" s="5"/>
      <c r="I315" s="3"/>
      <c r="J315" s="3"/>
      <c r="K315" s="25" t="s">
        <v>1050</v>
      </c>
      <c r="L315" t="str">
        <f t="shared" si="8"/>
        <v>VARCHAR(60),</v>
      </c>
      <c r="N315" s="38" t="str">
        <f t="shared" si="9"/>
        <v>COMMENT ON COLUMN bfs_service_summary_device.rrelative_effective_start_date_3 IS 'r相対有効開始日3';</v>
      </c>
      <c r="R315" s="34" t="s">
        <v>1051</v>
      </c>
    </row>
    <row r="316" spans="1:18" ht="19.5" thickBot="1">
      <c r="A316" s="6"/>
      <c r="B316" s="6">
        <v>310</v>
      </c>
      <c r="C316" s="6" t="s">
        <v>1052</v>
      </c>
      <c r="D316" s="6" t="s">
        <v>66</v>
      </c>
      <c r="E316" s="6">
        <v>60</v>
      </c>
      <c r="F316" s="7" t="s">
        <v>67</v>
      </c>
      <c r="G316" s="6"/>
      <c r="H316" s="8"/>
      <c r="I316" s="6"/>
      <c r="J316" s="6"/>
      <c r="K316" s="25" t="s">
        <v>1053</v>
      </c>
      <c r="L316" t="str">
        <f t="shared" si="8"/>
        <v>VARCHAR(60),</v>
      </c>
      <c r="N316" s="38" t="str">
        <f t="shared" si="9"/>
        <v>COMMENT ON COLUMN bfs_service_summary_device.rrelative_effective_end_date_3 IS 'r相対有効終了日3';</v>
      </c>
      <c r="R316" s="34" t="s">
        <v>1054</v>
      </c>
    </row>
    <row r="317" spans="1:18" ht="19.5" thickBot="1">
      <c r="A317" s="3"/>
      <c r="B317" s="3">
        <v>311</v>
      </c>
      <c r="C317" s="3" t="s">
        <v>1055</v>
      </c>
      <c r="D317" s="3" t="s">
        <v>89</v>
      </c>
      <c r="E317" s="3">
        <v>10</v>
      </c>
      <c r="F317" s="2" t="s">
        <v>67</v>
      </c>
      <c r="G317" s="3"/>
      <c r="H317" s="5"/>
      <c r="I317" s="3"/>
      <c r="J317" s="3"/>
      <c r="K317" s="25" t="s">
        <v>1056</v>
      </c>
      <c r="L317" t="str">
        <f t="shared" si="8"/>
        <v>DECIMAL(10),</v>
      </c>
      <c r="N317" s="38" t="str">
        <f t="shared" si="9"/>
        <v>COMMENT ON COLUMN bfs_service_summary_device.rrelative_amount_3 IS 'r相対金額3';</v>
      </c>
      <c r="R317" s="34" t="s">
        <v>1057</v>
      </c>
    </row>
    <row r="318" spans="1:18" ht="19.5" thickBot="1">
      <c r="A318" s="6"/>
      <c r="B318" s="6">
        <v>312</v>
      </c>
      <c r="C318" s="6" t="s">
        <v>1058</v>
      </c>
      <c r="D318" s="6" t="s">
        <v>89</v>
      </c>
      <c r="E318" s="6">
        <v>3</v>
      </c>
      <c r="F318" s="7" t="s">
        <v>67</v>
      </c>
      <c r="G318" s="6"/>
      <c r="H318" s="8"/>
      <c r="I318" s="6"/>
      <c r="J318" s="6"/>
      <c r="K318" s="25" t="s">
        <v>1059</v>
      </c>
      <c r="L318" t="str">
        <f t="shared" si="8"/>
        <v>DECIMAL(3),</v>
      </c>
      <c r="N318" s="38" t="str">
        <f t="shared" si="9"/>
        <v>COMMENT ON COLUMN bfs_service_summary_device.rrelative_period_3 IS 'r相対期間3';</v>
      </c>
      <c r="R318" s="34" t="s">
        <v>1060</v>
      </c>
    </row>
    <row r="319" spans="1:18" ht="19.5" thickBot="1">
      <c r="A319" s="3"/>
      <c r="B319" s="3">
        <v>313</v>
      </c>
      <c r="C319" s="3" t="s">
        <v>1061</v>
      </c>
      <c r="D319" s="3" t="s">
        <v>66</v>
      </c>
      <c r="E319" s="3">
        <v>900</v>
      </c>
      <c r="F319" s="2" t="s">
        <v>67</v>
      </c>
      <c r="G319" s="3"/>
      <c r="H319" s="5"/>
      <c r="I319" s="3"/>
      <c r="J319" s="3"/>
      <c r="K319" s="25" t="s">
        <v>1062</v>
      </c>
      <c r="L319" t="str">
        <f t="shared" si="8"/>
        <v>VARCHAR(900),</v>
      </c>
      <c r="N319" s="38" t="str">
        <f t="shared" si="9"/>
        <v>COMMENT ON COLUMN bfs_service_summary_device.rrelative_op_4 IS 'r相対op4';</v>
      </c>
      <c r="R319" s="34" t="s">
        <v>1063</v>
      </c>
    </row>
    <row r="320" spans="1:18" ht="19.5" thickBot="1">
      <c r="A320" s="6"/>
      <c r="B320" s="6">
        <v>314</v>
      </c>
      <c r="C320" s="6" t="s">
        <v>1064</v>
      </c>
      <c r="D320" s="6" t="s">
        <v>66</v>
      </c>
      <c r="E320" s="6">
        <v>600</v>
      </c>
      <c r="F320" s="7" t="s">
        <v>67</v>
      </c>
      <c r="G320" s="6"/>
      <c r="H320" s="8"/>
      <c r="I320" s="6"/>
      <c r="J320" s="6"/>
      <c r="K320" s="25" t="s">
        <v>1065</v>
      </c>
      <c r="L320" t="str">
        <f t="shared" si="8"/>
        <v>VARCHAR(600),</v>
      </c>
      <c r="N320" s="38" t="str">
        <f t="shared" si="9"/>
        <v>COMMENT ON COLUMN bfs_service_summary_device.rrelative_plan_4 IS 'r相対プラン4';</v>
      </c>
      <c r="R320" s="34" t="s">
        <v>1066</v>
      </c>
    </row>
    <row r="321" spans="1:18" ht="19.5" thickBot="1">
      <c r="A321" s="3"/>
      <c r="B321" s="3">
        <v>315</v>
      </c>
      <c r="C321" s="3" t="s">
        <v>1067</v>
      </c>
      <c r="D321" s="3" t="s">
        <v>66</v>
      </c>
      <c r="E321" s="3">
        <v>900</v>
      </c>
      <c r="F321" s="2" t="s">
        <v>67</v>
      </c>
      <c r="G321" s="3"/>
      <c r="H321" s="5"/>
      <c r="I321" s="3"/>
      <c r="J321" s="3"/>
      <c r="K321" s="25" t="s">
        <v>1068</v>
      </c>
      <c r="L321" t="str">
        <f t="shared" si="8"/>
        <v>VARCHAR(900),</v>
      </c>
      <c r="N321" s="38" t="str">
        <f t="shared" si="9"/>
        <v>COMMENT ON COLUMN bfs_service_summary_device.rrelative_discount_discount_method_4 IS 'r相対割引方法4';</v>
      </c>
      <c r="R321" s="34" t="s">
        <v>1069</v>
      </c>
    </row>
    <row r="322" spans="1:18" ht="19.5" thickBot="1">
      <c r="A322" s="6"/>
      <c r="B322" s="6">
        <v>316</v>
      </c>
      <c r="C322" s="6" t="s">
        <v>1070</v>
      </c>
      <c r="D322" s="6" t="s">
        <v>66</v>
      </c>
      <c r="E322" s="6">
        <v>60</v>
      </c>
      <c r="F322" s="7" t="s">
        <v>67</v>
      </c>
      <c r="G322" s="6"/>
      <c r="H322" s="8"/>
      <c r="I322" s="6"/>
      <c r="J322" s="6"/>
      <c r="K322" s="25" t="s">
        <v>1071</v>
      </c>
      <c r="L322" t="str">
        <f t="shared" si="8"/>
        <v>VARCHAR(60),</v>
      </c>
      <c r="N322" s="38" t="str">
        <f t="shared" si="9"/>
        <v>COMMENT ON COLUMN bfs_service_summary_device.rrelative_effective_start_date_4 IS 'r相対有効開始日4';</v>
      </c>
      <c r="R322" s="34" t="s">
        <v>1072</v>
      </c>
    </row>
    <row r="323" spans="1:18" ht="19.5" thickBot="1">
      <c r="A323" s="3"/>
      <c r="B323" s="3">
        <v>317</v>
      </c>
      <c r="C323" s="3" t="s">
        <v>1073</v>
      </c>
      <c r="D323" s="3" t="s">
        <v>66</v>
      </c>
      <c r="E323" s="3">
        <v>60</v>
      </c>
      <c r="F323" s="2" t="s">
        <v>67</v>
      </c>
      <c r="G323" s="3"/>
      <c r="H323" s="5"/>
      <c r="I323" s="3"/>
      <c r="J323" s="3"/>
      <c r="K323" s="25" t="s">
        <v>1074</v>
      </c>
      <c r="L323" t="str">
        <f t="shared" si="8"/>
        <v>VARCHAR(60),</v>
      </c>
      <c r="N323" s="38" t="str">
        <f t="shared" si="9"/>
        <v>COMMENT ON COLUMN bfs_service_summary_device.rrelative_effective_end_date_4 IS 'r相対有効終了日4';</v>
      </c>
      <c r="R323" s="34" t="s">
        <v>1075</v>
      </c>
    </row>
    <row r="324" spans="1:18" ht="19.5" thickBot="1">
      <c r="A324" s="6"/>
      <c r="B324" s="6">
        <v>318</v>
      </c>
      <c r="C324" s="6" t="s">
        <v>1076</v>
      </c>
      <c r="D324" s="6" t="s">
        <v>89</v>
      </c>
      <c r="E324" s="6">
        <v>10</v>
      </c>
      <c r="F324" s="7" t="s">
        <v>67</v>
      </c>
      <c r="G324" s="6"/>
      <c r="H324" s="8"/>
      <c r="I324" s="6"/>
      <c r="J324" s="6"/>
      <c r="K324" s="25" t="s">
        <v>1077</v>
      </c>
      <c r="L324" t="str">
        <f t="shared" si="8"/>
        <v>DECIMAL(10),</v>
      </c>
      <c r="N324" s="38" t="str">
        <f t="shared" si="9"/>
        <v>COMMENT ON COLUMN bfs_service_summary_device.rrelative_amount_4 IS 'r相対金額4';</v>
      </c>
      <c r="R324" s="34" t="s">
        <v>1078</v>
      </c>
    </row>
    <row r="325" spans="1:18" ht="19.5" thickBot="1">
      <c r="A325" s="3"/>
      <c r="B325" s="3">
        <v>319</v>
      </c>
      <c r="C325" s="3" t="s">
        <v>1079</v>
      </c>
      <c r="D325" s="3" t="s">
        <v>89</v>
      </c>
      <c r="E325" s="3">
        <v>3</v>
      </c>
      <c r="F325" s="2" t="s">
        <v>67</v>
      </c>
      <c r="G325" s="3"/>
      <c r="H325" s="5"/>
      <c r="I325" s="3"/>
      <c r="J325" s="3"/>
      <c r="K325" s="25" t="s">
        <v>1080</v>
      </c>
      <c r="L325" t="str">
        <f t="shared" si="8"/>
        <v>DECIMAL(3),</v>
      </c>
      <c r="N325" s="38" t="str">
        <f t="shared" si="9"/>
        <v>COMMENT ON COLUMN bfs_service_summary_device.rrelative_period_4 IS 'r相対期間4';</v>
      </c>
      <c r="R325" s="34" t="s">
        <v>1081</v>
      </c>
    </row>
    <row r="326" spans="1:18" ht="19.5" thickBot="1">
      <c r="A326" s="6"/>
      <c r="B326" s="6">
        <v>320</v>
      </c>
      <c r="C326" s="6" t="s">
        <v>1082</v>
      </c>
      <c r="D326" s="6" t="s">
        <v>66</v>
      </c>
      <c r="E326" s="6">
        <v>900</v>
      </c>
      <c r="F326" s="7" t="s">
        <v>67</v>
      </c>
      <c r="G326" s="6"/>
      <c r="H326" s="8"/>
      <c r="I326" s="6"/>
      <c r="J326" s="6"/>
      <c r="K326" s="25" t="s">
        <v>1083</v>
      </c>
      <c r="L326" t="str">
        <f t="shared" si="8"/>
        <v>VARCHAR(900),</v>
      </c>
      <c r="N326" s="38" t="str">
        <f t="shared" si="9"/>
        <v>COMMENT ON COLUMN bfs_service_summary_device.rrelative_op_5 IS 'r相対op5';</v>
      </c>
      <c r="R326" s="34" t="s">
        <v>1084</v>
      </c>
    </row>
    <row r="327" spans="1:18" ht="19.5" thickBot="1">
      <c r="A327" s="3"/>
      <c r="B327" s="3">
        <v>321</v>
      </c>
      <c r="C327" s="3" t="s">
        <v>1085</v>
      </c>
      <c r="D327" s="3" t="s">
        <v>66</v>
      </c>
      <c r="E327" s="3">
        <v>600</v>
      </c>
      <c r="F327" s="2" t="s">
        <v>67</v>
      </c>
      <c r="G327" s="3"/>
      <c r="H327" s="5"/>
      <c r="I327" s="3"/>
      <c r="J327" s="3"/>
      <c r="K327" s="25" t="s">
        <v>1086</v>
      </c>
      <c r="L327" t="str">
        <f t="shared" si="8"/>
        <v>VARCHAR(600),</v>
      </c>
      <c r="N327" s="38" t="str">
        <f t="shared" si="9"/>
        <v>COMMENT ON COLUMN bfs_service_summary_device.rrelative_plan_5 IS 'r相対プラン5';</v>
      </c>
      <c r="R327" s="34" t="s">
        <v>1087</v>
      </c>
    </row>
    <row r="328" spans="1:18" ht="19.5" thickBot="1">
      <c r="A328" s="6"/>
      <c r="B328" s="6">
        <v>322</v>
      </c>
      <c r="C328" s="6" t="s">
        <v>1088</v>
      </c>
      <c r="D328" s="6" t="s">
        <v>66</v>
      </c>
      <c r="E328" s="6">
        <v>900</v>
      </c>
      <c r="F328" s="7" t="s">
        <v>67</v>
      </c>
      <c r="G328" s="6"/>
      <c r="H328" s="8"/>
      <c r="I328" s="6"/>
      <c r="J328" s="6"/>
      <c r="K328" s="25" t="s">
        <v>1089</v>
      </c>
      <c r="L328" t="str">
        <f t="shared" ref="L328:L391" si="10">D328&amp;"("&amp;E328&amp;"),"</f>
        <v>VARCHAR(900),</v>
      </c>
      <c r="N328" s="38" t="str">
        <f t="shared" ref="N328:N391" si="11">"COMMENT ON COLUMN "&amp;$H$3&amp;"."&amp;$K328&amp;" IS '"&amp;C328&amp;"';"</f>
        <v>COMMENT ON COLUMN bfs_service_summary_device.rrelative_discount_method_5 IS 'r相対割引方法5';</v>
      </c>
      <c r="R328" s="34" t="s">
        <v>1090</v>
      </c>
    </row>
    <row r="329" spans="1:18" ht="19.5" thickBot="1">
      <c r="A329" s="3"/>
      <c r="B329" s="3">
        <v>323</v>
      </c>
      <c r="C329" s="3" t="s">
        <v>1091</v>
      </c>
      <c r="D329" s="3" t="s">
        <v>66</v>
      </c>
      <c r="E329" s="3">
        <v>60</v>
      </c>
      <c r="F329" s="2" t="s">
        <v>67</v>
      </c>
      <c r="G329" s="3"/>
      <c r="H329" s="5"/>
      <c r="I329" s="3"/>
      <c r="J329" s="3"/>
      <c r="K329" s="25" t="s">
        <v>1092</v>
      </c>
      <c r="L329" t="str">
        <f t="shared" si="10"/>
        <v>VARCHAR(60),</v>
      </c>
      <c r="N329" s="38" t="str">
        <f t="shared" si="11"/>
        <v>COMMENT ON COLUMN bfs_service_summary_device.rrelative_effective_start_date_5 IS 'r相対有効開始日5';</v>
      </c>
      <c r="R329" s="34" t="s">
        <v>1093</v>
      </c>
    </row>
    <row r="330" spans="1:18" ht="19.5" thickBot="1">
      <c r="A330" s="6"/>
      <c r="B330" s="6">
        <v>324</v>
      </c>
      <c r="C330" s="6" t="s">
        <v>1094</v>
      </c>
      <c r="D330" s="6" t="s">
        <v>66</v>
      </c>
      <c r="E330" s="6">
        <v>60</v>
      </c>
      <c r="F330" s="7" t="s">
        <v>67</v>
      </c>
      <c r="G330" s="6"/>
      <c r="H330" s="8"/>
      <c r="I330" s="6"/>
      <c r="J330" s="6"/>
      <c r="K330" s="25" t="s">
        <v>1095</v>
      </c>
      <c r="L330" t="str">
        <f t="shared" si="10"/>
        <v>VARCHAR(60),</v>
      </c>
      <c r="N330" s="38" t="str">
        <f t="shared" si="11"/>
        <v>COMMENT ON COLUMN bfs_service_summary_device.rrelative_effective_end_date_5 IS 'r相対有効終了日5';</v>
      </c>
      <c r="R330" s="34" t="s">
        <v>1096</v>
      </c>
    </row>
    <row r="331" spans="1:18" ht="19.5" thickBot="1">
      <c r="A331" s="3"/>
      <c r="B331" s="3">
        <v>325</v>
      </c>
      <c r="C331" s="3" t="s">
        <v>1097</v>
      </c>
      <c r="D331" s="3" t="s">
        <v>89</v>
      </c>
      <c r="E331" s="3">
        <v>10</v>
      </c>
      <c r="F331" s="2" t="s">
        <v>67</v>
      </c>
      <c r="G331" s="3"/>
      <c r="H331" s="5"/>
      <c r="I331" s="3"/>
      <c r="J331" s="3"/>
      <c r="K331" s="25" t="s">
        <v>1098</v>
      </c>
      <c r="L331" t="str">
        <f t="shared" si="10"/>
        <v>DECIMAL(10),</v>
      </c>
      <c r="N331" s="38" t="str">
        <f t="shared" si="11"/>
        <v>COMMENT ON COLUMN bfs_service_summary_device.rrelative_amount_5 IS 'r相対金額5';</v>
      </c>
      <c r="R331" s="34" t="s">
        <v>1099</v>
      </c>
    </row>
    <row r="332" spans="1:18" ht="19.5" thickBot="1">
      <c r="A332" s="6"/>
      <c r="B332" s="6">
        <v>326</v>
      </c>
      <c r="C332" s="6" t="s">
        <v>1100</v>
      </c>
      <c r="D332" s="6" t="s">
        <v>89</v>
      </c>
      <c r="E332" s="6">
        <v>3</v>
      </c>
      <c r="F332" s="7" t="s">
        <v>67</v>
      </c>
      <c r="G332" s="6"/>
      <c r="H332" s="8"/>
      <c r="I332" s="6"/>
      <c r="J332" s="6"/>
      <c r="K332" s="25" t="s">
        <v>1101</v>
      </c>
      <c r="L332" t="str">
        <f t="shared" si="10"/>
        <v>DECIMAL(3),</v>
      </c>
      <c r="N332" s="38" t="str">
        <f t="shared" si="11"/>
        <v>COMMENT ON COLUMN bfs_service_summary_device.rrelative_period_5 IS 'r相対期間5';</v>
      </c>
      <c r="R332" s="34" t="s">
        <v>1102</v>
      </c>
    </row>
    <row r="333" spans="1:18" ht="19.5" thickBot="1">
      <c r="A333" s="3"/>
      <c r="B333" s="3">
        <v>327</v>
      </c>
      <c r="C333" s="3" t="s">
        <v>1103</v>
      </c>
      <c r="D333" s="3" t="s">
        <v>66</v>
      </c>
      <c r="E333" s="3">
        <v>600</v>
      </c>
      <c r="F333" s="2" t="s">
        <v>67</v>
      </c>
      <c r="G333" s="3"/>
      <c r="H333" s="5"/>
      <c r="I333" s="3"/>
      <c r="J333" s="3"/>
      <c r="K333" s="25" t="s">
        <v>1104</v>
      </c>
      <c r="L333" t="str">
        <f t="shared" si="10"/>
        <v>VARCHAR(600),</v>
      </c>
      <c r="N333" s="38" t="str">
        <f t="shared" si="11"/>
        <v>COMMENT ON COLUMN bfs_service_summary_device.rrelative_other_pd_name_1 IS 'r相対他pd名称1';</v>
      </c>
      <c r="R333" s="34" t="s">
        <v>1105</v>
      </c>
    </row>
    <row r="334" spans="1:18" ht="19.5" thickBot="1">
      <c r="A334" s="6"/>
      <c r="B334" s="6">
        <v>328</v>
      </c>
      <c r="C334" s="6" t="s">
        <v>1106</v>
      </c>
      <c r="D334" s="6" t="s">
        <v>66</v>
      </c>
      <c r="E334" s="6">
        <v>900</v>
      </c>
      <c r="F334" s="7" t="s">
        <v>67</v>
      </c>
      <c r="G334" s="6"/>
      <c r="H334" s="8"/>
      <c r="I334" s="6"/>
      <c r="J334" s="6"/>
      <c r="K334" s="25" t="s">
        <v>1107</v>
      </c>
      <c r="L334" t="str">
        <f t="shared" si="10"/>
        <v>VARCHAR(900),</v>
      </c>
      <c r="N334" s="38" t="str">
        <f t="shared" si="11"/>
        <v>COMMENT ON COLUMN bfs_service_summary_device.rrelative_other_discount_method_1 IS 'r相対他割引方法1';</v>
      </c>
      <c r="R334" s="34" t="s">
        <v>1108</v>
      </c>
    </row>
    <row r="335" spans="1:18" ht="19.5" thickBot="1">
      <c r="A335" s="3"/>
      <c r="B335" s="3">
        <v>329</v>
      </c>
      <c r="C335" s="3" t="s">
        <v>1109</v>
      </c>
      <c r="D335" s="3" t="s">
        <v>66</v>
      </c>
      <c r="E335" s="3">
        <v>60</v>
      </c>
      <c r="F335" s="2" t="s">
        <v>67</v>
      </c>
      <c r="G335" s="3"/>
      <c r="H335" s="5"/>
      <c r="I335" s="3"/>
      <c r="J335" s="3"/>
      <c r="K335" s="25" t="s">
        <v>1110</v>
      </c>
      <c r="L335" t="str">
        <f t="shared" si="10"/>
        <v>VARCHAR(60),</v>
      </c>
      <c r="N335" s="38" t="str">
        <f t="shared" si="11"/>
        <v>COMMENT ON COLUMN bfs_service_summary_device.rrelative_other_effective_start_date_1 IS 'r相対他有効開始日1';</v>
      </c>
      <c r="R335" s="34" t="s">
        <v>1111</v>
      </c>
    </row>
    <row r="336" spans="1:18" ht="19.5" thickBot="1">
      <c r="A336" s="6"/>
      <c r="B336" s="6">
        <v>330</v>
      </c>
      <c r="C336" s="6" t="s">
        <v>1112</v>
      </c>
      <c r="D336" s="6" t="s">
        <v>66</v>
      </c>
      <c r="E336" s="6">
        <v>60</v>
      </c>
      <c r="F336" s="7" t="s">
        <v>67</v>
      </c>
      <c r="G336" s="6"/>
      <c r="H336" s="8"/>
      <c r="I336" s="6"/>
      <c r="J336" s="6"/>
      <c r="K336" s="25" t="s">
        <v>1113</v>
      </c>
      <c r="L336" t="str">
        <f t="shared" si="10"/>
        <v>VARCHAR(60),</v>
      </c>
      <c r="N336" s="38" t="str">
        <f t="shared" si="11"/>
        <v>COMMENT ON COLUMN bfs_service_summary_device.rrelative_other_effective_end_date_1 IS 'r相対他有効終了日1';</v>
      </c>
      <c r="R336" s="34" t="s">
        <v>1114</v>
      </c>
    </row>
    <row r="337" spans="1:18" ht="19.5" thickBot="1">
      <c r="A337" s="3"/>
      <c r="B337" s="3">
        <v>331</v>
      </c>
      <c r="C337" s="3" t="s">
        <v>1115</v>
      </c>
      <c r="D337" s="3" t="s">
        <v>89</v>
      </c>
      <c r="E337" s="3">
        <v>10</v>
      </c>
      <c r="F337" s="2" t="s">
        <v>67</v>
      </c>
      <c r="G337" s="3"/>
      <c r="H337" s="5"/>
      <c r="I337" s="3"/>
      <c r="J337" s="3"/>
      <c r="K337" s="25" t="s">
        <v>1116</v>
      </c>
      <c r="L337" t="str">
        <f t="shared" si="10"/>
        <v>DECIMAL(10),</v>
      </c>
      <c r="N337" s="38" t="str">
        <f t="shared" si="11"/>
        <v>COMMENT ON COLUMN bfs_service_summary_device.rrelative_other_amount_1 IS 'r相対他金額1';</v>
      </c>
      <c r="R337" s="34" t="s">
        <v>1117</v>
      </c>
    </row>
    <row r="338" spans="1:18" ht="19.5" thickBot="1">
      <c r="A338" s="6"/>
      <c r="B338" s="6">
        <v>332</v>
      </c>
      <c r="C338" s="6" t="s">
        <v>1118</v>
      </c>
      <c r="D338" s="6" t="s">
        <v>89</v>
      </c>
      <c r="E338" s="6">
        <v>3</v>
      </c>
      <c r="F338" s="7" t="s">
        <v>67</v>
      </c>
      <c r="G338" s="6"/>
      <c r="H338" s="8"/>
      <c r="I338" s="6"/>
      <c r="J338" s="6"/>
      <c r="K338" s="25" t="s">
        <v>1119</v>
      </c>
      <c r="L338" t="str">
        <f t="shared" si="10"/>
        <v>DECIMAL(3),</v>
      </c>
      <c r="N338" s="38" t="str">
        <f t="shared" si="11"/>
        <v>COMMENT ON COLUMN bfs_service_summary_device.rrelative_other_period_1 IS 'r相対他期間1';</v>
      </c>
      <c r="R338" s="34" t="s">
        <v>1120</v>
      </c>
    </row>
    <row r="339" spans="1:18" ht="19.5" thickBot="1">
      <c r="A339" s="3"/>
      <c r="B339" s="3">
        <v>333</v>
      </c>
      <c r="C339" s="3" t="s">
        <v>1121</v>
      </c>
      <c r="D339" s="3" t="s">
        <v>66</v>
      </c>
      <c r="E339" s="3">
        <v>600</v>
      </c>
      <c r="F339" s="2" t="s">
        <v>67</v>
      </c>
      <c r="G339" s="3"/>
      <c r="H339" s="5"/>
      <c r="I339" s="3"/>
      <c r="J339" s="3"/>
      <c r="K339" s="25" t="s">
        <v>1122</v>
      </c>
      <c r="L339" t="str">
        <f t="shared" si="10"/>
        <v>VARCHAR(600),</v>
      </c>
      <c r="N339" s="38" t="str">
        <f t="shared" si="11"/>
        <v>COMMENT ON COLUMN bfs_service_summary_device.rrelative_other_pd_name_2 IS 'r相対他pd名称2';</v>
      </c>
      <c r="R339" s="34" t="s">
        <v>1123</v>
      </c>
    </row>
    <row r="340" spans="1:18" ht="19.5" thickBot="1">
      <c r="A340" s="6"/>
      <c r="B340" s="6">
        <v>334</v>
      </c>
      <c r="C340" s="6" t="s">
        <v>1124</v>
      </c>
      <c r="D340" s="6" t="s">
        <v>66</v>
      </c>
      <c r="E340" s="6">
        <v>900</v>
      </c>
      <c r="F340" s="7" t="s">
        <v>67</v>
      </c>
      <c r="G340" s="6"/>
      <c r="H340" s="8"/>
      <c r="I340" s="6"/>
      <c r="J340" s="6"/>
      <c r="K340" s="25" t="s">
        <v>1125</v>
      </c>
      <c r="L340" t="str">
        <f t="shared" si="10"/>
        <v>VARCHAR(900),</v>
      </c>
      <c r="N340" s="38" t="str">
        <f t="shared" si="11"/>
        <v>COMMENT ON COLUMN bfs_service_summary_device.rrelative_other_discount_method_2 IS 'r相対他割引方法2';</v>
      </c>
      <c r="R340" s="34" t="s">
        <v>1126</v>
      </c>
    </row>
    <row r="341" spans="1:18" ht="19.5" thickBot="1">
      <c r="A341" s="3"/>
      <c r="B341" s="3">
        <v>335</v>
      </c>
      <c r="C341" s="3" t="s">
        <v>1127</v>
      </c>
      <c r="D341" s="3" t="s">
        <v>66</v>
      </c>
      <c r="E341" s="3">
        <v>60</v>
      </c>
      <c r="F341" s="2" t="s">
        <v>67</v>
      </c>
      <c r="G341" s="3"/>
      <c r="H341" s="5"/>
      <c r="I341" s="3"/>
      <c r="J341" s="3"/>
      <c r="K341" s="25" t="s">
        <v>1128</v>
      </c>
      <c r="L341" t="str">
        <f t="shared" si="10"/>
        <v>VARCHAR(60),</v>
      </c>
      <c r="N341" s="38" t="str">
        <f t="shared" si="11"/>
        <v>COMMENT ON COLUMN bfs_service_summary_device.rrelative_other_effective_start_date_2 IS 'r相対他有効開始日2';</v>
      </c>
      <c r="R341" s="34" t="s">
        <v>1129</v>
      </c>
    </row>
    <row r="342" spans="1:18" ht="19.5" thickBot="1">
      <c r="A342" s="6"/>
      <c r="B342" s="6">
        <v>336</v>
      </c>
      <c r="C342" s="6" t="s">
        <v>1130</v>
      </c>
      <c r="D342" s="6" t="s">
        <v>66</v>
      </c>
      <c r="E342" s="6">
        <v>60</v>
      </c>
      <c r="F342" s="7" t="s">
        <v>67</v>
      </c>
      <c r="G342" s="6"/>
      <c r="H342" s="8"/>
      <c r="I342" s="6"/>
      <c r="J342" s="6"/>
      <c r="K342" s="25" t="s">
        <v>1131</v>
      </c>
      <c r="L342" t="str">
        <f t="shared" si="10"/>
        <v>VARCHAR(60),</v>
      </c>
      <c r="N342" s="38" t="str">
        <f t="shared" si="11"/>
        <v>COMMENT ON COLUMN bfs_service_summary_device.rrelative_other_effective_end_date_2 IS 'r相対他有効終了日2';</v>
      </c>
      <c r="R342" s="34" t="s">
        <v>1132</v>
      </c>
    </row>
    <row r="343" spans="1:18" ht="19.5" thickBot="1">
      <c r="A343" s="3"/>
      <c r="B343" s="3">
        <v>337</v>
      </c>
      <c r="C343" s="3" t="s">
        <v>1133</v>
      </c>
      <c r="D343" s="3" t="s">
        <v>89</v>
      </c>
      <c r="E343" s="3">
        <v>10</v>
      </c>
      <c r="F343" s="2" t="s">
        <v>67</v>
      </c>
      <c r="G343" s="3"/>
      <c r="H343" s="5"/>
      <c r="I343" s="3"/>
      <c r="J343" s="3"/>
      <c r="K343" s="25" t="s">
        <v>1134</v>
      </c>
      <c r="L343" t="str">
        <f t="shared" si="10"/>
        <v>DECIMAL(10),</v>
      </c>
      <c r="N343" s="38" t="str">
        <f t="shared" si="11"/>
        <v>COMMENT ON COLUMN bfs_service_summary_device.rrelative_other_amount_2 IS 'r相対他金額2';</v>
      </c>
      <c r="R343" s="34" t="s">
        <v>1135</v>
      </c>
    </row>
    <row r="344" spans="1:18" ht="19.5" thickBot="1">
      <c r="A344" s="6"/>
      <c r="B344" s="6">
        <v>338</v>
      </c>
      <c r="C344" s="6" t="s">
        <v>1136</v>
      </c>
      <c r="D344" s="6" t="s">
        <v>89</v>
      </c>
      <c r="E344" s="6">
        <v>3</v>
      </c>
      <c r="F344" s="7" t="s">
        <v>67</v>
      </c>
      <c r="G344" s="6"/>
      <c r="H344" s="8"/>
      <c r="I344" s="6"/>
      <c r="J344" s="6"/>
      <c r="K344" s="25" t="s">
        <v>1137</v>
      </c>
      <c r="L344" t="str">
        <f t="shared" si="10"/>
        <v>DECIMAL(3),</v>
      </c>
      <c r="N344" s="38" t="str">
        <f t="shared" si="11"/>
        <v>COMMENT ON COLUMN bfs_service_summary_device.rrelative_other_period_2 IS 'r相対他期間2';</v>
      </c>
      <c r="R344" s="34" t="s">
        <v>1138</v>
      </c>
    </row>
    <row r="345" spans="1:18" ht="19.5" thickBot="1">
      <c r="A345" s="3"/>
      <c r="B345" s="3">
        <v>339</v>
      </c>
      <c r="C345" s="3" t="s">
        <v>1139</v>
      </c>
      <c r="D345" s="3" t="s">
        <v>66</v>
      </c>
      <c r="E345" s="3">
        <v>600</v>
      </c>
      <c r="F345" s="2" t="s">
        <v>67</v>
      </c>
      <c r="G345" s="3"/>
      <c r="H345" s="5"/>
      <c r="I345" s="3"/>
      <c r="J345" s="3"/>
      <c r="K345" s="25" t="s">
        <v>1140</v>
      </c>
      <c r="L345" t="str">
        <f t="shared" si="10"/>
        <v>VARCHAR(600),</v>
      </c>
      <c r="N345" s="38" t="str">
        <f t="shared" si="11"/>
        <v>COMMENT ON COLUMN bfs_service_summary_device.rrelative_other_pd_name_3 IS 'r相対他pd名称3';</v>
      </c>
      <c r="R345" s="34" t="s">
        <v>1141</v>
      </c>
    </row>
    <row r="346" spans="1:18" ht="19.5" thickBot="1">
      <c r="A346" s="6"/>
      <c r="B346" s="6">
        <v>340</v>
      </c>
      <c r="C346" s="6" t="s">
        <v>1142</v>
      </c>
      <c r="D346" s="6" t="s">
        <v>66</v>
      </c>
      <c r="E346" s="6">
        <v>900</v>
      </c>
      <c r="F346" s="7" t="s">
        <v>67</v>
      </c>
      <c r="G346" s="6"/>
      <c r="H346" s="8"/>
      <c r="I346" s="6"/>
      <c r="J346" s="6"/>
      <c r="K346" s="25" t="s">
        <v>1143</v>
      </c>
      <c r="L346" t="str">
        <f t="shared" si="10"/>
        <v>VARCHAR(900),</v>
      </c>
      <c r="N346" s="38" t="str">
        <f t="shared" si="11"/>
        <v>COMMENT ON COLUMN bfs_service_summary_device.rrelative_other_discount_method_3 IS 'r相対他割引方法3';</v>
      </c>
      <c r="R346" s="34" t="s">
        <v>1144</v>
      </c>
    </row>
    <row r="347" spans="1:18" ht="19.5" thickBot="1">
      <c r="A347" s="3"/>
      <c r="B347" s="3">
        <v>341</v>
      </c>
      <c r="C347" s="3" t="s">
        <v>1145</v>
      </c>
      <c r="D347" s="3" t="s">
        <v>66</v>
      </c>
      <c r="E347" s="3">
        <v>60</v>
      </c>
      <c r="F347" s="2" t="s">
        <v>67</v>
      </c>
      <c r="G347" s="3"/>
      <c r="H347" s="5"/>
      <c r="I347" s="3"/>
      <c r="J347" s="3"/>
      <c r="K347" s="25" t="s">
        <v>1146</v>
      </c>
      <c r="L347" t="str">
        <f t="shared" si="10"/>
        <v>VARCHAR(60),</v>
      </c>
      <c r="N347" s="38" t="str">
        <f t="shared" si="11"/>
        <v>COMMENT ON COLUMN bfs_service_summary_device.rrelative_other_effective_start_date_3 IS 'r相対他有効開始日3';</v>
      </c>
      <c r="R347" s="34" t="s">
        <v>1147</v>
      </c>
    </row>
    <row r="348" spans="1:18" ht="19.5" thickBot="1">
      <c r="A348" s="6"/>
      <c r="B348" s="6">
        <v>342</v>
      </c>
      <c r="C348" s="6" t="s">
        <v>1148</v>
      </c>
      <c r="D348" s="6" t="s">
        <v>66</v>
      </c>
      <c r="E348" s="6">
        <v>60</v>
      </c>
      <c r="F348" s="7" t="s">
        <v>67</v>
      </c>
      <c r="G348" s="6"/>
      <c r="H348" s="8"/>
      <c r="I348" s="6"/>
      <c r="J348" s="6"/>
      <c r="K348" s="25" t="s">
        <v>1149</v>
      </c>
      <c r="L348" t="str">
        <f t="shared" si="10"/>
        <v>VARCHAR(60),</v>
      </c>
      <c r="N348" s="38" t="str">
        <f t="shared" si="11"/>
        <v>COMMENT ON COLUMN bfs_service_summary_device.rrelative_other_effective_end_date_3 IS 'r相対他有効終了日3';</v>
      </c>
      <c r="R348" s="34" t="s">
        <v>1150</v>
      </c>
    </row>
    <row r="349" spans="1:18" ht="19.5" thickBot="1">
      <c r="A349" s="3"/>
      <c r="B349" s="3">
        <v>343</v>
      </c>
      <c r="C349" s="3" t="s">
        <v>1151</v>
      </c>
      <c r="D349" s="3" t="s">
        <v>89</v>
      </c>
      <c r="E349" s="3">
        <v>10</v>
      </c>
      <c r="F349" s="2" t="s">
        <v>67</v>
      </c>
      <c r="G349" s="3"/>
      <c r="H349" s="5"/>
      <c r="I349" s="3"/>
      <c r="J349" s="3"/>
      <c r="K349" s="25" t="s">
        <v>1152</v>
      </c>
      <c r="L349" t="str">
        <f t="shared" si="10"/>
        <v>DECIMAL(10),</v>
      </c>
      <c r="N349" s="38" t="str">
        <f t="shared" si="11"/>
        <v>COMMENT ON COLUMN bfs_service_summary_device.rrelative_other_amount_3 IS 'r相対他金額3';</v>
      </c>
      <c r="R349" s="34" t="s">
        <v>1153</v>
      </c>
    </row>
    <row r="350" spans="1:18" ht="19.5" thickBot="1">
      <c r="A350" s="6"/>
      <c r="B350" s="6">
        <v>344</v>
      </c>
      <c r="C350" s="6" t="s">
        <v>1154</v>
      </c>
      <c r="D350" s="6" t="s">
        <v>89</v>
      </c>
      <c r="E350" s="6">
        <v>3</v>
      </c>
      <c r="F350" s="7" t="s">
        <v>67</v>
      </c>
      <c r="G350" s="6"/>
      <c r="H350" s="8"/>
      <c r="I350" s="6"/>
      <c r="J350" s="6"/>
      <c r="K350" s="25" t="s">
        <v>1155</v>
      </c>
      <c r="L350" t="str">
        <f t="shared" si="10"/>
        <v>DECIMAL(3),</v>
      </c>
      <c r="N350" s="38" t="str">
        <f t="shared" si="11"/>
        <v>COMMENT ON COLUMN bfs_service_summary_device.rrelative_other_period_3 IS 'r相対他期間3';</v>
      </c>
      <c r="R350" s="34" t="s">
        <v>1156</v>
      </c>
    </row>
    <row r="351" spans="1:18" ht="19.5" thickBot="1">
      <c r="A351" s="3"/>
      <c r="B351" s="3">
        <v>345</v>
      </c>
      <c r="C351" s="3" t="s">
        <v>1157</v>
      </c>
      <c r="D351" s="3" t="s">
        <v>66</v>
      </c>
      <c r="E351" s="3">
        <v>600</v>
      </c>
      <c r="F351" s="2" t="s">
        <v>67</v>
      </c>
      <c r="G351" s="3"/>
      <c r="H351" s="5"/>
      <c r="I351" s="3"/>
      <c r="J351" s="3"/>
      <c r="K351" s="25" t="s">
        <v>1158</v>
      </c>
      <c r="L351" t="str">
        <f t="shared" si="10"/>
        <v>VARCHAR(600),</v>
      </c>
      <c r="N351" s="38" t="str">
        <f t="shared" si="11"/>
        <v>COMMENT ON COLUMN bfs_service_summary_device.rrelative_other_pd_name_4 IS 'r相対他pd名称4';</v>
      </c>
      <c r="R351" s="34" t="s">
        <v>1159</v>
      </c>
    </row>
    <row r="352" spans="1:18" ht="19.5" thickBot="1">
      <c r="A352" s="6"/>
      <c r="B352" s="6">
        <v>346</v>
      </c>
      <c r="C352" s="6" t="s">
        <v>1160</v>
      </c>
      <c r="D352" s="6" t="s">
        <v>66</v>
      </c>
      <c r="E352" s="6">
        <v>900</v>
      </c>
      <c r="F352" s="7" t="s">
        <v>67</v>
      </c>
      <c r="G352" s="6"/>
      <c r="H352" s="8"/>
      <c r="I352" s="6"/>
      <c r="J352" s="6"/>
      <c r="K352" s="25" t="s">
        <v>1161</v>
      </c>
      <c r="L352" t="str">
        <f t="shared" si="10"/>
        <v>VARCHAR(900),</v>
      </c>
      <c r="N352" s="38" t="str">
        <f t="shared" si="11"/>
        <v>COMMENT ON COLUMN bfs_service_summary_device.rrelative_other_discount_method_method_4 IS 'r相対他割引方法4';</v>
      </c>
      <c r="R352" s="34" t="s">
        <v>1162</v>
      </c>
    </row>
    <row r="353" spans="1:18" ht="19.5" thickBot="1">
      <c r="A353" s="3"/>
      <c r="B353" s="3">
        <v>347</v>
      </c>
      <c r="C353" s="3" t="s">
        <v>1163</v>
      </c>
      <c r="D353" s="3" t="s">
        <v>66</v>
      </c>
      <c r="E353" s="3">
        <v>60</v>
      </c>
      <c r="F353" s="2" t="s">
        <v>67</v>
      </c>
      <c r="G353" s="3"/>
      <c r="H353" s="5"/>
      <c r="I353" s="3"/>
      <c r="J353" s="3"/>
      <c r="K353" s="25" t="s">
        <v>1164</v>
      </c>
      <c r="L353" t="str">
        <f t="shared" si="10"/>
        <v>VARCHAR(60),</v>
      </c>
      <c r="N353" s="38" t="str">
        <f t="shared" si="11"/>
        <v>COMMENT ON COLUMN bfs_service_summary_device.r_relative_other_valid_start_date_4 IS 'r相対他有効開始日4';</v>
      </c>
      <c r="R353" s="34" t="s">
        <v>1165</v>
      </c>
    </row>
    <row r="354" spans="1:18" ht="19.5" thickBot="1">
      <c r="A354" s="6"/>
      <c r="B354" s="6">
        <v>348</v>
      </c>
      <c r="C354" s="6" t="s">
        <v>1166</v>
      </c>
      <c r="D354" s="6" t="s">
        <v>66</v>
      </c>
      <c r="E354" s="6">
        <v>60</v>
      </c>
      <c r="F354" s="7" t="s">
        <v>67</v>
      </c>
      <c r="G354" s="6"/>
      <c r="H354" s="8"/>
      <c r="I354" s="6"/>
      <c r="J354" s="6"/>
      <c r="K354" s="25" t="s">
        <v>1167</v>
      </c>
      <c r="L354" t="str">
        <f t="shared" si="10"/>
        <v>VARCHAR(60),</v>
      </c>
      <c r="N354" s="38" t="str">
        <f t="shared" si="11"/>
        <v>COMMENT ON COLUMN bfs_service_summary_device.r_relative_other_valid_end_date_4 IS 'r相対他有効終了日4';</v>
      </c>
      <c r="R354" s="34" t="s">
        <v>1168</v>
      </c>
    </row>
    <row r="355" spans="1:18" ht="19.5" thickBot="1">
      <c r="A355" s="3"/>
      <c r="B355" s="3">
        <v>349</v>
      </c>
      <c r="C355" s="3" t="s">
        <v>1169</v>
      </c>
      <c r="D355" s="3" t="s">
        <v>89</v>
      </c>
      <c r="E355" s="3">
        <v>10</v>
      </c>
      <c r="F355" s="2" t="s">
        <v>67</v>
      </c>
      <c r="G355" s="3"/>
      <c r="H355" s="5"/>
      <c r="I355" s="3"/>
      <c r="J355" s="3"/>
      <c r="K355" s="25" t="s">
        <v>1170</v>
      </c>
      <c r="L355" t="str">
        <f t="shared" si="10"/>
        <v>DECIMAL(10),</v>
      </c>
      <c r="N355" s="38" t="str">
        <f t="shared" si="11"/>
        <v>COMMENT ON COLUMN bfs_service_summary_device.r_relative_other_amount_4 IS 'r相対他金額4';</v>
      </c>
      <c r="R355" s="34" t="s">
        <v>1171</v>
      </c>
    </row>
    <row r="356" spans="1:18" ht="19.5" thickBot="1">
      <c r="A356" s="6"/>
      <c r="B356" s="6">
        <v>350</v>
      </c>
      <c r="C356" s="6" t="s">
        <v>1172</v>
      </c>
      <c r="D356" s="6" t="s">
        <v>89</v>
      </c>
      <c r="E356" s="6">
        <v>3</v>
      </c>
      <c r="F356" s="7" t="s">
        <v>67</v>
      </c>
      <c r="G356" s="6"/>
      <c r="H356" s="8"/>
      <c r="I356" s="6"/>
      <c r="J356" s="6"/>
      <c r="K356" s="25" t="s">
        <v>1173</v>
      </c>
      <c r="L356" t="str">
        <f t="shared" si="10"/>
        <v>DECIMAL(3),</v>
      </c>
      <c r="N356" s="38" t="str">
        <f t="shared" si="11"/>
        <v>COMMENT ON COLUMN bfs_service_summary_device.r_relative_other_period_4 IS 'r相対他期間4';</v>
      </c>
      <c r="R356" s="34" t="s">
        <v>1174</v>
      </c>
    </row>
    <row r="357" spans="1:18" ht="19.5" thickBot="1">
      <c r="A357" s="3"/>
      <c r="B357" s="3">
        <v>351</v>
      </c>
      <c r="C357" s="3" t="s">
        <v>1175</v>
      </c>
      <c r="D357" s="3" t="s">
        <v>66</v>
      </c>
      <c r="E357" s="3">
        <v>600</v>
      </c>
      <c r="F357" s="2" t="s">
        <v>67</v>
      </c>
      <c r="G357" s="3"/>
      <c r="H357" s="5"/>
      <c r="I357" s="3"/>
      <c r="J357" s="3"/>
      <c r="K357" s="25" t="s">
        <v>1176</v>
      </c>
      <c r="L357" t="str">
        <f t="shared" si="10"/>
        <v>VARCHAR(600),</v>
      </c>
      <c r="N357" s="38" t="str">
        <f t="shared" si="11"/>
        <v>COMMENT ON COLUMN bfs_service_summary_device.r_relative_other_pd_name_5 IS 'r相対他pd名称5';</v>
      </c>
      <c r="R357" s="34" t="s">
        <v>1177</v>
      </c>
    </row>
    <row r="358" spans="1:18" ht="19.5" thickBot="1">
      <c r="A358" s="6"/>
      <c r="B358" s="6">
        <v>352</v>
      </c>
      <c r="C358" s="6" t="s">
        <v>1178</v>
      </c>
      <c r="D358" s="6" t="s">
        <v>66</v>
      </c>
      <c r="E358" s="6">
        <v>900</v>
      </c>
      <c r="F358" s="7" t="s">
        <v>67</v>
      </c>
      <c r="G358" s="6"/>
      <c r="H358" s="8"/>
      <c r="I358" s="6"/>
      <c r="J358" s="6"/>
      <c r="K358" s="25" t="s">
        <v>1179</v>
      </c>
      <c r="L358" t="str">
        <f t="shared" si="10"/>
        <v>VARCHAR(900),</v>
      </c>
      <c r="N358" s="38" t="str">
        <f t="shared" si="11"/>
        <v>COMMENT ON COLUMN bfs_service_summary_device.r_relative_other_discount_method_5 IS 'r相対他割引方法5';</v>
      </c>
      <c r="R358" s="34" t="s">
        <v>1180</v>
      </c>
    </row>
    <row r="359" spans="1:18" ht="19.5" thickBot="1">
      <c r="A359" s="3"/>
      <c r="B359" s="3">
        <v>353</v>
      </c>
      <c r="C359" s="3" t="s">
        <v>1181</v>
      </c>
      <c r="D359" s="3" t="s">
        <v>66</v>
      </c>
      <c r="E359" s="3">
        <v>60</v>
      </c>
      <c r="F359" s="2" t="s">
        <v>67</v>
      </c>
      <c r="G359" s="3"/>
      <c r="H359" s="5"/>
      <c r="I359" s="3"/>
      <c r="J359" s="3"/>
      <c r="K359" s="25" t="s">
        <v>1182</v>
      </c>
      <c r="L359" t="str">
        <f t="shared" si="10"/>
        <v>VARCHAR(60),</v>
      </c>
      <c r="N359" s="38" t="str">
        <f t="shared" si="11"/>
        <v>COMMENT ON COLUMN bfs_service_summary_device.r_relative_other_valid_start_date_5 IS 'r相対他有効開始日5';</v>
      </c>
      <c r="R359" s="34" t="s">
        <v>1183</v>
      </c>
    </row>
    <row r="360" spans="1:18" ht="19.5" thickBot="1">
      <c r="A360" s="6"/>
      <c r="B360" s="6">
        <v>354</v>
      </c>
      <c r="C360" s="6" t="s">
        <v>1184</v>
      </c>
      <c r="D360" s="6" t="s">
        <v>66</v>
      </c>
      <c r="E360" s="6">
        <v>60</v>
      </c>
      <c r="F360" s="7" t="s">
        <v>67</v>
      </c>
      <c r="G360" s="6"/>
      <c r="H360" s="8"/>
      <c r="I360" s="6"/>
      <c r="J360" s="6"/>
      <c r="K360" s="25" t="s">
        <v>1185</v>
      </c>
      <c r="L360" t="str">
        <f t="shared" si="10"/>
        <v>VARCHAR(60),</v>
      </c>
      <c r="N360" s="38" t="str">
        <f t="shared" si="11"/>
        <v>COMMENT ON COLUMN bfs_service_summary_device.r_relative_other_valid_end_date_5 IS 'r相対他有効終了日5';</v>
      </c>
      <c r="R360" s="34" t="s">
        <v>1186</v>
      </c>
    </row>
    <row r="361" spans="1:18" ht="19.5" thickBot="1">
      <c r="A361" s="3"/>
      <c r="B361" s="3">
        <v>355</v>
      </c>
      <c r="C361" s="3" t="s">
        <v>1187</v>
      </c>
      <c r="D361" s="3" t="s">
        <v>89</v>
      </c>
      <c r="E361" s="3">
        <v>10</v>
      </c>
      <c r="F361" s="2" t="s">
        <v>67</v>
      </c>
      <c r="G361" s="3"/>
      <c r="H361" s="5"/>
      <c r="I361" s="3"/>
      <c r="J361" s="3"/>
      <c r="K361" s="25" t="s">
        <v>1188</v>
      </c>
      <c r="L361" t="str">
        <f t="shared" si="10"/>
        <v>DECIMAL(10),</v>
      </c>
      <c r="N361" s="38" t="str">
        <f t="shared" si="11"/>
        <v>COMMENT ON COLUMN bfs_service_summary_device.r_relative_other_amount_5 IS 'r相対他金額5';</v>
      </c>
      <c r="R361" s="34" t="s">
        <v>1189</v>
      </c>
    </row>
    <row r="362" spans="1:18" ht="19.5" thickBot="1">
      <c r="A362" s="6"/>
      <c r="B362" s="6">
        <v>356</v>
      </c>
      <c r="C362" s="6" t="s">
        <v>1190</v>
      </c>
      <c r="D362" s="6" t="s">
        <v>89</v>
      </c>
      <c r="E362" s="6">
        <v>3</v>
      </c>
      <c r="F362" s="7" t="s">
        <v>67</v>
      </c>
      <c r="G362" s="6"/>
      <c r="H362" s="8"/>
      <c r="I362" s="6"/>
      <c r="J362" s="6"/>
      <c r="K362" s="25" t="s">
        <v>1191</v>
      </c>
      <c r="L362" t="str">
        <f t="shared" si="10"/>
        <v>DECIMAL(3),</v>
      </c>
      <c r="N362" s="38" t="str">
        <f t="shared" si="11"/>
        <v>COMMENT ON COLUMN bfs_service_summary_device.r_relative_other_period_5 IS 'r相対他期間5';</v>
      </c>
      <c r="R362" s="34" t="s">
        <v>1192</v>
      </c>
    </row>
    <row r="363" spans="1:18" ht="19.5" thickBot="1">
      <c r="A363" s="3"/>
      <c r="B363" s="3">
        <v>357</v>
      </c>
      <c r="C363" s="3" t="s">
        <v>1193</v>
      </c>
      <c r="D363" s="3" t="s">
        <v>66</v>
      </c>
      <c r="E363" s="3">
        <v>1800</v>
      </c>
      <c r="F363" s="2" t="s">
        <v>67</v>
      </c>
      <c r="G363" s="3"/>
      <c r="H363" s="5"/>
      <c r="I363" s="3"/>
      <c r="J363" s="3"/>
      <c r="K363" s="25" t="s">
        <v>1194</v>
      </c>
      <c r="L363" t="str">
        <f t="shared" si="10"/>
        <v>VARCHAR(1800),</v>
      </c>
      <c r="N363" s="38" t="str">
        <f t="shared" si="11"/>
        <v>COMMENT ON COLUMN bfs_service_summary_device.plan_change_permission_range_1 IS 'プラン変更許可範囲1';</v>
      </c>
      <c r="R363" s="34" t="s">
        <v>1195</v>
      </c>
    </row>
    <row r="364" spans="1:18" ht="19.5" thickBot="1">
      <c r="A364" s="6"/>
      <c r="B364" s="6">
        <v>358</v>
      </c>
      <c r="C364" s="6" t="s">
        <v>1196</v>
      </c>
      <c r="D364" s="6" t="s">
        <v>66</v>
      </c>
      <c r="E364" s="6">
        <v>1800</v>
      </c>
      <c r="F364" s="7" t="s">
        <v>67</v>
      </c>
      <c r="G364" s="6"/>
      <c r="H364" s="8"/>
      <c r="I364" s="6"/>
      <c r="J364" s="6"/>
      <c r="K364" s="25" t="s">
        <v>1197</v>
      </c>
      <c r="L364" t="str">
        <f t="shared" si="10"/>
        <v>VARCHAR(1800),</v>
      </c>
      <c r="N364" s="38" t="str">
        <f t="shared" si="11"/>
        <v>COMMENT ON COLUMN bfs_service_summary_device.plan_change_permission_range_2 IS 'プラン変更許可範囲2';</v>
      </c>
      <c r="R364" s="34" t="s">
        <v>1198</v>
      </c>
    </row>
    <row r="365" spans="1:18" ht="19.5" thickBot="1">
      <c r="A365" s="3"/>
      <c r="B365" s="3">
        <v>359</v>
      </c>
      <c r="C365" s="3" t="s">
        <v>1199</v>
      </c>
      <c r="D365" s="3" t="s">
        <v>66</v>
      </c>
      <c r="E365" s="3">
        <v>1800</v>
      </c>
      <c r="F365" s="2" t="s">
        <v>67</v>
      </c>
      <c r="G365" s="3"/>
      <c r="H365" s="5"/>
      <c r="I365" s="3"/>
      <c r="J365" s="3"/>
      <c r="K365" s="25" t="s">
        <v>1200</v>
      </c>
      <c r="L365" t="str">
        <f t="shared" si="10"/>
        <v>VARCHAR(1800),</v>
      </c>
      <c r="N365" s="38" t="str">
        <f t="shared" si="11"/>
        <v>COMMENT ON COLUMN bfs_service_summary_device.plan_change_permission_range_3 IS 'プラン変更許可範囲3';</v>
      </c>
      <c r="R365" s="34" t="s">
        <v>1201</v>
      </c>
    </row>
    <row r="366" spans="1:18" ht="19.5" thickBot="1">
      <c r="A366" s="6"/>
      <c r="B366" s="6">
        <v>360</v>
      </c>
      <c r="C366" s="6" t="s">
        <v>1202</v>
      </c>
      <c r="D366" s="6" t="s">
        <v>66</v>
      </c>
      <c r="E366" s="6">
        <v>1800</v>
      </c>
      <c r="F366" s="7" t="s">
        <v>67</v>
      </c>
      <c r="G366" s="6"/>
      <c r="H366" s="8"/>
      <c r="I366" s="6"/>
      <c r="J366" s="6"/>
      <c r="K366" s="25" t="s">
        <v>1203</v>
      </c>
      <c r="L366" t="str">
        <f t="shared" si="10"/>
        <v>VARCHAR(1800),</v>
      </c>
      <c r="N366" s="38" t="str">
        <f t="shared" si="11"/>
        <v>COMMENT ON COLUMN bfs_service_summary_device.plan_change_permission_range_4 IS 'プラン変更許可範囲4';</v>
      </c>
      <c r="R366" s="34" t="s">
        <v>1204</v>
      </c>
    </row>
    <row r="367" spans="1:18" ht="19.5" thickBot="1">
      <c r="A367" s="3"/>
      <c r="B367" s="3">
        <v>361</v>
      </c>
      <c r="C367" s="3" t="s">
        <v>1205</v>
      </c>
      <c r="D367" s="3" t="s">
        <v>66</v>
      </c>
      <c r="E367" s="3">
        <v>1800</v>
      </c>
      <c r="F367" s="2" t="s">
        <v>67</v>
      </c>
      <c r="G367" s="3"/>
      <c r="H367" s="5"/>
      <c r="I367" s="3"/>
      <c r="J367" s="3"/>
      <c r="K367" s="25" t="s">
        <v>1206</v>
      </c>
      <c r="L367" t="str">
        <f t="shared" si="10"/>
        <v>VARCHAR(1800),</v>
      </c>
      <c r="N367" s="38" t="str">
        <f t="shared" si="11"/>
        <v>COMMENT ON COLUMN bfs_service_summary_device.plan_change_permission_range_5 IS 'プラン変更許可範囲5';</v>
      </c>
      <c r="R367" s="34" t="s">
        <v>1207</v>
      </c>
    </row>
    <row r="368" spans="1:18" ht="19.5" thickBot="1">
      <c r="A368" s="6"/>
      <c r="B368" s="6">
        <v>362</v>
      </c>
      <c r="C368" s="6" t="s">
        <v>1208</v>
      </c>
      <c r="D368" s="6" t="s">
        <v>66</v>
      </c>
      <c r="E368" s="6">
        <v>1800</v>
      </c>
      <c r="F368" s="7" t="s">
        <v>67</v>
      </c>
      <c r="G368" s="6"/>
      <c r="H368" s="8"/>
      <c r="I368" s="6"/>
      <c r="J368" s="6"/>
      <c r="K368" s="25" t="s">
        <v>1209</v>
      </c>
      <c r="L368" t="str">
        <f t="shared" si="10"/>
        <v>VARCHAR(1800),</v>
      </c>
      <c r="N368" s="38" t="str">
        <f t="shared" si="11"/>
        <v>COMMENT ON COLUMN bfs_service_summary_device.plan_change_permission_range_6 IS 'プラン変更許可範囲6';</v>
      </c>
      <c r="R368" s="34" t="s">
        <v>1210</v>
      </c>
    </row>
    <row r="369" spans="1:18" ht="19.5" thickBot="1">
      <c r="A369" s="3"/>
      <c r="B369" s="3">
        <v>363</v>
      </c>
      <c r="C369" s="3" t="s">
        <v>1211</v>
      </c>
      <c r="D369" s="3" t="s">
        <v>66</v>
      </c>
      <c r="E369" s="3">
        <v>1800</v>
      </c>
      <c r="F369" s="2" t="s">
        <v>67</v>
      </c>
      <c r="G369" s="3"/>
      <c r="H369" s="5"/>
      <c r="I369" s="3"/>
      <c r="J369" s="3"/>
      <c r="K369" s="25" t="s">
        <v>1212</v>
      </c>
      <c r="L369" t="str">
        <f t="shared" si="10"/>
        <v>VARCHAR(1800),</v>
      </c>
      <c r="N369" s="38" t="str">
        <f t="shared" si="11"/>
        <v>COMMENT ON COLUMN bfs_service_summary_device.plan_change_permission_range_7 IS 'プラン変更許可範囲7';</v>
      </c>
      <c r="R369" s="34" t="s">
        <v>1213</v>
      </c>
    </row>
    <row r="370" spans="1:18" ht="19.5" thickBot="1">
      <c r="A370" s="6"/>
      <c r="B370" s="6">
        <v>364</v>
      </c>
      <c r="C370" s="6" t="s">
        <v>1214</v>
      </c>
      <c r="D370" s="6" t="s">
        <v>66</v>
      </c>
      <c r="E370" s="6">
        <v>1800</v>
      </c>
      <c r="F370" s="7" t="s">
        <v>67</v>
      </c>
      <c r="G370" s="6"/>
      <c r="H370" s="8"/>
      <c r="I370" s="6"/>
      <c r="J370" s="6"/>
      <c r="K370" s="25" t="s">
        <v>1215</v>
      </c>
      <c r="L370" t="str">
        <f t="shared" si="10"/>
        <v>VARCHAR(1800),</v>
      </c>
      <c r="N370" s="38" t="str">
        <f t="shared" si="11"/>
        <v>COMMENT ON COLUMN bfs_service_summary_device.plan_change_permission_range_8 IS 'プラン変更許可範囲8';</v>
      </c>
      <c r="R370" s="34" t="s">
        <v>1216</v>
      </c>
    </row>
    <row r="371" spans="1:18" ht="19.5" thickBot="1">
      <c r="A371" s="3"/>
      <c r="B371" s="3">
        <v>365</v>
      </c>
      <c r="C371" s="3" t="s">
        <v>1217</v>
      </c>
      <c r="D371" s="3" t="s">
        <v>66</v>
      </c>
      <c r="E371" s="3">
        <v>1800</v>
      </c>
      <c r="F371" s="2" t="s">
        <v>67</v>
      </c>
      <c r="G371" s="3"/>
      <c r="H371" s="5"/>
      <c r="I371" s="3"/>
      <c r="J371" s="3"/>
      <c r="K371" s="25" t="s">
        <v>1218</v>
      </c>
      <c r="L371" t="str">
        <f t="shared" si="10"/>
        <v>VARCHAR(1800),</v>
      </c>
      <c r="N371" s="38" t="str">
        <f t="shared" si="11"/>
        <v>COMMENT ON COLUMN bfs_service_summary_device.plan_change_permission_range_9 IS 'プラン変更許可範囲9';</v>
      </c>
      <c r="R371" s="34" t="s">
        <v>1219</v>
      </c>
    </row>
    <row r="372" spans="1:18" ht="19.5" thickBot="1">
      <c r="A372" s="6"/>
      <c r="B372" s="6">
        <v>366</v>
      </c>
      <c r="C372" s="6" t="s">
        <v>1220</v>
      </c>
      <c r="D372" s="6" t="s">
        <v>66</v>
      </c>
      <c r="E372" s="6">
        <v>12</v>
      </c>
      <c r="F372" s="7" t="s">
        <v>67</v>
      </c>
      <c r="G372" s="6"/>
      <c r="H372" s="8"/>
      <c r="I372" s="6"/>
      <c r="J372" s="6"/>
      <c r="K372" s="25" t="s">
        <v>1221</v>
      </c>
      <c r="L372" t="str">
        <f t="shared" si="10"/>
        <v>VARCHAR(12),</v>
      </c>
      <c r="N372" s="38" t="str">
        <f t="shared" si="11"/>
        <v>COMMENT ON COLUMN bfs_service_summary_device.cancellation_fee_exemption_rate IS '解除料免除率';</v>
      </c>
      <c r="R372" s="34" t="s">
        <v>1222</v>
      </c>
    </row>
    <row r="373" spans="1:18" ht="19.5" thickBot="1">
      <c r="A373" s="3"/>
      <c r="B373" s="3">
        <v>367</v>
      </c>
      <c r="C373" s="3" t="s">
        <v>1223</v>
      </c>
      <c r="D373" s="3" t="s">
        <v>66</v>
      </c>
      <c r="E373" s="3">
        <v>600</v>
      </c>
      <c r="F373" s="2" t="s">
        <v>67</v>
      </c>
      <c r="G373" s="3"/>
      <c r="H373" s="5"/>
      <c r="I373" s="3"/>
      <c r="J373" s="3"/>
      <c r="K373" s="25" t="s">
        <v>1224</v>
      </c>
      <c r="L373" t="str">
        <f t="shared" si="10"/>
        <v>VARCHAR(600),</v>
      </c>
      <c r="N373" s="38" t="str">
        <f t="shared" si="11"/>
        <v>COMMENT ON COLUMN bfs_service_summary_device.start_date_change IS '起算日変更';</v>
      </c>
      <c r="R373" s="34" t="s">
        <v>1225</v>
      </c>
    </row>
    <row r="374" spans="1:18" ht="19.5" thickBot="1">
      <c r="A374" s="6"/>
      <c r="B374" s="6">
        <v>368</v>
      </c>
      <c r="C374" s="6" t="s">
        <v>1226</v>
      </c>
      <c r="D374" s="6" t="s">
        <v>66</v>
      </c>
      <c r="E374" s="6">
        <v>60</v>
      </c>
      <c r="F374" s="7" t="s">
        <v>67</v>
      </c>
      <c r="G374" s="6"/>
      <c r="H374" s="8"/>
      <c r="I374" s="6"/>
      <c r="J374" s="6"/>
      <c r="K374" s="25" t="s">
        <v>1227</v>
      </c>
      <c r="L374" t="str">
        <f t="shared" si="10"/>
        <v>VARCHAR(60),</v>
      </c>
      <c r="N374" s="38" t="str">
        <f t="shared" si="11"/>
        <v>COMMENT ON COLUMN bfs_service_summary_device.summary_creator_id IS 'サマリ作成担当者id';</v>
      </c>
      <c r="R374" s="34" t="s">
        <v>1228</v>
      </c>
    </row>
    <row r="375" spans="1:18" ht="19.5" thickBot="1">
      <c r="A375" s="3"/>
      <c r="B375" s="3">
        <v>369</v>
      </c>
      <c r="C375" s="3" t="s">
        <v>1229</v>
      </c>
      <c r="D375" s="3" t="s">
        <v>66</v>
      </c>
      <c r="E375" s="3">
        <v>78</v>
      </c>
      <c r="F375" s="2" t="s">
        <v>67</v>
      </c>
      <c r="G375" s="3"/>
      <c r="H375" s="5"/>
      <c r="I375" s="3"/>
      <c r="J375" s="3"/>
      <c r="K375" s="25" t="s">
        <v>1230</v>
      </c>
      <c r="L375" t="str">
        <f t="shared" si="10"/>
        <v>VARCHAR(78),</v>
      </c>
      <c r="N375" s="38" t="str">
        <f t="shared" si="11"/>
        <v>COMMENT ON COLUMN bfs_service_summary_device.summary_creation_date_and_time IS 'サマリ作成日時';</v>
      </c>
      <c r="R375" s="34" t="s">
        <v>1231</v>
      </c>
    </row>
    <row r="376" spans="1:18" ht="19.5" thickBot="1">
      <c r="A376" s="6"/>
      <c r="B376" s="6">
        <v>370</v>
      </c>
      <c r="C376" s="6" t="s">
        <v>1232</v>
      </c>
      <c r="D376" s="6" t="s">
        <v>66</v>
      </c>
      <c r="E376" s="6">
        <v>60</v>
      </c>
      <c r="F376" s="7" t="s">
        <v>67</v>
      </c>
      <c r="G376" s="6"/>
      <c r="H376" s="8"/>
      <c r="I376" s="6"/>
      <c r="J376" s="6"/>
      <c r="K376" s="25" t="s">
        <v>1233</v>
      </c>
      <c r="L376" t="str">
        <f t="shared" si="10"/>
        <v>VARCHAR(60),</v>
      </c>
      <c r="N376" s="38" t="str">
        <f t="shared" si="11"/>
        <v>COMMENT ON COLUMN bfs_service_summary_device.summary_updater_id IS 'サマリ更新担当者id';</v>
      </c>
      <c r="R376" s="34" t="s">
        <v>1234</v>
      </c>
    </row>
    <row r="377" spans="1:18" ht="19.5" thickBot="1">
      <c r="A377" s="3"/>
      <c r="B377" s="3">
        <v>371</v>
      </c>
      <c r="C377" s="3" t="s">
        <v>1235</v>
      </c>
      <c r="D377" s="3" t="s">
        <v>66</v>
      </c>
      <c r="E377" s="3">
        <v>78</v>
      </c>
      <c r="F377" s="2" t="s">
        <v>67</v>
      </c>
      <c r="G377" s="3"/>
      <c r="H377" s="5"/>
      <c r="I377" s="3"/>
      <c r="J377" s="3"/>
      <c r="K377" s="25" t="s">
        <v>1236</v>
      </c>
      <c r="L377" t="str">
        <f t="shared" si="10"/>
        <v>VARCHAR(78),</v>
      </c>
      <c r="N377" s="38" t="str">
        <f t="shared" si="11"/>
        <v>COMMENT ON COLUMN bfs_service_summary_device.summary_update_date_and_time IS 'サマリ更新日時';</v>
      </c>
      <c r="R377" s="34" t="s">
        <v>1237</v>
      </c>
    </row>
    <row r="378" spans="1:18" ht="19.5" thickBot="1">
      <c r="A378" s="6"/>
      <c r="B378" s="6">
        <v>372</v>
      </c>
      <c r="C378" s="6" t="s">
        <v>1238</v>
      </c>
      <c r="D378" s="6" t="s">
        <v>89</v>
      </c>
      <c r="E378" s="6">
        <v>11</v>
      </c>
      <c r="F378" s="7" t="s">
        <v>67</v>
      </c>
      <c r="G378" s="6"/>
      <c r="H378" s="8"/>
      <c r="I378" s="6"/>
      <c r="J378" s="6"/>
      <c r="K378" s="25" t="s">
        <v>1239</v>
      </c>
      <c r="L378" t="str">
        <f t="shared" si="10"/>
        <v>DECIMAL(11),</v>
      </c>
      <c r="N378" s="38" t="str">
        <f t="shared" si="11"/>
        <v>COMMENT ON COLUMN bfs_service_summary_device.minimum_number_of_lines IS '回線数下限';</v>
      </c>
      <c r="R378" s="34" t="s">
        <v>1240</v>
      </c>
    </row>
    <row r="379" spans="1:18" ht="19.5" thickBot="1">
      <c r="A379" s="3"/>
      <c r="B379" s="3">
        <v>373</v>
      </c>
      <c r="C379" s="3" t="s">
        <v>1241</v>
      </c>
      <c r="D379" s="3" t="s">
        <v>66</v>
      </c>
      <c r="E379" s="3">
        <v>6</v>
      </c>
      <c r="F379" s="2" t="s">
        <v>67</v>
      </c>
      <c r="G379" s="3"/>
      <c r="H379" s="5"/>
      <c r="I379" s="3"/>
      <c r="J379" s="3"/>
      <c r="K379" s="25" t="s">
        <v>1242</v>
      </c>
      <c r="L379" t="str">
        <f t="shared" si="10"/>
        <v>VARCHAR(6),</v>
      </c>
      <c r="N379" s="38" t="str">
        <f t="shared" si="11"/>
        <v>COMMENT ON COLUMN bfs_service_summary_device.generation_type IS '提供世代種別';</v>
      </c>
      <c r="R379" s="34" t="s">
        <v>1243</v>
      </c>
    </row>
    <row r="380" spans="1:18" ht="19.5" thickBot="1">
      <c r="A380" s="6"/>
      <c r="B380" s="6">
        <v>374</v>
      </c>
      <c r="C380" s="6" t="s">
        <v>1244</v>
      </c>
      <c r="D380" s="6" t="s">
        <v>66</v>
      </c>
      <c r="E380" s="6">
        <v>900</v>
      </c>
      <c r="F380" s="7" t="s">
        <v>67</v>
      </c>
      <c r="G380" s="6"/>
      <c r="H380" s="8"/>
      <c r="I380" s="6"/>
      <c r="J380" s="6"/>
      <c r="K380" s="25" t="s">
        <v>1245</v>
      </c>
      <c r="L380" t="str">
        <f t="shared" si="10"/>
        <v>VARCHAR(900),</v>
      </c>
      <c r="N380" s="38" t="str">
        <f t="shared" si="11"/>
        <v>COMMENT ON COLUMN bfs_service_summary_device.rental_device_change_details_name IS 'レンタル機変詳細名称';</v>
      </c>
      <c r="R380" s="34" t="s">
        <v>1246</v>
      </c>
    </row>
    <row r="381" spans="1:18" ht="19.5" thickBot="1">
      <c r="A381" s="3"/>
      <c r="B381" s="3">
        <v>375</v>
      </c>
      <c r="C381" s="3" t="s">
        <v>1247</v>
      </c>
      <c r="D381" s="3" t="s">
        <v>66</v>
      </c>
      <c r="E381" s="3">
        <v>900</v>
      </c>
      <c r="F381" s="2" t="s">
        <v>67</v>
      </c>
      <c r="G381" s="3"/>
      <c r="H381" s="5"/>
      <c r="I381" s="3"/>
      <c r="J381" s="3"/>
      <c r="K381" s="25" t="s">
        <v>1248</v>
      </c>
      <c r="L381" t="str">
        <f t="shared" si="10"/>
        <v>VARCHAR(900),</v>
      </c>
      <c r="N381" s="38" t="str">
        <f t="shared" si="11"/>
        <v>COMMENT ON COLUMN bfs_service_summary_device.current_device_usage_period_name IS '現端末利用期間名称';</v>
      </c>
      <c r="R381" s="34" t="s">
        <v>1249</v>
      </c>
    </row>
    <row r="382" spans="1:18" ht="19.5" thickBot="1">
      <c r="A382" s="6"/>
      <c r="B382" s="6">
        <v>376</v>
      </c>
      <c r="C382" s="6" t="s">
        <v>1250</v>
      </c>
      <c r="D382" s="6" t="s">
        <v>66</v>
      </c>
      <c r="E382" s="6">
        <v>900</v>
      </c>
      <c r="F382" s="7" t="s">
        <v>67</v>
      </c>
      <c r="G382" s="6"/>
      <c r="H382" s="8"/>
      <c r="I382" s="6"/>
      <c r="J382" s="6"/>
      <c r="K382" s="25" t="s">
        <v>1251</v>
      </c>
      <c r="L382" t="str">
        <f t="shared" si="10"/>
        <v>VARCHAR(900),</v>
      </c>
      <c r="N382" s="38" t="str">
        <f t="shared" si="11"/>
        <v>COMMENT ON COLUMN bfs_service_summary_device.current_device_collection_status_name IS '現端末回収状況名称';</v>
      </c>
      <c r="R382" s="34" t="s">
        <v>1252</v>
      </c>
    </row>
    <row r="383" spans="1:18" ht="19.5" thickBot="1">
      <c r="A383" s="3"/>
      <c r="B383" s="3">
        <v>377</v>
      </c>
      <c r="C383" s="3" t="s">
        <v>1253</v>
      </c>
      <c r="D383" s="3" t="s">
        <v>89</v>
      </c>
      <c r="E383" s="3">
        <v>11</v>
      </c>
      <c r="F383" s="2" t="s">
        <v>67</v>
      </c>
      <c r="G383" s="3"/>
      <c r="H383" s="5"/>
      <c r="I383" s="3"/>
      <c r="J383" s="3"/>
      <c r="K383" s="25" t="s">
        <v>1254</v>
      </c>
      <c r="L383" t="str">
        <f t="shared" si="10"/>
        <v>DECIMAL(11),</v>
      </c>
      <c r="N383" s="38" t="str">
        <f t="shared" si="11"/>
        <v>COMMENT ON COLUMN bfs_service_summary_device.current_device_uncollected_balance IS '現端末未回収残高';</v>
      </c>
      <c r="R383" s="34" t="s">
        <v>1255</v>
      </c>
    </row>
    <row r="384" spans="1:18" ht="19.5" thickBot="1">
      <c r="A384" s="6"/>
      <c r="B384" s="6">
        <v>378</v>
      </c>
      <c r="C384" s="6" t="s">
        <v>1256</v>
      </c>
      <c r="D384" s="6" t="s">
        <v>66</v>
      </c>
      <c r="E384" s="6">
        <v>1800</v>
      </c>
      <c r="F384" s="7" t="s">
        <v>67</v>
      </c>
      <c r="G384" s="6"/>
      <c r="H384" s="8"/>
      <c r="I384" s="6"/>
      <c r="J384" s="6"/>
      <c r="K384" s="25" t="s">
        <v>1257</v>
      </c>
      <c r="L384" t="str">
        <f t="shared" si="10"/>
        <v>VARCHAR(1800),</v>
      </c>
      <c r="N384" s="38" t="str">
        <f t="shared" si="11"/>
        <v>COMMENT ON COLUMN bfs_service_summary_device.current_device_brand_name IS '現端末ブランド名';</v>
      </c>
      <c r="R384" s="34" t="s">
        <v>1258</v>
      </c>
    </row>
    <row r="385" spans="1:18" ht="19.5" thickBot="1">
      <c r="A385" s="3"/>
      <c r="B385" s="3">
        <v>379</v>
      </c>
      <c r="C385" s="3" t="s">
        <v>1259</v>
      </c>
      <c r="D385" s="3" t="s">
        <v>66</v>
      </c>
      <c r="E385" s="3">
        <v>45</v>
      </c>
      <c r="F385" s="2" t="s">
        <v>67</v>
      </c>
      <c r="G385" s="3"/>
      <c r="H385" s="5"/>
      <c r="I385" s="3"/>
      <c r="J385" s="3"/>
      <c r="K385" s="25" t="s">
        <v>1260</v>
      </c>
      <c r="L385" t="str">
        <f t="shared" si="10"/>
        <v>VARCHAR(45),</v>
      </c>
      <c r="N385" s="38" t="str">
        <f t="shared" si="11"/>
        <v>COMMENT ON COLUMN bfs_service_summary_device.current_device_product_code IS '現端末商品コード';</v>
      </c>
      <c r="R385" s="34" t="s">
        <v>1261</v>
      </c>
    </row>
    <row r="386" spans="1:18" ht="19.5" thickBot="1">
      <c r="A386" s="6"/>
      <c r="B386" s="6">
        <v>380</v>
      </c>
      <c r="C386" s="6" t="s">
        <v>1262</v>
      </c>
      <c r="D386" s="6" t="s">
        <v>66</v>
      </c>
      <c r="E386" s="6">
        <v>900</v>
      </c>
      <c r="F386" s="7" t="s">
        <v>67</v>
      </c>
      <c r="G386" s="6"/>
      <c r="H386" s="8"/>
      <c r="I386" s="6"/>
      <c r="J386" s="6"/>
      <c r="K386" s="25" t="s">
        <v>1263</v>
      </c>
      <c r="L386" t="str">
        <f t="shared" si="10"/>
        <v>VARCHAR(900),</v>
      </c>
      <c r="N386" s="38" t="str">
        <f t="shared" si="11"/>
        <v>COMMENT ON COLUMN bfs_service_summary_device.current_device_product_name IS '現端末商品名称';</v>
      </c>
      <c r="R386" s="34" t="s">
        <v>1264</v>
      </c>
    </row>
    <row r="387" spans="1:18" ht="19.5" thickBot="1">
      <c r="A387" s="3"/>
      <c r="B387" s="3">
        <v>381</v>
      </c>
      <c r="C387" s="3" t="s">
        <v>1265</v>
      </c>
      <c r="D387" s="3" t="s">
        <v>66</v>
      </c>
      <c r="E387" s="3">
        <v>18</v>
      </c>
      <c r="F387" s="2" t="s">
        <v>67</v>
      </c>
      <c r="G387" s="3"/>
      <c r="H387" s="5"/>
      <c r="I387" s="3"/>
      <c r="J387" s="3"/>
      <c r="K387" s="25" t="s">
        <v>1266</v>
      </c>
      <c r="L387" t="str">
        <f t="shared" si="10"/>
        <v>VARCHAR(18),</v>
      </c>
      <c r="N387" s="38" t="str">
        <f t="shared" si="11"/>
        <v>COMMENT ON COLUMN bfs_service_summary_device.current_device_purchase_month IS '現端末購入月';</v>
      </c>
      <c r="R387" s="34" t="s">
        <v>1267</v>
      </c>
    </row>
    <row r="388" spans="1:18" ht="19.5" thickBot="1">
      <c r="A388" s="6"/>
      <c r="B388" s="6">
        <v>382</v>
      </c>
      <c r="C388" s="6" t="s">
        <v>1268</v>
      </c>
      <c r="D388" s="6" t="s">
        <v>66</v>
      </c>
      <c r="E388" s="6">
        <v>900</v>
      </c>
      <c r="F388" s="7" t="s">
        <v>67</v>
      </c>
      <c r="G388" s="6"/>
      <c r="H388" s="8"/>
      <c r="I388" s="6"/>
      <c r="J388" s="6"/>
      <c r="K388" s="25" t="s">
        <v>1269</v>
      </c>
      <c r="L388" t="str">
        <f t="shared" si="10"/>
        <v>VARCHAR(900),</v>
      </c>
      <c r="N388" s="38" t="str">
        <f t="shared" si="11"/>
        <v>COMMENT ON COLUMN bfs_service_summary_device.multiple_line_discount_name IS '複数回線割引名称';</v>
      </c>
      <c r="R388" s="34" t="s">
        <v>1270</v>
      </c>
    </row>
    <row r="389" spans="1:18" ht="19.5" thickBot="1">
      <c r="A389" s="3"/>
      <c r="B389" s="3">
        <v>383</v>
      </c>
      <c r="C389" s="3" t="s">
        <v>1271</v>
      </c>
      <c r="D389" s="3" t="s">
        <v>89</v>
      </c>
      <c r="E389" s="3">
        <v>11</v>
      </c>
      <c r="F389" s="2" t="s">
        <v>67</v>
      </c>
      <c r="G389" s="3"/>
      <c r="H389" s="5"/>
      <c r="I389" s="3"/>
      <c r="J389" s="3"/>
      <c r="K389" s="25" t="s">
        <v>1272</v>
      </c>
      <c r="L389" t="str">
        <f t="shared" si="10"/>
        <v>DECIMAL(11),</v>
      </c>
      <c r="N389" s="38" t="str">
        <f t="shared" si="11"/>
        <v>COMMENT ON COLUMN bfs_service_summary_device.actual_domestic_voice_calls IS '実通話国内音声';</v>
      </c>
      <c r="R389" s="34" t="s">
        <v>1273</v>
      </c>
    </row>
    <row r="390" spans="1:18" ht="19.5" thickBot="1">
      <c r="A390" s="6"/>
      <c r="B390" s="6">
        <v>384</v>
      </c>
      <c r="C390" s="6" t="s">
        <v>1274</v>
      </c>
      <c r="D390" s="6" t="s">
        <v>89</v>
      </c>
      <c r="E390" s="6">
        <v>11</v>
      </c>
      <c r="F390" s="7" t="s">
        <v>67</v>
      </c>
      <c r="G390" s="6"/>
      <c r="H390" s="8"/>
      <c r="I390" s="6"/>
      <c r="J390" s="6"/>
      <c r="K390" s="25" t="s">
        <v>1275</v>
      </c>
      <c r="L390" t="str">
        <f t="shared" si="10"/>
        <v>DECIMAL(11),</v>
      </c>
      <c r="N390" s="38" t="str">
        <f t="shared" si="11"/>
        <v>COMMENT ON COLUMN bfs_service_summary_device.actual_domestic_data_calls IS '実通話国内データ';</v>
      </c>
      <c r="R390" s="34" t="s">
        <v>1276</v>
      </c>
    </row>
    <row r="391" spans="1:18" ht="19.5" thickBot="1">
      <c r="A391" s="3"/>
      <c r="B391" s="3">
        <v>385</v>
      </c>
      <c r="C391" s="3" t="s">
        <v>1277</v>
      </c>
      <c r="D391" s="3" t="s">
        <v>66</v>
      </c>
      <c r="E391" s="3">
        <v>900</v>
      </c>
      <c r="F391" s="2" t="s">
        <v>67</v>
      </c>
      <c r="G391" s="3"/>
      <c r="H391" s="5"/>
      <c r="I391" s="3"/>
      <c r="J391" s="3"/>
      <c r="K391" s="25" t="s">
        <v>1278</v>
      </c>
      <c r="L391" t="str">
        <f t="shared" si="10"/>
        <v>VARCHAR(900),</v>
      </c>
      <c r="N391" s="38" t="str">
        <f t="shared" si="11"/>
        <v>COMMENT ON COLUMN bfs_service_summary_device.large_volume_discount_name IS '大口割引名称';</v>
      </c>
      <c r="R391" s="34" t="s">
        <v>1279</v>
      </c>
    </row>
    <row r="392" spans="1:18" ht="19.5" thickBot="1">
      <c r="A392" s="6"/>
      <c r="B392" s="6">
        <v>386</v>
      </c>
      <c r="C392" s="6" t="s">
        <v>1280</v>
      </c>
      <c r="D392" s="6" t="s">
        <v>89</v>
      </c>
      <c r="E392" s="6">
        <v>11</v>
      </c>
      <c r="F392" s="7" t="s">
        <v>67</v>
      </c>
      <c r="G392" s="6"/>
      <c r="H392" s="8"/>
      <c r="I392" s="6"/>
      <c r="J392" s="6"/>
      <c r="K392" s="25" t="s">
        <v>1281</v>
      </c>
      <c r="L392" t="str">
        <f t="shared" ref="L392:L455" si="12">D392&amp;"("&amp;E392&amp;"),"</f>
        <v>DECIMAL(11),</v>
      </c>
      <c r="N392" s="38" t="str">
        <f t="shared" ref="N392:N455" si="13">"COMMENT ON COLUMN "&amp;$H$3&amp;"."&amp;$K392&amp;" IS '"&amp;C392&amp;"';"</f>
        <v>COMMENT ON COLUMN bfs_service_summary_device.actual_international_calls IS '実通話国際電話';</v>
      </c>
      <c r="R392" s="34" t="s">
        <v>1282</v>
      </c>
    </row>
    <row r="393" spans="1:18" ht="19.5" thickBot="1">
      <c r="A393" s="3"/>
      <c r="B393" s="3">
        <v>387</v>
      </c>
      <c r="C393" s="3" t="s">
        <v>1283</v>
      </c>
      <c r="D393" s="3" t="s">
        <v>89</v>
      </c>
      <c r="E393" s="3">
        <v>11</v>
      </c>
      <c r="F393" s="2" t="s">
        <v>67</v>
      </c>
      <c r="G393" s="3"/>
      <c r="H393" s="5"/>
      <c r="I393" s="3"/>
      <c r="J393" s="3"/>
      <c r="K393" s="25" t="s">
        <v>1284</v>
      </c>
      <c r="L393" t="str">
        <f t="shared" si="12"/>
        <v>DECIMAL(11),</v>
      </c>
      <c r="N393" s="38" t="str">
        <f t="shared" si="13"/>
        <v>COMMENT ON COLUMN bfs_service_summary_device.international_rm_data IS '国際rmデータ';</v>
      </c>
      <c r="R393" s="34" t="s">
        <v>1285</v>
      </c>
    </row>
    <row r="394" spans="1:18" ht="19.5" thickBot="1">
      <c r="A394" s="6"/>
      <c r="B394" s="6">
        <v>388</v>
      </c>
      <c r="C394" s="6" t="s">
        <v>1286</v>
      </c>
      <c r="D394" s="6" t="s">
        <v>89</v>
      </c>
      <c r="E394" s="6">
        <v>11</v>
      </c>
      <c r="F394" s="7" t="s">
        <v>67</v>
      </c>
      <c r="G394" s="6"/>
      <c r="H394" s="8"/>
      <c r="I394" s="6"/>
      <c r="J394" s="6"/>
      <c r="K394" s="25" t="s">
        <v>1287</v>
      </c>
      <c r="L394" t="str">
        <f t="shared" si="12"/>
        <v>DECIMAL(11),</v>
      </c>
      <c r="N394" s="38" t="str">
        <f t="shared" si="13"/>
        <v>COMMENT ON COLUMN bfs_service_summary_device.international_rm_voice IS '国際rm音声';</v>
      </c>
      <c r="R394" s="34" t="s">
        <v>1288</v>
      </c>
    </row>
    <row r="395" spans="1:18" ht="19.5" thickBot="1">
      <c r="A395" s="3"/>
      <c r="B395" s="3">
        <v>389</v>
      </c>
      <c r="C395" s="3" t="s">
        <v>1289</v>
      </c>
      <c r="D395" s="3" t="s">
        <v>66</v>
      </c>
      <c r="E395" s="3">
        <v>900</v>
      </c>
      <c r="F395" s="2" t="s">
        <v>67</v>
      </c>
      <c r="G395" s="3"/>
      <c r="H395" s="5"/>
      <c r="I395" s="3"/>
      <c r="J395" s="3"/>
      <c r="K395" s="25" t="s">
        <v>1290</v>
      </c>
      <c r="L395" t="str">
        <f t="shared" si="12"/>
        <v>VARCHAR(900),</v>
      </c>
      <c r="N395" s="38" t="str">
        <f t="shared" si="13"/>
        <v>COMMENT ON COLUMN bfs_service_summary_device.share_relative_package_name IS 'シェア相対パケ名称';</v>
      </c>
      <c r="R395" s="34" t="s">
        <v>1291</v>
      </c>
    </row>
    <row r="396" spans="1:18" ht="19.5" thickBot="1">
      <c r="A396" s="6"/>
      <c r="B396" s="6">
        <v>390</v>
      </c>
      <c r="C396" s="6" t="s">
        <v>1292</v>
      </c>
      <c r="D396" s="6" t="s">
        <v>89</v>
      </c>
      <c r="E396" s="6">
        <v>11</v>
      </c>
      <c r="F396" s="7" t="s">
        <v>67</v>
      </c>
      <c r="G396" s="6"/>
      <c r="H396" s="8"/>
      <c r="I396" s="6"/>
      <c r="J396" s="6"/>
      <c r="K396" s="25" t="s">
        <v>1293</v>
      </c>
      <c r="L396" t="str">
        <f t="shared" si="12"/>
        <v>DECIMAL(11),</v>
      </c>
      <c r="N396" s="38" t="str">
        <f t="shared" si="13"/>
        <v>COMMENT ON COLUMN bfs_service_summary_device.penalty_reduction_increase IS '違約金減額増額';</v>
      </c>
      <c r="R396" s="34" t="s">
        <v>1294</v>
      </c>
    </row>
    <row r="397" spans="1:18" ht="19.5" thickBot="1">
      <c r="A397" s="3"/>
      <c r="B397" s="3">
        <v>391</v>
      </c>
      <c r="C397" s="3" t="s">
        <v>1295</v>
      </c>
      <c r="D397" s="3" t="s">
        <v>66</v>
      </c>
      <c r="E397" s="3">
        <v>900</v>
      </c>
      <c r="F397" s="2" t="s">
        <v>67</v>
      </c>
      <c r="G397" s="3"/>
      <c r="H397" s="5"/>
      <c r="I397" s="3"/>
      <c r="J397" s="3"/>
      <c r="K397" s="25" t="s">
        <v>1296</v>
      </c>
      <c r="L397" t="str">
        <f t="shared" si="12"/>
        <v>VARCHAR(900),</v>
      </c>
      <c r="N397" s="38" t="str">
        <f t="shared" si="13"/>
        <v>COMMENT ON COLUMN bfs_service_summary_device.agency_collaboration_status_name IS '代理店協業有無名称';</v>
      </c>
      <c r="R397" s="34" t="s">
        <v>1297</v>
      </c>
    </row>
    <row r="398" spans="1:18" ht="19.5" thickBot="1">
      <c r="A398" s="6"/>
      <c r="B398" s="6">
        <v>392</v>
      </c>
      <c r="C398" s="6" t="s">
        <v>1298</v>
      </c>
      <c r="D398" s="6" t="s">
        <v>66</v>
      </c>
      <c r="E398" s="6">
        <v>180</v>
      </c>
      <c r="F398" s="7" t="s">
        <v>67</v>
      </c>
      <c r="G398" s="6"/>
      <c r="H398" s="8"/>
      <c r="I398" s="6"/>
      <c r="J398" s="6"/>
      <c r="K398" s="25" t="s">
        <v>1299</v>
      </c>
      <c r="L398" t="str">
        <f t="shared" si="12"/>
        <v>VARCHAR(180),</v>
      </c>
      <c r="N398" s="38" t="str">
        <f t="shared" si="13"/>
        <v>COMMENT ON COLUMN bfs_service_summary_device.secondary_agency_code IS '二次代理店コード';</v>
      </c>
      <c r="R398" s="34" t="s">
        <v>1300</v>
      </c>
    </row>
    <row r="399" spans="1:18" ht="19.5" thickBot="1">
      <c r="A399" s="3"/>
      <c r="B399" s="3">
        <v>393</v>
      </c>
      <c r="C399" s="3" t="s">
        <v>1301</v>
      </c>
      <c r="D399" s="3" t="s">
        <v>66</v>
      </c>
      <c r="E399" s="3">
        <v>900</v>
      </c>
      <c r="F399" s="2" t="s">
        <v>67</v>
      </c>
      <c r="G399" s="3"/>
      <c r="H399" s="5"/>
      <c r="I399" s="3"/>
      <c r="J399" s="3"/>
      <c r="K399" s="25" t="s">
        <v>1302</v>
      </c>
      <c r="L399" t="str">
        <f t="shared" si="12"/>
        <v>VARCHAR(900),</v>
      </c>
      <c r="N399" s="38" t="str">
        <f t="shared" si="13"/>
        <v>COMMENT ON COLUMN bfs_service_summary_device.secondary_agency_name IS '二次代理店名';</v>
      </c>
      <c r="R399" s="34" t="s">
        <v>1303</v>
      </c>
    </row>
    <row r="400" spans="1:18" ht="19.5" thickBot="1">
      <c r="A400" s="6"/>
      <c r="B400" s="6">
        <v>394</v>
      </c>
      <c r="C400" s="6" t="s">
        <v>1304</v>
      </c>
      <c r="D400" s="6" t="s">
        <v>66</v>
      </c>
      <c r="E400" s="6">
        <v>900</v>
      </c>
      <c r="F400" s="7" t="s">
        <v>67</v>
      </c>
      <c r="G400" s="6"/>
      <c r="H400" s="8"/>
      <c r="I400" s="6"/>
      <c r="J400" s="6"/>
      <c r="K400" s="25" t="s">
        <v>1305</v>
      </c>
      <c r="L400" t="str">
        <f t="shared" si="12"/>
        <v>VARCHAR(900),</v>
      </c>
      <c r="N400" s="38" t="str">
        <f t="shared" si="13"/>
        <v>COMMENT ON COLUMN bfs_service_summary_device.billing_agent_name IS '請求代行業者名称';</v>
      </c>
      <c r="R400" s="34" t="s">
        <v>1306</v>
      </c>
    </row>
    <row r="401" spans="1:18" ht="19.5" thickBot="1">
      <c r="A401" s="3"/>
      <c r="B401" s="3">
        <v>395</v>
      </c>
      <c r="C401" s="3" t="s">
        <v>1307</v>
      </c>
      <c r="D401" s="3" t="s">
        <v>89</v>
      </c>
      <c r="E401" s="3">
        <v>11</v>
      </c>
      <c r="F401" s="2" t="s">
        <v>67</v>
      </c>
      <c r="G401" s="3"/>
      <c r="H401" s="5"/>
      <c r="I401" s="3"/>
      <c r="J401" s="3"/>
      <c r="K401" s="25" t="s">
        <v>1308</v>
      </c>
      <c r="L401" t="str">
        <f t="shared" si="12"/>
        <v>DECIMAL(11),</v>
      </c>
      <c r="N401" s="38" t="str">
        <f t="shared" si="13"/>
        <v>COMMENT ON COLUMN bfs_service_summary_device.short_term_fee IS 'ショット手数料';</v>
      </c>
      <c r="R401" s="34" t="s">
        <v>1309</v>
      </c>
    </row>
    <row r="402" spans="1:18" ht="19.5" thickBot="1">
      <c r="A402" s="6"/>
      <c r="B402" s="6">
        <v>396</v>
      </c>
      <c r="C402" s="6" t="s">
        <v>1310</v>
      </c>
      <c r="D402" s="6" t="s">
        <v>66</v>
      </c>
      <c r="E402" s="6">
        <v>24</v>
      </c>
      <c r="F402" s="7" t="s">
        <v>67</v>
      </c>
      <c r="G402" s="6"/>
      <c r="H402" s="8"/>
      <c r="I402" s="6"/>
      <c r="J402" s="6"/>
      <c r="K402" s="25" t="s">
        <v>1311</v>
      </c>
      <c r="L402" t="str">
        <f t="shared" si="12"/>
        <v>VARCHAR(24),</v>
      </c>
      <c r="N402" s="38" t="str">
        <f t="shared" si="13"/>
        <v>COMMENT ON COLUMN bfs_service_summary_device.continuing_fee_rate IS '継続手数料率';</v>
      </c>
      <c r="R402" s="34" t="s">
        <v>1312</v>
      </c>
    </row>
    <row r="403" spans="1:18" ht="19.5" thickBot="1">
      <c r="A403" s="3"/>
      <c r="B403" s="3">
        <v>397</v>
      </c>
      <c r="C403" s="3" t="s">
        <v>1313</v>
      </c>
      <c r="D403" s="3" t="s">
        <v>89</v>
      </c>
      <c r="E403" s="3">
        <v>11</v>
      </c>
      <c r="F403" s="2" t="s">
        <v>67</v>
      </c>
      <c r="G403" s="3"/>
      <c r="H403" s="5"/>
      <c r="I403" s="3"/>
      <c r="J403" s="3"/>
      <c r="K403" s="25" t="s">
        <v>1314</v>
      </c>
      <c r="L403" t="str">
        <f t="shared" si="12"/>
        <v>DECIMAL(11),</v>
      </c>
      <c r="N403" s="38" t="str">
        <f t="shared" si="13"/>
        <v>COMMENT ON COLUMN bfs_service_summary_device.customization_and_other_billing_amounts IS 'カスタマイズ等請求額';</v>
      </c>
      <c r="R403" s="34" t="s">
        <v>1315</v>
      </c>
    </row>
    <row r="404" spans="1:18" ht="19.5" thickBot="1">
      <c r="A404" s="6"/>
      <c r="B404" s="6">
        <v>398</v>
      </c>
      <c r="C404" s="6" t="s">
        <v>1316</v>
      </c>
      <c r="D404" s="6" t="s">
        <v>89</v>
      </c>
      <c r="E404" s="6">
        <v>11</v>
      </c>
      <c r="F404" s="7" t="s">
        <v>67</v>
      </c>
      <c r="G404" s="6"/>
      <c r="H404" s="8"/>
      <c r="I404" s="6"/>
      <c r="J404" s="6"/>
      <c r="K404" s="25" t="s">
        <v>1317</v>
      </c>
      <c r="L404" t="str">
        <f t="shared" si="12"/>
        <v>DECIMAL(11),</v>
      </c>
      <c r="N404" s="38" t="str">
        <f t="shared" si="13"/>
        <v>COMMENT ON COLUMN bfs_service_summary_device.customization_and_other_costs IS 'カスタマイズ等コスト';</v>
      </c>
      <c r="R404" s="34" t="s">
        <v>1318</v>
      </c>
    </row>
    <row r="405" spans="1:18" ht="19.5" thickBot="1">
      <c r="A405" s="3"/>
      <c r="B405" s="3">
        <v>399</v>
      </c>
      <c r="C405" s="3" t="s">
        <v>1319</v>
      </c>
      <c r="D405" s="3" t="s">
        <v>89</v>
      </c>
      <c r="E405" s="3">
        <v>11</v>
      </c>
      <c r="F405" s="2" t="s">
        <v>67</v>
      </c>
      <c r="G405" s="3"/>
      <c r="H405" s="5"/>
      <c r="I405" s="3"/>
      <c r="J405" s="3"/>
      <c r="K405" s="25" t="s">
        <v>1319</v>
      </c>
      <c r="L405" t="str">
        <f t="shared" si="12"/>
        <v>DECIMAL(11),</v>
      </c>
      <c r="N405" s="38" t="str">
        <f t="shared" si="13"/>
        <v>COMMENT ON COLUMN bfs_service_summary_device.capex IS 'capex';</v>
      </c>
      <c r="R405" s="34" t="s">
        <v>1320</v>
      </c>
    </row>
    <row r="406" spans="1:18" ht="19.5" thickBot="1">
      <c r="A406" s="6"/>
      <c r="B406" s="6">
        <v>400</v>
      </c>
      <c r="C406" s="6" t="s">
        <v>1321</v>
      </c>
      <c r="D406" s="6" t="s">
        <v>89</v>
      </c>
      <c r="E406" s="6">
        <v>11</v>
      </c>
      <c r="F406" s="7" t="s">
        <v>67</v>
      </c>
      <c r="G406" s="6"/>
      <c r="H406" s="8"/>
      <c r="I406" s="6"/>
      <c r="J406" s="6"/>
      <c r="K406" s="25" t="s">
        <v>1322</v>
      </c>
      <c r="L406" t="str">
        <f t="shared" si="12"/>
        <v>DECIMAL(11),</v>
      </c>
      <c r="N406" s="38" t="str">
        <f t="shared" si="13"/>
        <v>COMMENT ON COLUMN bfs_service_summary_device.other_adjustments IS 'その他調整額';</v>
      </c>
      <c r="R406" s="34" t="s">
        <v>1323</v>
      </c>
    </row>
    <row r="407" spans="1:18" ht="19.5" thickBot="1">
      <c r="A407" s="3"/>
      <c r="B407" s="3">
        <v>401</v>
      </c>
      <c r="C407" s="3" t="s">
        <v>1324</v>
      </c>
      <c r="D407" s="3" t="s">
        <v>89</v>
      </c>
      <c r="E407" s="3">
        <v>11</v>
      </c>
      <c r="F407" s="2" t="s">
        <v>67</v>
      </c>
      <c r="G407" s="3"/>
      <c r="H407" s="5"/>
      <c r="I407" s="3"/>
      <c r="J407" s="3"/>
      <c r="K407" s="25" t="s">
        <v>1325</v>
      </c>
      <c r="L407" t="str">
        <f t="shared" si="12"/>
        <v>DECIMAL(11),</v>
      </c>
      <c r="N407" s="38" t="str">
        <f t="shared" si="13"/>
        <v>COMMENT ON COLUMN bfs_service_summary_device.biz_concierge_list_price IS 'bizコンシェル定価';</v>
      </c>
      <c r="R407" s="34" t="s">
        <v>1326</v>
      </c>
    </row>
    <row r="408" spans="1:18" ht="19.5" thickBot="1">
      <c r="A408" s="6"/>
      <c r="B408" s="6">
        <v>402</v>
      </c>
      <c r="C408" s="6" t="s">
        <v>1327</v>
      </c>
      <c r="D408" s="6" t="s">
        <v>89</v>
      </c>
      <c r="E408" s="6">
        <v>11</v>
      </c>
      <c r="F408" s="7" t="s">
        <v>67</v>
      </c>
      <c r="G408" s="6"/>
      <c r="H408" s="8"/>
      <c r="I408" s="6"/>
      <c r="J408" s="6"/>
      <c r="K408" s="25" t="s">
        <v>1328</v>
      </c>
      <c r="L408" t="str">
        <f t="shared" si="12"/>
        <v>DECIMAL(11),</v>
      </c>
      <c r="N408" s="38" t="str">
        <f t="shared" si="13"/>
        <v>COMMENT ON COLUMN bfs_service_summary_device.biz_concierge_discount_amount IS 'bizコンシェル値引額';</v>
      </c>
      <c r="R408" s="34" t="s">
        <v>1329</v>
      </c>
    </row>
    <row r="409" spans="1:18" ht="19.5" thickBot="1">
      <c r="A409" s="3"/>
      <c r="B409" s="3">
        <v>403</v>
      </c>
      <c r="C409" s="3" t="s">
        <v>1330</v>
      </c>
      <c r="D409" s="3" t="s">
        <v>89</v>
      </c>
      <c r="E409" s="3">
        <v>11</v>
      </c>
      <c r="F409" s="2" t="s">
        <v>67</v>
      </c>
      <c r="G409" s="3"/>
      <c r="H409" s="5"/>
      <c r="I409" s="3"/>
      <c r="J409" s="3"/>
      <c r="K409" s="25" t="s">
        <v>1331</v>
      </c>
      <c r="L409" t="str">
        <f t="shared" si="12"/>
        <v>DECIMAL(11),</v>
      </c>
      <c r="N409" s="38" t="str">
        <f t="shared" si="13"/>
        <v>COMMENT ON COLUMN bfs_service_summary_device.biz_concierge_cost IS 'bizコンシェルコスト';</v>
      </c>
      <c r="R409" s="34" t="s">
        <v>1332</v>
      </c>
    </row>
    <row r="410" spans="1:18" ht="19.5" thickBot="1">
      <c r="A410" s="6"/>
      <c r="B410" s="6">
        <v>404</v>
      </c>
      <c r="C410" s="6" t="s">
        <v>1333</v>
      </c>
      <c r="D410" s="6" t="s">
        <v>66</v>
      </c>
      <c r="E410" s="6">
        <v>1800</v>
      </c>
      <c r="F410" s="7" t="s">
        <v>67</v>
      </c>
      <c r="G410" s="6"/>
      <c r="H410" s="8"/>
      <c r="I410" s="6"/>
      <c r="J410" s="6"/>
      <c r="K410" s="25" t="s">
        <v>1334</v>
      </c>
      <c r="L410" t="str">
        <f t="shared" si="12"/>
        <v>VARCHAR(1800),</v>
      </c>
      <c r="N410" s="38" t="str">
        <f t="shared" si="13"/>
        <v>COMMENT ON COLUMN bfs_service_summary_device.maintenance_device_brand_name IS '保守端末ブランド名';</v>
      </c>
      <c r="R410" s="34" t="s">
        <v>1335</v>
      </c>
    </row>
    <row r="411" spans="1:18" ht="19.5" thickBot="1">
      <c r="A411" s="3"/>
      <c r="B411" s="3">
        <v>405</v>
      </c>
      <c r="C411" s="3" t="s">
        <v>1336</v>
      </c>
      <c r="D411" s="3" t="s">
        <v>66</v>
      </c>
      <c r="E411" s="3">
        <v>45</v>
      </c>
      <c r="F411" s="2" t="s">
        <v>67</v>
      </c>
      <c r="G411" s="3"/>
      <c r="H411" s="5"/>
      <c r="I411" s="3"/>
      <c r="J411" s="3"/>
      <c r="K411" s="25" t="s">
        <v>1337</v>
      </c>
      <c r="L411" t="str">
        <f t="shared" si="12"/>
        <v>VARCHAR(45),</v>
      </c>
      <c r="N411" s="38" t="str">
        <f t="shared" si="13"/>
        <v>COMMENT ON COLUMN bfs_service_summary_device.maintenance_device_product_code IS '保守端末商品コード';</v>
      </c>
      <c r="R411" s="34" t="s">
        <v>1338</v>
      </c>
    </row>
    <row r="412" spans="1:18" ht="19.5" thickBot="1">
      <c r="A412" s="6"/>
      <c r="B412" s="6">
        <v>406</v>
      </c>
      <c r="C412" s="6" t="s">
        <v>1339</v>
      </c>
      <c r="D412" s="6" t="s">
        <v>66</v>
      </c>
      <c r="E412" s="6">
        <v>900</v>
      </c>
      <c r="F412" s="7" t="s">
        <v>67</v>
      </c>
      <c r="G412" s="6"/>
      <c r="H412" s="8"/>
      <c r="I412" s="6"/>
      <c r="J412" s="6"/>
      <c r="K412" s="25" t="s">
        <v>1340</v>
      </c>
      <c r="L412" t="str">
        <f t="shared" si="12"/>
        <v>VARCHAR(900),</v>
      </c>
      <c r="N412" s="38" t="str">
        <f t="shared" si="13"/>
        <v>COMMENT ON COLUMN bfs_service_summary_device.maintenance_device_product_name IS '保守端末商品名称';</v>
      </c>
      <c r="R412" s="34" t="s">
        <v>1341</v>
      </c>
    </row>
    <row r="413" spans="1:18" ht="19.5" thickBot="1">
      <c r="A413" s="3"/>
      <c r="B413" s="3">
        <v>407</v>
      </c>
      <c r="C413" s="3" t="s">
        <v>1342</v>
      </c>
      <c r="D413" s="3" t="s">
        <v>89</v>
      </c>
      <c r="E413" s="3">
        <v>11</v>
      </c>
      <c r="F413" s="2" t="s">
        <v>67</v>
      </c>
      <c r="G413" s="3"/>
      <c r="H413" s="5"/>
      <c r="I413" s="3"/>
      <c r="J413" s="3"/>
      <c r="K413" s="25" t="s">
        <v>1343</v>
      </c>
      <c r="L413" t="str">
        <f t="shared" si="12"/>
        <v>DECIMAL(11),</v>
      </c>
      <c r="N413" s="38" t="str">
        <f t="shared" si="13"/>
        <v>COMMENT ON COLUMN bfs_service_summary_device.maintenance_device_standard_price IS '保守端末標準価格';</v>
      </c>
      <c r="R413" s="34" t="s">
        <v>1344</v>
      </c>
    </row>
    <row r="414" spans="1:18" ht="19.5" thickBot="1">
      <c r="A414" s="6"/>
      <c r="B414" s="6">
        <v>408</v>
      </c>
      <c r="C414" s="6" t="s">
        <v>1345</v>
      </c>
      <c r="D414" s="6" t="s">
        <v>89</v>
      </c>
      <c r="E414" s="6">
        <v>11</v>
      </c>
      <c r="F414" s="7" t="s">
        <v>67</v>
      </c>
      <c r="G414" s="6"/>
      <c r="H414" s="8"/>
      <c r="I414" s="6"/>
      <c r="J414" s="6"/>
      <c r="K414" s="25" t="s">
        <v>1346</v>
      </c>
      <c r="L414" t="str">
        <f t="shared" si="12"/>
        <v>DECIMAL(11),</v>
      </c>
      <c r="N414" s="38" t="str">
        <f t="shared" si="13"/>
        <v>COMMENT ON COLUMN bfs_service_summary_device.maintenance_device_discount IS '保守端末値引';</v>
      </c>
      <c r="R414" s="34" t="s">
        <v>1347</v>
      </c>
    </row>
    <row r="415" spans="1:18" ht="19.5" thickBot="1">
      <c r="A415" s="3"/>
      <c r="B415" s="3">
        <v>409</v>
      </c>
      <c r="C415" s="3" t="s">
        <v>1348</v>
      </c>
      <c r="D415" s="3" t="s">
        <v>89</v>
      </c>
      <c r="E415" s="3">
        <v>11</v>
      </c>
      <c r="F415" s="2" t="s">
        <v>67</v>
      </c>
      <c r="G415" s="3"/>
      <c r="H415" s="5"/>
      <c r="I415" s="3"/>
      <c r="J415" s="3"/>
      <c r="K415" s="25" t="s">
        <v>1349</v>
      </c>
      <c r="L415" t="str">
        <f t="shared" si="12"/>
        <v>DECIMAL(11),</v>
      </c>
      <c r="N415" s="38" t="str">
        <f t="shared" si="13"/>
        <v>COMMENT ON COLUMN bfs_service_summary_device.maintenance_quantity_of_terminals IS '保守端末数量';</v>
      </c>
      <c r="R415" s="34" t="s">
        <v>1350</v>
      </c>
    </row>
    <row r="416" spans="1:18" ht="19.5" thickBot="1">
      <c r="A416" s="6"/>
      <c r="B416" s="6">
        <v>410</v>
      </c>
      <c r="C416" s="6" t="s">
        <v>1351</v>
      </c>
      <c r="D416" s="6" t="s">
        <v>66</v>
      </c>
      <c r="E416" s="6">
        <v>900</v>
      </c>
      <c r="F416" s="7" t="s">
        <v>67</v>
      </c>
      <c r="G416" s="6"/>
      <c r="H416" s="8"/>
      <c r="I416" s="6"/>
      <c r="J416" s="6"/>
      <c r="K416" s="25" t="s">
        <v>1352</v>
      </c>
      <c r="L416" t="str">
        <f t="shared" si="12"/>
        <v>VARCHAR(900),</v>
      </c>
      <c r="N416" s="38" t="str">
        <f t="shared" si="13"/>
        <v>COMMENT ON COLUMN bfs_service_summary_device.wo_applicable_name IS 'wo適用名称';</v>
      </c>
      <c r="R416" s="34" t="s">
        <v>1353</v>
      </c>
    </row>
    <row r="417" spans="1:18" ht="19.5" thickBot="1">
      <c r="A417" s="3"/>
      <c r="B417" s="3">
        <v>411</v>
      </c>
      <c r="C417" s="3" t="s">
        <v>1354</v>
      </c>
      <c r="D417" s="3" t="s">
        <v>66</v>
      </c>
      <c r="E417" s="3">
        <v>900</v>
      </c>
      <c r="F417" s="2" t="s">
        <v>67</v>
      </c>
      <c r="G417" s="3"/>
      <c r="H417" s="5"/>
      <c r="I417" s="3"/>
      <c r="J417" s="3"/>
      <c r="K417" s="25" t="s">
        <v>1355</v>
      </c>
      <c r="L417" t="str">
        <f t="shared" si="12"/>
        <v>VARCHAR(900),</v>
      </c>
      <c r="N417" s="38" t="str">
        <f t="shared" si="13"/>
        <v>COMMENT ON COLUMN bfs_service_summary_device.suspension_name IS '足回り名称';</v>
      </c>
      <c r="R417" s="34" t="s">
        <v>1356</v>
      </c>
    </row>
    <row r="418" spans="1:18" ht="19.5" thickBot="1">
      <c r="A418" s="6"/>
      <c r="B418" s="6">
        <v>412</v>
      </c>
      <c r="C418" s="6" t="s">
        <v>1357</v>
      </c>
      <c r="D418" s="6" t="s">
        <v>66</v>
      </c>
      <c r="E418" s="6">
        <v>900</v>
      </c>
      <c r="F418" s="7" t="s">
        <v>67</v>
      </c>
      <c r="G418" s="6"/>
      <c r="H418" s="8"/>
      <c r="I418" s="6"/>
      <c r="J418" s="6"/>
      <c r="K418" s="25" t="s">
        <v>1358</v>
      </c>
      <c r="L418" t="str">
        <f t="shared" si="12"/>
        <v>VARCHAR(900),</v>
      </c>
      <c r="N418" s="38" t="str">
        <f t="shared" si="13"/>
        <v>COMMENT ON COLUMN bfs_service_summary_device.ntt_east_west_ma_domestic_foreign_name_1 IS 'ntt東西ma内外名称1';</v>
      </c>
      <c r="R418" s="34" t="s">
        <v>1359</v>
      </c>
    </row>
    <row r="419" spans="1:18" ht="19.5" thickBot="1">
      <c r="A419" s="3"/>
      <c r="B419" s="3">
        <v>413</v>
      </c>
      <c r="C419" s="3" t="s">
        <v>1360</v>
      </c>
      <c r="D419" s="3" t="s">
        <v>66</v>
      </c>
      <c r="E419" s="3">
        <v>39</v>
      </c>
      <c r="F419" s="2" t="s">
        <v>67</v>
      </c>
      <c r="G419" s="3"/>
      <c r="H419" s="5"/>
      <c r="I419" s="3"/>
      <c r="J419" s="3"/>
      <c r="K419" s="25" t="s">
        <v>1361</v>
      </c>
      <c r="L419" t="str">
        <f t="shared" si="12"/>
        <v>VARCHAR(39),</v>
      </c>
      <c r="N419" s="38" t="str">
        <f t="shared" si="13"/>
        <v>COMMENT ON COLUMN bfs_service_summary_device.access_line_distance_1 IS 'アクセス回線距離1';</v>
      </c>
      <c r="R419" s="34" t="s">
        <v>1362</v>
      </c>
    </row>
    <row r="420" spans="1:18" ht="19.5" thickBot="1">
      <c r="A420" s="6"/>
      <c r="B420" s="6">
        <v>414</v>
      </c>
      <c r="C420" s="6" t="s">
        <v>1363</v>
      </c>
      <c r="D420" s="6" t="s">
        <v>89</v>
      </c>
      <c r="E420" s="6">
        <v>11</v>
      </c>
      <c r="F420" s="7" t="s">
        <v>67</v>
      </c>
      <c r="G420" s="6"/>
      <c r="H420" s="8"/>
      <c r="I420" s="6"/>
      <c r="J420" s="6"/>
      <c r="K420" s="25" t="s">
        <v>1364</v>
      </c>
      <c r="L420" t="str">
        <f t="shared" si="12"/>
        <v>DECIMAL(11),</v>
      </c>
      <c r="N420" s="38" t="str">
        <f t="shared" si="13"/>
        <v>COMMENT ON COLUMN bfs_service_summary_device.number_of_lines_1 IS '回線数1';</v>
      </c>
      <c r="R420" s="34" t="s">
        <v>1365</v>
      </c>
    </row>
    <row r="421" spans="1:18" ht="19.5" thickBot="1">
      <c r="A421" s="3"/>
      <c r="B421" s="3">
        <v>415</v>
      </c>
      <c r="C421" s="3" t="s">
        <v>1366</v>
      </c>
      <c r="D421" s="3" t="s">
        <v>89</v>
      </c>
      <c r="E421" s="3">
        <v>11</v>
      </c>
      <c r="F421" s="2" t="s">
        <v>67</v>
      </c>
      <c r="G421" s="3"/>
      <c r="H421" s="5"/>
      <c r="I421" s="3"/>
      <c r="J421" s="3"/>
      <c r="K421" s="25" t="s">
        <v>1367</v>
      </c>
      <c r="L421" t="str">
        <f t="shared" si="12"/>
        <v>DECIMAL(11),</v>
      </c>
      <c r="N421" s="38" t="str">
        <f t="shared" si="13"/>
        <v>COMMENT ON COLUMN bfs_service_summary_device.list_price_1 IS '定価1';</v>
      </c>
      <c r="R421" s="34" t="s">
        <v>1368</v>
      </c>
    </row>
    <row r="422" spans="1:18" ht="19.5" thickBot="1">
      <c r="A422" s="6"/>
      <c r="B422" s="6">
        <v>416</v>
      </c>
      <c r="C422" s="6" t="s">
        <v>1369</v>
      </c>
      <c r="D422" s="6" t="s">
        <v>66</v>
      </c>
      <c r="E422" s="6">
        <v>900</v>
      </c>
      <c r="F422" s="7" t="s">
        <v>67</v>
      </c>
      <c r="G422" s="6"/>
      <c r="H422" s="8"/>
      <c r="I422" s="6"/>
      <c r="J422" s="6"/>
      <c r="K422" s="25" t="s">
        <v>1370</v>
      </c>
      <c r="L422" t="str">
        <f t="shared" si="12"/>
        <v>VARCHAR(900),</v>
      </c>
      <c r="N422" s="38" t="str">
        <f t="shared" si="13"/>
        <v>COMMENT ON COLUMN bfs_service_summary_device.ntt_east_west_ma_domestic_foreign_name_2 IS 'ntt東西ma内外名称2';</v>
      </c>
      <c r="R422" s="34" t="s">
        <v>1371</v>
      </c>
    </row>
    <row r="423" spans="1:18" ht="19.5" thickBot="1">
      <c r="A423" s="3"/>
      <c r="B423" s="3">
        <v>417</v>
      </c>
      <c r="C423" s="3" t="s">
        <v>1372</v>
      </c>
      <c r="D423" s="3" t="s">
        <v>66</v>
      </c>
      <c r="E423" s="3">
        <v>39</v>
      </c>
      <c r="F423" s="2" t="s">
        <v>67</v>
      </c>
      <c r="G423" s="3"/>
      <c r="H423" s="5"/>
      <c r="I423" s="3"/>
      <c r="J423" s="3"/>
      <c r="K423" s="25" t="s">
        <v>1373</v>
      </c>
      <c r="L423" t="str">
        <f t="shared" si="12"/>
        <v>VARCHAR(39),</v>
      </c>
      <c r="N423" s="38" t="str">
        <f t="shared" si="13"/>
        <v>COMMENT ON COLUMN bfs_service_summary_device.access_line_distance_2 IS 'アクセス回線距離2';</v>
      </c>
      <c r="R423" s="34" t="s">
        <v>1374</v>
      </c>
    </row>
    <row r="424" spans="1:18" ht="19.5" thickBot="1">
      <c r="A424" s="6"/>
      <c r="B424" s="6">
        <v>418</v>
      </c>
      <c r="C424" s="6" t="s">
        <v>1375</v>
      </c>
      <c r="D424" s="6" t="s">
        <v>89</v>
      </c>
      <c r="E424" s="6">
        <v>11</v>
      </c>
      <c r="F424" s="7" t="s">
        <v>67</v>
      </c>
      <c r="G424" s="6"/>
      <c r="H424" s="8"/>
      <c r="I424" s="6"/>
      <c r="J424" s="6"/>
      <c r="K424" s="25" t="s">
        <v>1376</v>
      </c>
      <c r="L424" t="str">
        <f t="shared" si="12"/>
        <v>DECIMAL(11),</v>
      </c>
      <c r="N424" s="38" t="str">
        <f t="shared" si="13"/>
        <v>COMMENT ON COLUMN bfs_service_summary_device.number_of_lines_2 IS '回線数2';</v>
      </c>
      <c r="R424" s="34" t="s">
        <v>1377</v>
      </c>
    </row>
    <row r="425" spans="1:18" ht="19.5" thickBot="1">
      <c r="A425" s="3"/>
      <c r="B425" s="3">
        <v>419</v>
      </c>
      <c r="C425" s="3" t="s">
        <v>1378</v>
      </c>
      <c r="D425" s="3" t="s">
        <v>89</v>
      </c>
      <c r="E425" s="3">
        <v>11</v>
      </c>
      <c r="F425" s="2" t="s">
        <v>67</v>
      </c>
      <c r="G425" s="3"/>
      <c r="H425" s="5"/>
      <c r="I425" s="3"/>
      <c r="J425" s="3"/>
      <c r="K425" s="25" t="s">
        <v>1379</v>
      </c>
      <c r="L425" t="str">
        <f t="shared" si="12"/>
        <v>DECIMAL(11),</v>
      </c>
      <c r="N425" s="38" t="str">
        <f t="shared" si="13"/>
        <v>COMMENT ON COLUMN bfs_service_summary_device.list_price_2 IS '定価2';</v>
      </c>
      <c r="R425" s="34" t="s">
        <v>1380</v>
      </c>
    </row>
    <row r="426" spans="1:18" ht="19.5" thickBot="1">
      <c r="A426" s="6"/>
      <c r="B426" s="6">
        <v>420</v>
      </c>
      <c r="C426" s="6" t="s">
        <v>1381</v>
      </c>
      <c r="D426" s="6" t="s">
        <v>89</v>
      </c>
      <c r="E426" s="6">
        <v>11</v>
      </c>
      <c r="F426" s="7" t="s">
        <v>67</v>
      </c>
      <c r="G426" s="6"/>
      <c r="H426" s="8"/>
      <c r="I426" s="6"/>
      <c r="J426" s="6"/>
      <c r="K426" s="25" t="s">
        <v>1382</v>
      </c>
      <c r="L426" t="str">
        <f t="shared" si="12"/>
        <v>DECIMAL(11),</v>
      </c>
      <c r="N426" s="38" t="str">
        <f t="shared" si="13"/>
        <v>COMMENT ON COLUMN bfs_service_summary_device.da1500_offer_price_discount IS 'da1500提供額値引';</v>
      </c>
      <c r="R426" s="34" t="s">
        <v>1383</v>
      </c>
    </row>
    <row r="427" spans="1:18" ht="19.5" thickBot="1">
      <c r="A427" s="3"/>
      <c r="B427" s="3">
        <v>421</v>
      </c>
      <c r="C427" s="3" t="s">
        <v>1384</v>
      </c>
      <c r="D427" s="3" t="s">
        <v>89</v>
      </c>
      <c r="E427" s="3">
        <v>11</v>
      </c>
      <c r="F427" s="2" t="s">
        <v>67</v>
      </c>
      <c r="G427" s="3"/>
      <c r="H427" s="5"/>
      <c r="I427" s="3"/>
      <c r="J427" s="3"/>
      <c r="K427" s="25" t="s">
        <v>1385</v>
      </c>
      <c r="L427" t="str">
        <f t="shared" si="12"/>
        <v>DECIMAL(11),</v>
      </c>
      <c r="N427" s="38" t="str">
        <f t="shared" si="13"/>
        <v>COMMENT ON COLUMN bfs_service_summary_device.extension_number_discount IS '内線番号値引';</v>
      </c>
      <c r="R427" s="34" t="s">
        <v>1386</v>
      </c>
    </row>
    <row r="428" spans="1:18" ht="19.5" thickBot="1">
      <c r="A428" s="6"/>
      <c r="B428" s="6">
        <v>422</v>
      </c>
      <c r="C428" s="6" t="s">
        <v>1387</v>
      </c>
      <c r="D428" s="6" t="s">
        <v>89</v>
      </c>
      <c r="E428" s="6">
        <v>11</v>
      </c>
      <c r="F428" s="7" t="s">
        <v>67</v>
      </c>
      <c r="G428" s="6"/>
      <c r="H428" s="8"/>
      <c r="I428" s="6"/>
      <c r="J428" s="6"/>
      <c r="K428" s="25" t="s">
        <v>1388</v>
      </c>
      <c r="L428" t="str">
        <f t="shared" si="12"/>
        <v>DECIMAL(11),</v>
      </c>
      <c r="N428" s="38" t="str">
        <f t="shared" si="13"/>
        <v>COMMENT ON COLUMN bfs_service_summary_device.number_of_extension_number_lines IS '内線番号回線数';</v>
      </c>
      <c r="R428" s="34" t="s">
        <v>1389</v>
      </c>
    </row>
    <row r="429" spans="1:18" ht="19.5" thickBot="1">
      <c r="A429" s="3"/>
      <c r="B429" s="3">
        <v>423</v>
      </c>
      <c r="C429" s="3" t="s">
        <v>1390</v>
      </c>
      <c r="D429" s="3" t="s">
        <v>89</v>
      </c>
      <c r="E429" s="3">
        <v>11</v>
      </c>
      <c r="F429" s="2" t="s">
        <v>67</v>
      </c>
      <c r="G429" s="3"/>
      <c r="H429" s="5"/>
      <c r="I429" s="3"/>
      <c r="J429" s="3"/>
      <c r="K429" s="25" t="s">
        <v>1391</v>
      </c>
      <c r="L429" t="str">
        <f t="shared" si="12"/>
        <v>DECIMAL(11),</v>
      </c>
      <c r="N429" s="38" t="str">
        <f t="shared" si="13"/>
        <v>COMMENT ON COLUMN bfs_service_summary_device.location_number_discount IS '拠点番号値引';</v>
      </c>
      <c r="R429" s="34" t="s">
        <v>1392</v>
      </c>
    </row>
    <row r="430" spans="1:18" ht="19.5" thickBot="1">
      <c r="A430" s="6"/>
      <c r="B430" s="6">
        <v>424</v>
      </c>
      <c r="C430" s="6" t="s">
        <v>1393</v>
      </c>
      <c r="D430" s="6" t="s">
        <v>89</v>
      </c>
      <c r="E430" s="6">
        <v>11</v>
      </c>
      <c r="F430" s="7" t="s">
        <v>67</v>
      </c>
      <c r="G430" s="6"/>
      <c r="H430" s="8"/>
      <c r="I430" s="6"/>
      <c r="J430" s="6"/>
      <c r="K430" s="25" t="s">
        <v>1394</v>
      </c>
      <c r="L430" t="str">
        <f t="shared" si="12"/>
        <v>DECIMAL(11),</v>
      </c>
      <c r="N430" s="38" t="str">
        <f t="shared" si="13"/>
        <v>COMMENT ON COLUMN bfs_service_summary_device.number_of_location_number_lines IS '拠点番号回線数';</v>
      </c>
      <c r="R430" s="34" t="s">
        <v>1395</v>
      </c>
    </row>
    <row r="431" spans="1:18" ht="19.5" thickBot="1">
      <c r="A431" s="3"/>
      <c r="B431" s="3">
        <v>425</v>
      </c>
      <c r="C431" s="3" t="s">
        <v>1396</v>
      </c>
      <c r="D431" s="3" t="s">
        <v>89</v>
      </c>
      <c r="E431" s="3">
        <v>11</v>
      </c>
      <c r="F431" s="2" t="s">
        <v>67</v>
      </c>
      <c r="G431" s="3"/>
      <c r="H431" s="5"/>
      <c r="I431" s="3"/>
      <c r="J431" s="3"/>
      <c r="K431" s="25" t="s">
        <v>1397</v>
      </c>
      <c r="L431" t="str">
        <f t="shared" si="12"/>
        <v>DECIMAL(11),</v>
      </c>
      <c r="N431" s="38" t="str">
        <f t="shared" si="13"/>
        <v>COMMENT ON COLUMN bfs_service_summary_device.ipbgw_registration_installation_fee_discount IS 'ipbgw登録工事費値引';</v>
      </c>
      <c r="R431" s="34" t="s">
        <v>1398</v>
      </c>
    </row>
    <row r="432" spans="1:18" ht="19.5" thickBot="1">
      <c r="A432" s="6"/>
      <c r="B432" s="6">
        <v>426</v>
      </c>
      <c r="C432" s="6" t="s">
        <v>1399</v>
      </c>
      <c r="D432" s="6" t="s">
        <v>89</v>
      </c>
      <c r="E432" s="6">
        <v>11</v>
      </c>
      <c r="F432" s="7" t="s">
        <v>67</v>
      </c>
      <c r="G432" s="6"/>
      <c r="H432" s="8"/>
      <c r="I432" s="6"/>
      <c r="J432" s="6"/>
      <c r="K432" s="25" t="s">
        <v>1400</v>
      </c>
      <c r="L432" t="str">
        <f t="shared" si="12"/>
        <v>DECIMAL(11),</v>
      </c>
      <c r="N432" s="38" t="str">
        <f t="shared" si="13"/>
        <v>COMMENT ON COLUMN bfs_service_summary_device.number_of_ipbgw_registration_installation_gws IS 'ipbgw登録工事gw台数';</v>
      </c>
      <c r="R432" s="34" t="s">
        <v>1401</v>
      </c>
    </row>
    <row r="433" spans="1:18" ht="19.5" thickBot="1">
      <c r="A433" s="3"/>
      <c r="B433" s="3">
        <v>427</v>
      </c>
      <c r="C433" s="3" t="s">
        <v>1402</v>
      </c>
      <c r="D433" s="3" t="s">
        <v>89</v>
      </c>
      <c r="E433" s="3">
        <v>11</v>
      </c>
      <c r="F433" s="2" t="s">
        <v>67</v>
      </c>
      <c r="G433" s="3"/>
      <c r="H433" s="5"/>
      <c r="I433" s="3"/>
      <c r="J433" s="3"/>
      <c r="K433" s="25" t="s">
        <v>1403</v>
      </c>
      <c r="L433" t="str">
        <f t="shared" si="12"/>
        <v>DECIMAL(11),</v>
      </c>
      <c r="N433" s="38" t="str">
        <f t="shared" si="13"/>
        <v>COMMENT ON COLUMN bfs_service_summary_device.ip_connection_channel_connection_fee_discount IS 'ip接続ch接続料値引';</v>
      </c>
      <c r="R433" s="34" t="s">
        <v>1404</v>
      </c>
    </row>
    <row r="434" spans="1:18" ht="19.5" thickBot="1">
      <c r="A434" s="6"/>
      <c r="B434" s="6">
        <v>428</v>
      </c>
      <c r="C434" s="6" t="s">
        <v>1405</v>
      </c>
      <c r="D434" s="6" t="s">
        <v>89</v>
      </c>
      <c r="E434" s="6">
        <v>11</v>
      </c>
      <c r="F434" s="7" t="s">
        <v>67</v>
      </c>
      <c r="G434" s="6"/>
      <c r="H434" s="8"/>
      <c r="I434" s="6"/>
      <c r="J434" s="6"/>
      <c r="K434" s="25" t="s">
        <v>1406</v>
      </c>
      <c r="L434" t="str">
        <f t="shared" si="12"/>
        <v>DECIMAL(11),</v>
      </c>
      <c r="N434" s="38" t="str">
        <f t="shared" si="13"/>
        <v>COMMENT ON COLUMN bfs_service_summary_device.number_of_ip_connection_channel_connection_fee_channels IS 'ip接続ch接続料ch数';</v>
      </c>
      <c r="R434" s="34" t="s">
        <v>1407</v>
      </c>
    </row>
    <row r="435" spans="1:18" ht="19.5" thickBot="1">
      <c r="A435" s="3"/>
      <c r="B435" s="3">
        <v>429</v>
      </c>
      <c r="C435" s="3" t="s">
        <v>1408</v>
      </c>
      <c r="D435" s="3" t="s">
        <v>66</v>
      </c>
      <c r="E435" s="3">
        <v>27</v>
      </c>
      <c r="F435" s="2" t="s">
        <v>67</v>
      </c>
      <c r="G435" s="3"/>
      <c r="H435" s="5"/>
      <c r="I435" s="3"/>
      <c r="J435" s="3"/>
      <c r="K435" s="25" t="s">
        <v>1409</v>
      </c>
      <c r="L435" t="str">
        <f t="shared" si="12"/>
        <v>VARCHAR(27),</v>
      </c>
      <c r="N435" s="38" t="str">
        <f t="shared" si="13"/>
        <v>COMMENT ON COLUMN bfs_service_summary_device.monthly_fixed_cost IS '月額固定コスト';</v>
      </c>
      <c r="R435" s="34" t="s">
        <v>1410</v>
      </c>
    </row>
    <row r="436" spans="1:18" ht="19.5" thickBot="1">
      <c r="A436" s="6"/>
      <c r="B436" s="6">
        <v>430</v>
      </c>
      <c r="C436" s="6" t="s">
        <v>1411</v>
      </c>
      <c r="D436" s="6" t="s">
        <v>66</v>
      </c>
      <c r="E436" s="6">
        <v>27</v>
      </c>
      <c r="F436" s="7" t="s">
        <v>67</v>
      </c>
      <c r="G436" s="6"/>
      <c r="H436" s="8"/>
      <c r="I436" s="6"/>
      <c r="J436" s="6"/>
      <c r="K436" s="25" t="s">
        <v>1412</v>
      </c>
      <c r="L436" t="str">
        <f t="shared" si="12"/>
        <v>VARCHAR(27),</v>
      </c>
      <c r="N436" s="38" t="str">
        <f t="shared" si="13"/>
        <v>COMMENT ON COLUMN bfs_service_summary_device.monthly_variable_cost IS '月額変動コスト';</v>
      </c>
      <c r="R436" s="34" t="s">
        <v>1413</v>
      </c>
    </row>
    <row r="437" spans="1:18" ht="19.5" thickBot="1">
      <c r="A437" s="3"/>
      <c r="B437" s="3">
        <v>431</v>
      </c>
      <c r="C437" s="3" t="s">
        <v>1414</v>
      </c>
      <c r="D437" s="3" t="s">
        <v>66</v>
      </c>
      <c r="E437" s="3">
        <v>900</v>
      </c>
      <c r="F437" s="2" t="s">
        <v>67</v>
      </c>
      <c r="G437" s="3"/>
      <c r="H437" s="5"/>
      <c r="I437" s="3"/>
      <c r="J437" s="3"/>
      <c r="K437" s="25" t="s">
        <v>1415</v>
      </c>
      <c r="L437" t="str">
        <f t="shared" si="12"/>
        <v>VARCHAR(900),</v>
      </c>
      <c r="N437" s="38" t="str">
        <f t="shared" si="13"/>
        <v>COMMENT ON COLUMN bfs_service_summary_device.bulk_invoice_discount IS '請求書一括割引';</v>
      </c>
      <c r="R437" s="34" t="s">
        <v>1416</v>
      </c>
    </row>
    <row r="438" spans="1:18" ht="19.5" thickBot="1">
      <c r="A438" s="6"/>
      <c r="B438" s="6">
        <v>432</v>
      </c>
      <c r="C438" s="6" t="s">
        <v>1417</v>
      </c>
      <c r="D438" s="6" t="s">
        <v>66</v>
      </c>
      <c r="E438" s="6">
        <v>24</v>
      </c>
      <c r="F438" s="7" t="s">
        <v>67</v>
      </c>
      <c r="G438" s="6"/>
      <c r="H438" s="8"/>
      <c r="I438" s="6"/>
      <c r="J438" s="6"/>
      <c r="K438" s="25" t="s">
        <v>1418</v>
      </c>
      <c r="L438" t="str">
        <f t="shared" si="12"/>
        <v>VARCHAR(24),</v>
      </c>
      <c r="N438" s="38" t="str">
        <f t="shared" si="13"/>
        <v>COMMENT ON COLUMN bfs_service_summary_device.call_pay_as_you_go_rate IS '通話従量率';</v>
      </c>
      <c r="R438" s="34" t="s">
        <v>1419</v>
      </c>
    </row>
    <row r="439" spans="1:18" ht="19.5" thickBot="1">
      <c r="A439" s="3"/>
      <c r="B439" s="3">
        <v>433</v>
      </c>
      <c r="C439" s="3" t="s">
        <v>1420</v>
      </c>
      <c r="D439" s="3" t="s">
        <v>66</v>
      </c>
      <c r="E439" s="3">
        <v>45</v>
      </c>
      <c r="F439" s="2" t="s">
        <v>67</v>
      </c>
      <c r="G439" s="3"/>
      <c r="H439" s="5"/>
      <c r="I439" s="3"/>
      <c r="J439" s="3"/>
      <c r="K439" s="25" t="s">
        <v>1421</v>
      </c>
      <c r="L439" t="str">
        <f t="shared" si="12"/>
        <v>VARCHAR(45),</v>
      </c>
      <c r="N439" s="38" t="str">
        <f t="shared" si="13"/>
        <v>COMMENT ON COLUMN bfs_service_summary_device.international_call_pay_as_you_go_rate IS '国際通話従量率';</v>
      </c>
      <c r="R439" s="34" t="s">
        <v>1422</v>
      </c>
    </row>
    <row r="440" spans="1:18" ht="19.5" thickBot="1">
      <c r="A440" s="6"/>
      <c r="B440" s="6">
        <v>434</v>
      </c>
      <c r="C440" s="6" t="s">
        <v>1423</v>
      </c>
      <c r="D440" s="6" t="s">
        <v>66</v>
      </c>
      <c r="E440" s="6">
        <v>45</v>
      </c>
      <c r="F440" s="7" t="s">
        <v>67</v>
      </c>
      <c r="G440" s="6"/>
      <c r="H440" s="8"/>
      <c r="I440" s="6"/>
      <c r="J440" s="6"/>
      <c r="K440" s="25" t="s">
        <v>1424</v>
      </c>
      <c r="L440" t="str">
        <f t="shared" si="12"/>
        <v>VARCHAR(45),</v>
      </c>
      <c r="N440" s="38" t="str">
        <f t="shared" si="13"/>
        <v>COMMENT ON COLUMN bfs_service_summary_device.international_access_charge IS '国際アクセスチャージ';</v>
      </c>
      <c r="R440" s="34" t="s">
        <v>1425</v>
      </c>
    </row>
    <row r="441" spans="1:18" ht="19.5" thickBot="1">
      <c r="A441" s="3"/>
      <c r="B441" s="3">
        <v>435</v>
      </c>
      <c r="C441" s="3" t="s">
        <v>1426</v>
      </c>
      <c r="D441" s="3" t="s">
        <v>66</v>
      </c>
      <c r="E441" s="3">
        <v>45</v>
      </c>
      <c r="F441" s="2" t="s">
        <v>67</v>
      </c>
      <c r="G441" s="3"/>
      <c r="H441" s="5"/>
      <c r="I441" s="3"/>
      <c r="J441" s="3"/>
      <c r="K441" s="25" t="s">
        <v>1427</v>
      </c>
      <c r="L441" t="str">
        <f t="shared" si="12"/>
        <v>VARCHAR(45),</v>
      </c>
      <c r="N441" s="38" t="str">
        <f t="shared" si="13"/>
        <v>COMMENT ON COLUMN bfs_service_summary_device.previous_consolidated_operating_contribution_margin IS '旧連結営業貢献利益';</v>
      </c>
      <c r="R441" s="34" t="s">
        <v>1428</v>
      </c>
    </row>
    <row r="442" spans="1:18" ht="19.5" thickBot="1">
      <c r="A442" s="6"/>
      <c r="B442" s="6">
        <v>436</v>
      </c>
      <c r="C442" s="6" t="s">
        <v>1429</v>
      </c>
      <c r="D442" s="6" t="s">
        <v>66</v>
      </c>
      <c r="E442" s="6">
        <v>45</v>
      </c>
      <c r="F442" s="7" t="s">
        <v>67</v>
      </c>
      <c r="G442" s="6"/>
      <c r="H442" s="8"/>
      <c r="I442" s="6"/>
      <c r="J442" s="6"/>
      <c r="K442" s="25" t="s">
        <v>1430</v>
      </c>
      <c r="L442" t="str">
        <f t="shared" si="12"/>
        <v>VARCHAR(45),</v>
      </c>
      <c r="N442" s="38" t="str">
        <f t="shared" si="13"/>
        <v>COMMENT ON COLUMN bfs_service_summary_device.new_sbm_npv IS '新sbmnpv';</v>
      </c>
      <c r="R442" s="34" t="s">
        <v>1431</v>
      </c>
    </row>
    <row r="443" spans="1:18" ht="19.5" thickBot="1">
      <c r="A443" s="3"/>
      <c r="B443" s="3">
        <v>437</v>
      </c>
      <c r="C443" s="3" t="s">
        <v>1432</v>
      </c>
      <c r="D443" s="3" t="s">
        <v>66</v>
      </c>
      <c r="E443" s="3">
        <v>45</v>
      </c>
      <c r="F443" s="2" t="s">
        <v>67</v>
      </c>
      <c r="G443" s="3"/>
      <c r="H443" s="5"/>
      <c r="I443" s="3"/>
      <c r="J443" s="3"/>
      <c r="K443" s="25" t="s">
        <v>1433</v>
      </c>
      <c r="L443" t="str">
        <f t="shared" si="12"/>
        <v>VARCHAR(45),</v>
      </c>
      <c r="N443" s="38" t="str">
        <f t="shared" si="13"/>
        <v>COMMENT ON COLUMN bfs_service_summary_device.private_consultation_1 IS '相対相談1';</v>
      </c>
      <c r="R443" s="34" t="s">
        <v>1434</v>
      </c>
    </row>
    <row r="444" spans="1:18" ht="19.5" thickBot="1">
      <c r="A444" s="6"/>
      <c r="B444" s="6">
        <v>438</v>
      </c>
      <c r="C444" s="6" t="s">
        <v>1435</v>
      </c>
      <c r="D444" s="6" t="s">
        <v>66</v>
      </c>
      <c r="E444" s="6">
        <v>45</v>
      </c>
      <c r="F444" s="7" t="s">
        <v>67</v>
      </c>
      <c r="G444" s="6"/>
      <c r="H444" s="8"/>
      <c r="I444" s="6"/>
      <c r="J444" s="6"/>
      <c r="K444" s="25" t="s">
        <v>1436</v>
      </c>
      <c r="L444" t="str">
        <f t="shared" si="12"/>
        <v>VARCHAR(45),</v>
      </c>
      <c r="N444" s="38" t="str">
        <f t="shared" si="13"/>
        <v>COMMENT ON COLUMN bfs_service_summary_device.private_consultation_2 IS '相対相談2';</v>
      </c>
      <c r="R444" s="34" t="s">
        <v>1437</v>
      </c>
    </row>
    <row r="445" spans="1:18" ht="19.5" thickBot="1">
      <c r="A445" s="3"/>
      <c r="B445" s="3">
        <v>439</v>
      </c>
      <c r="C445" s="3" t="s">
        <v>1438</v>
      </c>
      <c r="D445" s="3" t="s">
        <v>66</v>
      </c>
      <c r="E445" s="3">
        <v>45</v>
      </c>
      <c r="F445" s="2" t="s">
        <v>67</v>
      </c>
      <c r="G445" s="3"/>
      <c r="H445" s="5"/>
      <c r="I445" s="3"/>
      <c r="J445" s="3"/>
      <c r="K445" s="25" t="s">
        <v>1439</v>
      </c>
      <c r="L445" t="str">
        <f t="shared" si="12"/>
        <v>VARCHAR(45),</v>
      </c>
      <c r="N445" s="38" t="str">
        <f t="shared" si="13"/>
        <v>COMMENT ON COLUMN bfs_service_summary_device.private_consultation_3 IS '相対相談3';</v>
      </c>
      <c r="R445" s="34" t="s">
        <v>1440</v>
      </c>
    </row>
    <row r="446" spans="1:18" ht="19.5" thickBot="1">
      <c r="A446" s="6"/>
      <c r="B446" s="6">
        <v>440</v>
      </c>
      <c r="C446" s="6" t="s">
        <v>1441</v>
      </c>
      <c r="D446" s="6" t="s">
        <v>66</v>
      </c>
      <c r="E446" s="6">
        <v>45</v>
      </c>
      <c r="F446" s="7" t="s">
        <v>67</v>
      </c>
      <c r="G446" s="6"/>
      <c r="H446" s="8"/>
      <c r="I446" s="6"/>
      <c r="J446" s="6"/>
      <c r="K446" s="25" t="s">
        <v>1442</v>
      </c>
      <c r="L446" t="str">
        <f t="shared" si="12"/>
        <v>VARCHAR(45),</v>
      </c>
      <c r="N446" s="38" t="str">
        <f t="shared" si="13"/>
        <v>COMMENT ON COLUMN bfs_service_summary_device.private_consultation_4 IS '相対相談4';</v>
      </c>
      <c r="R446" s="34" t="s">
        <v>1443</v>
      </c>
    </row>
    <row r="447" spans="1:18" ht="19.5" thickBot="1">
      <c r="A447" s="3"/>
      <c r="B447" s="3">
        <v>441</v>
      </c>
      <c r="C447" s="3" t="s">
        <v>1444</v>
      </c>
      <c r="D447" s="3" t="s">
        <v>66</v>
      </c>
      <c r="E447" s="3">
        <v>45</v>
      </c>
      <c r="F447" s="2" t="s">
        <v>67</v>
      </c>
      <c r="G447" s="3"/>
      <c r="H447" s="5"/>
      <c r="I447" s="3"/>
      <c r="J447" s="3"/>
      <c r="K447" s="25" t="s">
        <v>1445</v>
      </c>
      <c r="L447" t="str">
        <f t="shared" si="12"/>
        <v>VARCHAR(45),</v>
      </c>
      <c r="N447" s="38" t="str">
        <f t="shared" si="13"/>
        <v>COMMENT ON COLUMN bfs_service_summary_device.private_consultation_5 IS '相対相談5';</v>
      </c>
      <c r="R447" s="34" t="s">
        <v>1446</v>
      </c>
    </row>
    <row r="448" spans="1:18" ht="19.5" thickBot="1">
      <c r="A448" s="6"/>
      <c r="B448" s="6">
        <v>442</v>
      </c>
      <c r="C448" s="6" t="s">
        <v>1447</v>
      </c>
      <c r="D448" s="6" t="s">
        <v>66</v>
      </c>
      <c r="E448" s="6">
        <v>45</v>
      </c>
      <c r="F448" s="7" t="s">
        <v>67</v>
      </c>
      <c r="G448" s="6"/>
      <c r="H448" s="8"/>
      <c r="I448" s="6"/>
      <c r="J448" s="6"/>
      <c r="K448" s="25" t="s">
        <v>1448</v>
      </c>
      <c r="L448" t="str">
        <f t="shared" si="12"/>
        <v>VARCHAR(45),</v>
      </c>
      <c r="N448" s="38" t="str">
        <f t="shared" si="13"/>
        <v>COMMENT ON COLUMN bfs_service_summary_device.private_consultation_6 IS '相対相談6';</v>
      </c>
      <c r="R448" s="34" t="s">
        <v>1449</v>
      </c>
    </row>
    <row r="449" spans="1:18" ht="19.5" thickBot="1">
      <c r="A449" s="3"/>
      <c r="B449" s="3">
        <v>443</v>
      </c>
      <c r="C449" s="3" t="s">
        <v>1450</v>
      </c>
      <c r="D449" s="3" t="s">
        <v>66</v>
      </c>
      <c r="E449" s="3">
        <v>45</v>
      </c>
      <c r="F449" s="2" t="s">
        <v>67</v>
      </c>
      <c r="G449" s="3"/>
      <c r="H449" s="5"/>
      <c r="I449" s="3"/>
      <c r="J449" s="3"/>
      <c r="K449" s="25" t="s">
        <v>1451</v>
      </c>
      <c r="L449" t="str">
        <f t="shared" si="12"/>
        <v>VARCHAR(45),</v>
      </c>
      <c r="N449" s="38" t="str">
        <f t="shared" si="13"/>
        <v>COMMENT ON COLUMN bfs_service_summary_device.private_consultation_7 IS '相対相談7';</v>
      </c>
      <c r="R449" s="34" t="s">
        <v>1452</v>
      </c>
    </row>
    <row r="450" spans="1:18" ht="19.5" thickBot="1">
      <c r="A450" s="6"/>
      <c r="B450" s="6">
        <v>444</v>
      </c>
      <c r="C450" s="6" t="s">
        <v>1453</v>
      </c>
      <c r="D450" s="6" t="s">
        <v>66</v>
      </c>
      <c r="E450" s="6">
        <v>45</v>
      </c>
      <c r="F450" s="7" t="s">
        <v>67</v>
      </c>
      <c r="G450" s="6"/>
      <c r="H450" s="8"/>
      <c r="I450" s="6"/>
      <c r="J450" s="6"/>
      <c r="K450" s="25" t="s">
        <v>1454</v>
      </c>
      <c r="L450" t="str">
        <f t="shared" si="12"/>
        <v>VARCHAR(45),</v>
      </c>
      <c r="N450" s="38" t="str">
        <f t="shared" si="13"/>
        <v>COMMENT ON COLUMN bfs_service_summary_device.private_consultation_consultation_8 IS '相対相談8';</v>
      </c>
      <c r="R450" s="34" t="s">
        <v>1455</v>
      </c>
    </row>
    <row r="451" spans="1:18" ht="19.5" thickBot="1">
      <c r="A451" s="3"/>
      <c r="B451" s="3">
        <v>445</v>
      </c>
      <c r="C451" s="3" t="s">
        <v>1456</v>
      </c>
      <c r="D451" s="3" t="s">
        <v>66</v>
      </c>
      <c r="E451" s="3">
        <v>45</v>
      </c>
      <c r="F451" s="2" t="s">
        <v>67</v>
      </c>
      <c r="G451" s="3"/>
      <c r="H451" s="5"/>
      <c r="I451" s="3"/>
      <c r="J451" s="3"/>
      <c r="K451" s="25" t="s">
        <v>1457</v>
      </c>
      <c r="L451" t="str">
        <f t="shared" si="12"/>
        <v>VARCHAR(45),</v>
      </c>
      <c r="N451" s="38" t="str">
        <f t="shared" si="13"/>
        <v>COMMENT ON COLUMN bfs_service_summary_device.consultation_9 IS '相対相談9';</v>
      </c>
      <c r="R451" s="34" t="s">
        <v>1458</v>
      </c>
    </row>
    <row r="452" spans="1:18" ht="19.5" thickBot="1">
      <c r="A452" s="6"/>
      <c r="B452" s="6">
        <v>446</v>
      </c>
      <c r="C452" s="6" t="s">
        <v>1459</v>
      </c>
      <c r="D452" s="6" t="s">
        <v>66</v>
      </c>
      <c r="E452" s="6">
        <v>45</v>
      </c>
      <c r="F452" s="7" t="s">
        <v>67</v>
      </c>
      <c r="G452" s="6"/>
      <c r="H452" s="8"/>
      <c r="I452" s="6"/>
      <c r="J452" s="6"/>
      <c r="K452" s="25" t="s">
        <v>1460</v>
      </c>
      <c r="L452" t="str">
        <f t="shared" si="12"/>
        <v>VARCHAR(45),</v>
      </c>
      <c r="N452" s="38" t="str">
        <f t="shared" si="13"/>
        <v>COMMENT ON COLUMN bfs_service_summary_device.consultation_10 IS '相対相談10';</v>
      </c>
      <c r="R452" s="34" t="s">
        <v>1461</v>
      </c>
    </row>
    <row r="453" spans="1:18" ht="19.5" thickBot="1">
      <c r="A453" s="3"/>
      <c r="B453" s="3">
        <v>447</v>
      </c>
      <c r="C453" s="3" t="s">
        <v>1462</v>
      </c>
      <c r="D453" s="3" t="s">
        <v>66</v>
      </c>
      <c r="E453" s="3">
        <v>1800</v>
      </c>
      <c r="F453" s="2" t="s">
        <v>67</v>
      </c>
      <c r="G453" s="3"/>
      <c r="H453" s="5"/>
      <c r="I453" s="3"/>
      <c r="J453" s="3"/>
      <c r="K453" s="25" t="s">
        <v>1463</v>
      </c>
      <c r="L453" t="str">
        <f t="shared" si="12"/>
        <v>VARCHAR(1800),</v>
      </c>
      <c r="N453" s="38" t="str">
        <f t="shared" si="13"/>
        <v>COMMENT ON COLUMN bfs_service_summary_device.applicable_op_fee_item_1 IS '適用op料金品目1';</v>
      </c>
      <c r="R453" s="34" t="s">
        <v>1464</v>
      </c>
    </row>
    <row r="454" spans="1:18" ht="19.5" thickBot="1">
      <c r="A454" s="6"/>
      <c r="B454" s="6">
        <v>448</v>
      </c>
      <c r="C454" s="6" t="s">
        <v>1465</v>
      </c>
      <c r="D454" s="6" t="s">
        <v>89</v>
      </c>
      <c r="E454" s="6">
        <v>11</v>
      </c>
      <c r="F454" s="7" t="s">
        <v>67</v>
      </c>
      <c r="G454" s="6"/>
      <c r="H454" s="8"/>
      <c r="I454" s="6"/>
      <c r="J454" s="6"/>
      <c r="K454" s="25" t="s">
        <v>1466</v>
      </c>
      <c r="L454" t="str">
        <f t="shared" si="12"/>
        <v>DECIMAL(11),</v>
      </c>
      <c r="N454" s="38" t="str">
        <f t="shared" si="13"/>
        <v>COMMENT ON COLUMN bfs_service_summary_device.applicable_op_basic_fee_1 IS '適用op基本使用料1';</v>
      </c>
      <c r="R454" s="34" t="s">
        <v>1467</v>
      </c>
    </row>
    <row r="455" spans="1:18" ht="19.5" thickBot="1">
      <c r="A455" s="3"/>
      <c r="B455" s="3">
        <v>449</v>
      </c>
      <c r="C455" s="3" t="s">
        <v>1468</v>
      </c>
      <c r="D455" s="3" t="s">
        <v>89</v>
      </c>
      <c r="E455" s="3">
        <v>11</v>
      </c>
      <c r="F455" s="2" t="s">
        <v>67</v>
      </c>
      <c r="G455" s="3"/>
      <c r="H455" s="5"/>
      <c r="I455" s="3"/>
      <c r="J455" s="3"/>
      <c r="K455" s="25" t="s">
        <v>1469</v>
      </c>
      <c r="L455" t="str">
        <f t="shared" si="12"/>
        <v>DECIMAL(11),</v>
      </c>
      <c r="N455" s="38" t="str">
        <f t="shared" si="13"/>
        <v>COMMENT ON COLUMN bfs_service_summary_device.applicable_op_provision_amount_1 IS '適用op提供金額1';</v>
      </c>
      <c r="R455" s="34" t="s">
        <v>1470</v>
      </c>
    </row>
    <row r="456" spans="1:18" ht="19.5" thickBot="1">
      <c r="A456" s="6"/>
      <c r="B456" s="6">
        <v>450</v>
      </c>
      <c r="C456" s="6" t="s">
        <v>1471</v>
      </c>
      <c r="D456" s="6" t="s">
        <v>89</v>
      </c>
      <c r="E456" s="6">
        <v>11</v>
      </c>
      <c r="F456" s="7" t="s">
        <v>67</v>
      </c>
      <c r="G456" s="6"/>
      <c r="H456" s="8"/>
      <c r="I456" s="6"/>
      <c r="J456" s="6"/>
      <c r="K456" s="25" t="s">
        <v>1472</v>
      </c>
      <c r="L456" t="str">
        <f t="shared" ref="L456:L510" si="14">D456&amp;"("&amp;E456&amp;"),"</f>
        <v>DECIMAL(11),</v>
      </c>
      <c r="N456" s="38" t="str">
        <f t="shared" ref="N456:N510" si="15">"COMMENT ON COLUMN "&amp;$H$3&amp;"."&amp;$K456&amp;" IS '"&amp;C456&amp;"';"</f>
        <v>COMMENT ON COLUMN bfs_service_summary_device.applicable_op_variable_fee_1 IS '適用op変動費1';</v>
      </c>
      <c r="R456" s="34" t="s">
        <v>1473</v>
      </c>
    </row>
    <row r="457" spans="1:18" ht="19.5" thickBot="1">
      <c r="A457" s="3"/>
      <c r="B457" s="3">
        <v>451</v>
      </c>
      <c r="C457" s="3" t="s">
        <v>1474</v>
      </c>
      <c r="D457" s="3" t="s">
        <v>89</v>
      </c>
      <c r="E457" s="3">
        <v>11</v>
      </c>
      <c r="F457" s="2" t="s">
        <v>67</v>
      </c>
      <c r="G457" s="3"/>
      <c r="H457" s="5"/>
      <c r="I457" s="3"/>
      <c r="J457" s="3"/>
      <c r="K457" s="25" t="s">
        <v>1475</v>
      </c>
      <c r="L457" t="str">
        <f t="shared" si="14"/>
        <v>DECIMAL(11),</v>
      </c>
      <c r="N457" s="38" t="str">
        <f t="shared" si="15"/>
        <v>COMMENT ON COLUMN bfs_service_summary_device.applicable_op_fixed_fee_1 IS '適用op固定費1';</v>
      </c>
      <c r="R457" s="34" t="s">
        <v>1476</v>
      </c>
    </row>
    <row r="458" spans="1:18" ht="19.5" thickBot="1">
      <c r="A458" s="6"/>
      <c r="B458" s="6">
        <v>452</v>
      </c>
      <c r="C458" s="6" t="s">
        <v>1477</v>
      </c>
      <c r="D458" s="6" t="s">
        <v>66</v>
      </c>
      <c r="E458" s="6">
        <v>6</v>
      </c>
      <c r="F458" s="7" t="s">
        <v>67</v>
      </c>
      <c r="G458" s="6"/>
      <c r="H458" s="8"/>
      <c r="I458" s="6"/>
      <c r="J458" s="6"/>
      <c r="K458" s="25" t="s">
        <v>1478</v>
      </c>
      <c r="L458" t="str">
        <f t="shared" si="14"/>
        <v>VARCHAR(6),</v>
      </c>
      <c r="N458" s="38" t="str">
        <f t="shared" si="15"/>
        <v>COMMENT ON COLUMN bfs_service_summary_device.applicable_op_start_month_1 IS '適用op開始月1';</v>
      </c>
      <c r="R458" s="34" t="s">
        <v>1479</v>
      </c>
    </row>
    <row r="459" spans="1:18" ht="19.5" thickBot="1">
      <c r="A459" s="3"/>
      <c r="B459" s="3">
        <v>453</v>
      </c>
      <c r="C459" s="3" t="s">
        <v>1480</v>
      </c>
      <c r="D459" s="3" t="s">
        <v>89</v>
      </c>
      <c r="E459" s="3">
        <v>3</v>
      </c>
      <c r="F459" s="2" t="s">
        <v>67</v>
      </c>
      <c r="G459" s="3"/>
      <c r="H459" s="5"/>
      <c r="I459" s="3"/>
      <c r="J459" s="3"/>
      <c r="K459" s="25" t="s">
        <v>1481</v>
      </c>
      <c r="L459" t="str">
        <f t="shared" si="14"/>
        <v>DECIMAL(3),</v>
      </c>
      <c r="N459" s="38" t="str">
        <f t="shared" si="15"/>
        <v>COMMENT ON COLUMN bfs_service_summary_device.applicable_op_period_1 IS '適用op期間1';</v>
      </c>
      <c r="R459" s="34" t="s">
        <v>1482</v>
      </c>
    </row>
    <row r="460" spans="1:18" ht="19.5" thickBot="1">
      <c r="A460" s="6"/>
      <c r="B460" s="6">
        <v>454</v>
      </c>
      <c r="C460" s="6" t="s">
        <v>1483</v>
      </c>
      <c r="D460" s="6" t="s">
        <v>66</v>
      </c>
      <c r="E460" s="6">
        <v>900</v>
      </c>
      <c r="F460" s="7" t="s">
        <v>67</v>
      </c>
      <c r="G460" s="6"/>
      <c r="H460" s="8"/>
      <c r="I460" s="6"/>
      <c r="J460" s="6"/>
      <c r="K460" s="25" t="s">
        <v>1484</v>
      </c>
      <c r="L460" t="str">
        <f t="shared" si="14"/>
        <v>VARCHAR(900),</v>
      </c>
      <c r="N460" s="38" t="str">
        <f t="shared" si="15"/>
        <v>COMMENT ON COLUMN bfs_service_summary_device.applicable_op_perpetual_1 IS '適用op永年1';</v>
      </c>
      <c r="R460" s="34" t="s">
        <v>1485</v>
      </c>
    </row>
    <row r="461" spans="1:18" ht="19.5" thickBot="1">
      <c r="A461" s="3"/>
      <c r="B461" s="3">
        <v>455</v>
      </c>
      <c r="C461" s="3" t="s">
        <v>1486</v>
      </c>
      <c r="D461" s="3" t="s">
        <v>66</v>
      </c>
      <c r="E461" s="3">
        <v>1800</v>
      </c>
      <c r="F461" s="2" t="s">
        <v>67</v>
      </c>
      <c r="G461" s="3"/>
      <c r="H461" s="5"/>
      <c r="I461" s="3"/>
      <c r="J461" s="3"/>
      <c r="K461" s="25" t="s">
        <v>1487</v>
      </c>
      <c r="L461" t="str">
        <f t="shared" si="14"/>
        <v>VARCHAR(1800),</v>
      </c>
      <c r="N461" s="38" t="str">
        <f t="shared" si="15"/>
        <v>COMMENT ON COLUMN bfs_service_summary_device.applicable_op_fee_item_2 IS '適用op料金品目2';</v>
      </c>
      <c r="R461" s="34" t="s">
        <v>1488</v>
      </c>
    </row>
    <row r="462" spans="1:18" ht="19.5" thickBot="1">
      <c r="A462" s="6"/>
      <c r="B462" s="6">
        <v>456</v>
      </c>
      <c r="C462" s="6" t="s">
        <v>1489</v>
      </c>
      <c r="D462" s="6" t="s">
        <v>89</v>
      </c>
      <c r="E462" s="6">
        <v>11</v>
      </c>
      <c r="F462" s="7" t="s">
        <v>67</v>
      </c>
      <c r="G462" s="6"/>
      <c r="H462" s="8"/>
      <c r="I462" s="6"/>
      <c r="J462" s="6"/>
      <c r="K462" s="25" t="s">
        <v>1490</v>
      </c>
      <c r="L462" t="str">
        <f t="shared" si="14"/>
        <v>DECIMAL(11),</v>
      </c>
      <c r="N462" s="38" t="str">
        <f t="shared" si="15"/>
        <v>COMMENT ON COLUMN bfs_service_summary_device.applicable_op_basic_fee_2 IS '適用op基本使用料2';</v>
      </c>
      <c r="R462" s="34" t="s">
        <v>1491</v>
      </c>
    </row>
    <row r="463" spans="1:18" ht="19.5" thickBot="1">
      <c r="A463" s="3"/>
      <c r="B463" s="3">
        <v>457</v>
      </c>
      <c r="C463" s="3" t="s">
        <v>1492</v>
      </c>
      <c r="D463" s="3" t="s">
        <v>89</v>
      </c>
      <c r="E463" s="3">
        <v>11</v>
      </c>
      <c r="F463" s="2" t="s">
        <v>67</v>
      </c>
      <c r="G463" s="3"/>
      <c r="H463" s="5"/>
      <c r="I463" s="3"/>
      <c r="J463" s="3"/>
      <c r="K463" s="25" t="s">
        <v>1493</v>
      </c>
      <c r="L463" t="str">
        <f t="shared" si="14"/>
        <v>DECIMAL(11),</v>
      </c>
      <c r="N463" s="38" t="str">
        <f t="shared" si="15"/>
        <v>COMMENT ON COLUMN bfs_service_summary_device.applicable_op_provision_amount_2 IS '適用op提供金額2';</v>
      </c>
      <c r="R463" s="34" t="s">
        <v>1494</v>
      </c>
    </row>
    <row r="464" spans="1:18" ht="19.5" thickBot="1">
      <c r="A464" s="6"/>
      <c r="B464" s="6">
        <v>458</v>
      </c>
      <c r="C464" s="6" t="s">
        <v>1495</v>
      </c>
      <c r="D464" s="6" t="s">
        <v>89</v>
      </c>
      <c r="E464" s="6">
        <v>11</v>
      </c>
      <c r="F464" s="7" t="s">
        <v>67</v>
      </c>
      <c r="G464" s="6"/>
      <c r="H464" s="8"/>
      <c r="I464" s="6"/>
      <c r="J464" s="6"/>
      <c r="K464" s="25" t="s">
        <v>1496</v>
      </c>
      <c r="L464" t="str">
        <f t="shared" si="14"/>
        <v>DECIMAL(11),</v>
      </c>
      <c r="N464" s="38" t="str">
        <f t="shared" si="15"/>
        <v>COMMENT ON COLUMN bfs_service_summary_device.applicable_op_variable_fee_2 IS '適用op変動費2';</v>
      </c>
      <c r="R464" s="34" t="s">
        <v>1497</v>
      </c>
    </row>
    <row r="465" spans="1:18" ht="19.5" thickBot="1">
      <c r="A465" s="3"/>
      <c r="B465" s="3">
        <v>459</v>
      </c>
      <c r="C465" s="3" t="s">
        <v>1498</v>
      </c>
      <c r="D465" s="3" t="s">
        <v>89</v>
      </c>
      <c r="E465" s="3">
        <v>11</v>
      </c>
      <c r="F465" s="2" t="s">
        <v>67</v>
      </c>
      <c r="G465" s="3"/>
      <c r="H465" s="5"/>
      <c r="I465" s="3"/>
      <c r="J465" s="3"/>
      <c r="K465" s="25" t="s">
        <v>1499</v>
      </c>
      <c r="L465" t="str">
        <f t="shared" si="14"/>
        <v>DECIMAL(11),</v>
      </c>
      <c r="N465" s="38" t="str">
        <f t="shared" si="15"/>
        <v>COMMENT ON COLUMN bfs_service_summary_device.applicable_op_fixed_fee_2 IS '適用op固定費2';</v>
      </c>
      <c r="R465" s="34" t="s">
        <v>1500</v>
      </c>
    </row>
    <row r="466" spans="1:18" ht="19.5" thickBot="1">
      <c r="A466" s="6"/>
      <c r="B466" s="6">
        <v>460</v>
      </c>
      <c r="C466" s="6" t="s">
        <v>1501</v>
      </c>
      <c r="D466" s="6" t="s">
        <v>66</v>
      </c>
      <c r="E466" s="6">
        <v>6</v>
      </c>
      <c r="F466" s="7" t="s">
        <v>67</v>
      </c>
      <c r="G466" s="6"/>
      <c r="H466" s="8"/>
      <c r="I466" s="6"/>
      <c r="J466" s="6"/>
      <c r="K466" s="25" t="s">
        <v>1502</v>
      </c>
      <c r="L466" t="str">
        <f t="shared" si="14"/>
        <v>VARCHAR(6),</v>
      </c>
      <c r="N466" s="38" t="str">
        <f t="shared" si="15"/>
        <v>COMMENT ON COLUMN bfs_service_summary_device.applicable_op_start_month_2 IS '適用op開始月2';</v>
      </c>
      <c r="R466" s="34" t="s">
        <v>1503</v>
      </c>
    </row>
    <row r="467" spans="1:18" ht="19.5" thickBot="1">
      <c r="A467" s="3"/>
      <c r="B467" s="3">
        <v>461</v>
      </c>
      <c r="C467" s="3" t="s">
        <v>1504</v>
      </c>
      <c r="D467" s="3" t="s">
        <v>89</v>
      </c>
      <c r="E467" s="3">
        <v>3</v>
      </c>
      <c r="F467" s="2" t="s">
        <v>67</v>
      </c>
      <c r="G467" s="3"/>
      <c r="H467" s="5"/>
      <c r="I467" s="3"/>
      <c r="J467" s="3"/>
      <c r="K467" s="25" t="s">
        <v>1505</v>
      </c>
      <c r="L467" t="str">
        <f t="shared" si="14"/>
        <v>DECIMAL(3),</v>
      </c>
      <c r="N467" s="38" t="str">
        <f t="shared" si="15"/>
        <v>COMMENT ON COLUMN bfs_service_summary_device.applicable_op_period_2 IS '適用op期間2';</v>
      </c>
      <c r="R467" s="34" t="s">
        <v>1506</v>
      </c>
    </row>
    <row r="468" spans="1:18" ht="19.5" thickBot="1">
      <c r="A468" s="6"/>
      <c r="B468" s="6">
        <v>462</v>
      </c>
      <c r="C468" s="6" t="s">
        <v>1507</v>
      </c>
      <c r="D468" s="6" t="s">
        <v>66</v>
      </c>
      <c r="E468" s="6">
        <v>900</v>
      </c>
      <c r="F468" s="7" t="s">
        <v>67</v>
      </c>
      <c r="G468" s="6"/>
      <c r="H468" s="8"/>
      <c r="I468" s="6"/>
      <c r="J468" s="6"/>
      <c r="K468" s="25" t="s">
        <v>1508</v>
      </c>
      <c r="L468" t="str">
        <f t="shared" si="14"/>
        <v>VARCHAR(900),</v>
      </c>
      <c r="N468" s="38" t="str">
        <f t="shared" si="15"/>
        <v>COMMENT ON COLUMN bfs_service_summary_device.applicable_op_perpetual_2 IS '適用op永年2';</v>
      </c>
      <c r="R468" s="34" t="s">
        <v>1509</v>
      </c>
    </row>
    <row r="469" spans="1:18" ht="19.5" thickBot="1">
      <c r="A469" s="3"/>
      <c r="B469" s="3">
        <v>463</v>
      </c>
      <c r="C469" s="3" t="s">
        <v>1510</v>
      </c>
      <c r="D469" s="3" t="s">
        <v>66</v>
      </c>
      <c r="E469" s="3">
        <v>1800</v>
      </c>
      <c r="F469" s="2" t="s">
        <v>67</v>
      </c>
      <c r="G469" s="3"/>
      <c r="H469" s="5"/>
      <c r="I469" s="3"/>
      <c r="J469" s="3"/>
      <c r="K469" s="25" t="s">
        <v>1511</v>
      </c>
      <c r="L469" t="str">
        <f t="shared" si="14"/>
        <v>VARCHAR(1800),</v>
      </c>
      <c r="N469" s="38" t="str">
        <f t="shared" si="15"/>
        <v>COMMENT ON COLUMN bfs_service_summary_device.applicable_op_fee_item_3 IS '適用op料金品目3';</v>
      </c>
      <c r="R469" s="34" t="s">
        <v>1512</v>
      </c>
    </row>
    <row r="470" spans="1:18" ht="19.5" thickBot="1">
      <c r="A470" s="6"/>
      <c r="B470" s="6">
        <v>464</v>
      </c>
      <c r="C470" s="6" t="s">
        <v>1513</v>
      </c>
      <c r="D470" s="6" t="s">
        <v>89</v>
      </c>
      <c r="E470" s="6">
        <v>11</v>
      </c>
      <c r="F470" s="7" t="s">
        <v>67</v>
      </c>
      <c r="G470" s="6"/>
      <c r="H470" s="8"/>
      <c r="I470" s="6"/>
      <c r="J470" s="6"/>
      <c r="K470" s="25" t="s">
        <v>1514</v>
      </c>
      <c r="L470" t="str">
        <f t="shared" si="14"/>
        <v>DECIMAL(11),</v>
      </c>
      <c r="N470" s="38" t="str">
        <f t="shared" si="15"/>
        <v>COMMENT ON COLUMN bfs_service_summary_device.applicable_op_basic_fee_3 IS '適用op基本使用料3';</v>
      </c>
      <c r="R470" s="34" t="s">
        <v>1515</v>
      </c>
    </row>
    <row r="471" spans="1:18" ht="19.5" thickBot="1">
      <c r="A471" s="3"/>
      <c r="B471" s="3">
        <v>465</v>
      </c>
      <c r="C471" s="3" t="s">
        <v>1516</v>
      </c>
      <c r="D471" s="3" t="s">
        <v>89</v>
      </c>
      <c r="E471" s="3">
        <v>11</v>
      </c>
      <c r="F471" s="2" t="s">
        <v>67</v>
      </c>
      <c r="G471" s="3"/>
      <c r="H471" s="5"/>
      <c r="I471" s="3"/>
      <c r="J471" s="3"/>
      <c r="K471" s="25" t="s">
        <v>1517</v>
      </c>
      <c r="L471" t="str">
        <f t="shared" si="14"/>
        <v>DECIMAL(11),</v>
      </c>
      <c r="N471" s="38" t="str">
        <f t="shared" si="15"/>
        <v>COMMENT ON COLUMN bfs_service_summary_device.applicable_op_provision_amount_3 IS '適用op提供金額3';</v>
      </c>
      <c r="R471" s="34" t="s">
        <v>1518</v>
      </c>
    </row>
    <row r="472" spans="1:18" ht="19.5" thickBot="1">
      <c r="A472" s="6"/>
      <c r="B472" s="6">
        <v>466</v>
      </c>
      <c r="C472" s="6" t="s">
        <v>1519</v>
      </c>
      <c r="D472" s="6" t="s">
        <v>89</v>
      </c>
      <c r="E472" s="6">
        <v>11</v>
      </c>
      <c r="F472" s="7" t="s">
        <v>67</v>
      </c>
      <c r="G472" s="6"/>
      <c r="H472" s="8"/>
      <c r="I472" s="6"/>
      <c r="J472" s="6"/>
      <c r="K472" s="25" t="s">
        <v>1520</v>
      </c>
      <c r="L472" t="str">
        <f t="shared" si="14"/>
        <v>DECIMAL(11),</v>
      </c>
      <c r="N472" s="38" t="str">
        <f t="shared" si="15"/>
        <v>COMMENT ON COLUMN bfs_service_summary_device.applicable_op_variable_fee_3 IS '適用op変動費3';</v>
      </c>
      <c r="R472" s="34" t="s">
        <v>1521</v>
      </c>
    </row>
    <row r="473" spans="1:18" ht="19.5" thickBot="1">
      <c r="A473" s="3"/>
      <c r="B473" s="3">
        <v>467</v>
      </c>
      <c r="C473" s="3" t="s">
        <v>1522</v>
      </c>
      <c r="D473" s="3" t="s">
        <v>89</v>
      </c>
      <c r="E473" s="3">
        <v>11</v>
      </c>
      <c r="F473" s="2" t="s">
        <v>67</v>
      </c>
      <c r="G473" s="3"/>
      <c r="H473" s="5"/>
      <c r="I473" s="3"/>
      <c r="J473" s="3"/>
      <c r="K473" s="25" t="s">
        <v>1523</v>
      </c>
      <c r="L473" t="str">
        <f t="shared" si="14"/>
        <v>DECIMAL(11),</v>
      </c>
      <c r="N473" s="38" t="str">
        <f t="shared" si="15"/>
        <v>COMMENT ON COLUMN bfs_service_summary_device.applicable_op_fixed_fee_3 IS '適用op固定費3';</v>
      </c>
      <c r="R473" s="34" t="s">
        <v>1524</v>
      </c>
    </row>
    <row r="474" spans="1:18" ht="19.5" thickBot="1">
      <c r="A474" s="6"/>
      <c r="B474" s="6">
        <v>468</v>
      </c>
      <c r="C474" s="6" t="s">
        <v>1525</v>
      </c>
      <c r="D474" s="6" t="s">
        <v>66</v>
      </c>
      <c r="E474" s="6">
        <v>6</v>
      </c>
      <c r="F474" s="7" t="s">
        <v>67</v>
      </c>
      <c r="G474" s="6"/>
      <c r="H474" s="8"/>
      <c r="I474" s="6"/>
      <c r="J474" s="6"/>
      <c r="K474" s="25" t="s">
        <v>1526</v>
      </c>
      <c r="L474" t="str">
        <f t="shared" si="14"/>
        <v>VARCHAR(6),</v>
      </c>
      <c r="N474" s="38" t="str">
        <f t="shared" si="15"/>
        <v>COMMENT ON COLUMN bfs_service_summary_device.applicable_op_start_month_3 IS '適用op開始月3';</v>
      </c>
      <c r="R474" s="34" t="s">
        <v>1527</v>
      </c>
    </row>
    <row r="475" spans="1:18" ht="19.5" thickBot="1">
      <c r="A475" s="3"/>
      <c r="B475" s="3">
        <v>469</v>
      </c>
      <c r="C475" s="3" t="s">
        <v>1528</v>
      </c>
      <c r="D475" s="3" t="s">
        <v>89</v>
      </c>
      <c r="E475" s="3">
        <v>3</v>
      </c>
      <c r="F475" s="2" t="s">
        <v>67</v>
      </c>
      <c r="G475" s="3"/>
      <c r="H475" s="5"/>
      <c r="I475" s="3"/>
      <c r="J475" s="3"/>
      <c r="K475" s="25" t="s">
        <v>1529</v>
      </c>
      <c r="L475" t="str">
        <f t="shared" si="14"/>
        <v>DECIMAL(3),</v>
      </c>
      <c r="N475" s="38" t="str">
        <f t="shared" si="15"/>
        <v>COMMENT ON COLUMN bfs_service_summary_device.applicable_op_period_3 IS '適用op期間3';</v>
      </c>
      <c r="R475" s="34" t="s">
        <v>1530</v>
      </c>
    </row>
    <row r="476" spans="1:18" ht="19.5" thickBot="1">
      <c r="A476" s="6"/>
      <c r="B476" s="6">
        <v>470</v>
      </c>
      <c r="C476" s="6" t="s">
        <v>1531</v>
      </c>
      <c r="D476" s="6" t="s">
        <v>66</v>
      </c>
      <c r="E476" s="6">
        <v>900</v>
      </c>
      <c r="F476" s="7" t="s">
        <v>67</v>
      </c>
      <c r="G476" s="6"/>
      <c r="H476" s="8"/>
      <c r="I476" s="6"/>
      <c r="J476" s="6"/>
      <c r="K476" s="25" t="s">
        <v>1532</v>
      </c>
      <c r="L476" t="str">
        <f t="shared" si="14"/>
        <v>VARCHAR(900),</v>
      </c>
      <c r="N476" s="38" t="str">
        <f t="shared" si="15"/>
        <v>COMMENT ON COLUMN bfs_service_summary_device.applicable_op_perpetual_3 IS '適用op永年3';</v>
      </c>
      <c r="R476" s="34" t="s">
        <v>1533</v>
      </c>
    </row>
    <row r="477" spans="1:18" ht="19.5" thickBot="1">
      <c r="A477" s="3"/>
      <c r="B477" s="3">
        <v>471</v>
      </c>
      <c r="C477" s="3" t="s">
        <v>1534</v>
      </c>
      <c r="D477" s="3" t="s">
        <v>66</v>
      </c>
      <c r="E477" s="3">
        <v>1800</v>
      </c>
      <c r="F477" s="2" t="s">
        <v>67</v>
      </c>
      <c r="G477" s="3"/>
      <c r="H477" s="5"/>
      <c r="I477" s="3"/>
      <c r="J477" s="3"/>
      <c r="K477" s="25" t="s">
        <v>1535</v>
      </c>
      <c r="L477" t="str">
        <f t="shared" si="14"/>
        <v>VARCHAR(1800),</v>
      </c>
      <c r="N477" s="38" t="str">
        <f t="shared" si="15"/>
        <v>COMMENT ON COLUMN bfs_service_summary_device.applicable_op_fee_item_4 IS '適用op料金品目4';</v>
      </c>
      <c r="R477" s="34" t="s">
        <v>1536</v>
      </c>
    </row>
    <row r="478" spans="1:18" ht="19.5" thickBot="1">
      <c r="A478" s="6"/>
      <c r="B478" s="6">
        <v>472</v>
      </c>
      <c r="C478" s="6" t="s">
        <v>1537</v>
      </c>
      <c r="D478" s="6" t="s">
        <v>89</v>
      </c>
      <c r="E478" s="6">
        <v>11</v>
      </c>
      <c r="F478" s="7" t="s">
        <v>67</v>
      </c>
      <c r="G478" s="6"/>
      <c r="H478" s="8"/>
      <c r="I478" s="6"/>
      <c r="J478" s="6"/>
      <c r="K478" s="25" t="s">
        <v>1538</v>
      </c>
      <c r="L478" t="str">
        <f t="shared" si="14"/>
        <v>DECIMAL(11),</v>
      </c>
      <c r="N478" s="38" t="str">
        <f t="shared" si="15"/>
        <v>COMMENT ON COLUMN bfs_service_summary_device.applicable_op_basic_fee_4 IS '適用op基本使用料4';</v>
      </c>
      <c r="R478" s="34" t="s">
        <v>1539</v>
      </c>
    </row>
    <row r="479" spans="1:18" ht="19.5" thickBot="1">
      <c r="A479" s="3"/>
      <c r="B479" s="3">
        <v>473</v>
      </c>
      <c r="C479" s="3" t="s">
        <v>1540</v>
      </c>
      <c r="D479" s="3" t="s">
        <v>89</v>
      </c>
      <c r="E479" s="3">
        <v>11</v>
      </c>
      <c r="F479" s="2" t="s">
        <v>67</v>
      </c>
      <c r="G479" s="3"/>
      <c r="H479" s="5"/>
      <c r="I479" s="3"/>
      <c r="J479" s="3"/>
      <c r="K479" s="25" t="s">
        <v>1541</v>
      </c>
      <c r="L479" t="str">
        <f t="shared" si="14"/>
        <v>DECIMAL(11),</v>
      </c>
      <c r="N479" s="38" t="str">
        <f t="shared" si="15"/>
        <v>COMMENT ON COLUMN bfs_service_summary_device.applicable_op_provision_amount_4 IS '適用op提供金額4';</v>
      </c>
      <c r="R479" s="34" t="s">
        <v>1542</v>
      </c>
    </row>
    <row r="480" spans="1:18" ht="19.5" thickBot="1">
      <c r="A480" s="6"/>
      <c r="B480" s="6">
        <v>474</v>
      </c>
      <c r="C480" s="6" t="s">
        <v>1543</v>
      </c>
      <c r="D480" s="6" t="s">
        <v>89</v>
      </c>
      <c r="E480" s="6">
        <v>11</v>
      </c>
      <c r="F480" s="7" t="s">
        <v>67</v>
      </c>
      <c r="G480" s="6"/>
      <c r="H480" s="8"/>
      <c r="I480" s="6"/>
      <c r="J480" s="6"/>
      <c r="K480" s="25" t="s">
        <v>1544</v>
      </c>
      <c r="L480" t="str">
        <f t="shared" si="14"/>
        <v>DECIMAL(11),</v>
      </c>
      <c r="N480" s="38" t="str">
        <f t="shared" si="15"/>
        <v>COMMENT ON COLUMN bfs_service_summary_device.applicable_op_variable_fee_4 IS '適用op変動費4';</v>
      </c>
      <c r="R480" s="34" t="s">
        <v>1545</v>
      </c>
    </row>
    <row r="481" spans="1:18" ht="19.5" thickBot="1">
      <c r="A481" s="3"/>
      <c r="B481" s="3">
        <v>475</v>
      </c>
      <c r="C481" s="3" t="s">
        <v>1546</v>
      </c>
      <c r="D481" s="3" t="s">
        <v>89</v>
      </c>
      <c r="E481" s="3">
        <v>11</v>
      </c>
      <c r="F481" s="2" t="s">
        <v>67</v>
      </c>
      <c r="G481" s="3"/>
      <c r="H481" s="5"/>
      <c r="I481" s="3"/>
      <c r="J481" s="3"/>
      <c r="K481" s="25" t="s">
        <v>1547</v>
      </c>
      <c r="L481" t="str">
        <f t="shared" si="14"/>
        <v>DECIMAL(11),</v>
      </c>
      <c r="N481" s="38" t="str">
        <f t="shared" si="15"/>
        <v>COMMENT ON COLUMN bfs_service_summary_device.applicable_op_fixed_fee_4 IS '適用op固定費4';</v>
      </c>
      <c r="R481" s="34" t="s">
        <v>1548</v>
      </c>
    </row>
    <row r="482" spans="1:18" ht="19.5" thickBot="1">
      <c r="A482" s="6"/>
      <c r="B482" s="6">
        <v>476</v>
      </c>
      <c r="C482" s="6" t="s">
        <v>1549</v>
      </c>
      <c r="D482" s="6" t="s">
        <v>66</v>
      </c>
      <c r="E482" s="6">
        <v>6</v>
      </c>
      <c r="F482" s="7" t="s">
        <v>67</v>
      </c>
      <c r="G482" s="6"/>
      <c r="H482" s="8"/>
      <c r="I482" s="6"/>
      <c r="J482" s="6"/>
      <c r="K482" s="25" t="s">
        <v>1550</v>
      </c>
      <c r="L482" t="str">
        <f t="shared" si="14"/>
        <v>VARCHAR(6),</v>
      </c>
      <c r="N482" s="38" t="str">
        <f t="shared" si="15"/>
        <v>COMMENT ON COLUMN bfs_service_summary_device.applicable_op_start_month_4 IS '適用op開始月4';</v>
      </c>
      <c r="R482" s="34" t="s">
        <v>1551</v>
      </c>
    </row>
    <row r="483" spans="1:18" ht="19.5" thickBot="1">
      <c r="A483" s="3"/>
      <c r="B483" s="3">
        <v>477</v>
      </c>
      <c r="C483" s="3" t="s">
        <v>1552</v>
      </c>
      <c r="D483" s="3" t="s">
        <v>89</v>
      </c>
      <c r="E483" s="3">
        <v>3</v>
      </c>
      <c r="F483" s="2" t="s">
        <v>67</v>
      </c>
      <c r="G483" s="3"/>
      <c r="H483" s="5"/>
      <c r="I483" s="3"/>
      <c r="J483" s="3"/>
      <c r="K483" s="25" t="s">
        <v>1553</v>
      </c>
      <c r="L483" t="str">
        <f t="shared" si="14"/>
        <v>DECIMAL(3),</v>
      </c>
      <c r="N483" s="38" t="str">
        <f t="shared" si="15"/>
        <v>COMMENT ON COLUMN bfs_service_summary_device.applicable_op_period_4 IS '適用op期間4';</v>
      </c>
      <c r="R483" s="34" t="s">
        <v>1554</v>
      </c>
    </row>
    <row r="484" spans="1:18" ht="19.5" thickBot="1">
      <c r="A484" s="6"/>
      <c r="B484" s="6">
        <v>478</v>
      </c>
      <c r="C484" s="6" t="s">
        <v>1555</v>
      </c>
      <c r="D484" s="6" t="s">
        <v>66</v>
      </c>
      <c r="E484" s="6">
        <v>900</v>
      </c>
      <c r="F484" s="7" t="s">
        <v>67</v>
      </c>
      <c r="G484" s="6"/>
      <c r="H484" s="8"/>
      <c r="I484" s="6"/>
      <c r="J484" s="6"/>
      <c r="K484" s="25" t="s">
        <v>1556</v>
      </c>
      <c r="L484" t="str">
        <f t="shared" si="14"/>
        <v>VARCHAR(900),</v>
      </c>
      <c r="N484" s="38" t="str">
        <f t="shared" si="15"/>
        <v>COMMENT ON COLUMN bfs_service_summary_device.applicable_op_permanent_4 IS '適用op永年4';</v>
      </c>
      <c r="R484" s="34" t="s">
        <v>1557</v>
      </c>
    </row>
    <row r="485" spans="1:18" ht="19.5" thickBot="1">
      <c r="A485" s="3"/>
      <c r="B485" s="3">
        <v>479</v>
      </c>
      <c r="C485" s="3" t="s">
        <v>1558</v>
      </c>
      <c r="D485" s="3" t="s">
        <v>66</v>
      </c>
      <c r="E485" s="3">
        <v>1800</v>
      </c>
      <c r="F485" s="2" t="s">
        <v>67</v>
      </c>
      <c r="G485" s="3"/>
      <c r="H485" s="5"/>
      <c r="I485" s="3"/>
      <c r="J485" s="3"/>
      <c r="K485" s="25" t="s">
        <v>1559</v>
      </c>
      <c r="L485" t="str">
        <f t="shared" si="14"/>
        <v>VARCHAR(1800),</v>
      </c>
      <c r="N485" s="38" t="str">
        <f t="shared" si="15"/>
        <v>COMMENT ON COLUMN bfs_service_summary_device.applicable_op_fee_item_5 IS '適用op料金品目5';</v>
      </c>
      <c r="R485" s="34" t="s">
        <v>1560</v>
      </c>
    </row>
    <row r="486" spans="1:18" ht="19.5" thickBot="1">
      <c r="A486" s="6"/>
      <c r="B486" s="6">
        <v>480</v>
      </c>
      <c r="C486" s="6" t="s">
        <v>1561</v>
      </c>
      <c r="D486" s="6" t="s">
        <v>89</v>
      </c>
      <c r="E486" s="6">
        <v>11</v>
      </c>
      <c r="F486" s="7" t="s">
        <v>67</v>
      </c>
      <c r="G486" s="6"/>
      <c r="H486" s="8"/>
      <c r="I486" s="6"/>
      <c r="J486" s="6"/>
      <c r="K486" s="25" t="s">
        <v>1562</v>
      </c>
      <c r="L486" t="str">
        <f t="shared" si="14"/>
        <v>DECIMAL(11),</v>
      </c>
      <c r="N486" s="38" t="str">
        <f t="shared" si="15"/>
        <v>COMMENT ON COLUMN bfs_service_summary_device.applicable_op_basic_monthly_fee_5 IS '適用op基本使用料5';</v>
      </c>
      <c r="R486" s="34" t="s">
        <v>1563</v>
      </c>
    </row>
    <row r="487" spans="1:18" ht="19.5" thickBot="1">
      <c r="A487" s="3"/>
      <c r="B487" s="3">
        <v>481</v>
      </c>
      <c r="C487" s="3" t="s">
        <v>1564</v>
      </c>
      <c r="D487" s="3" t="s">
        <v>89</v>
      </c>
      <c r="E487" s="3">
        <v>11</v>
      </c>
      <c r="F487" s="2" t="s">
        <v>67</v>
      </c>
      <c r="G487" s="3"/>
      <c r="H487" s="5"/>
      <c r="I487" s="3"/>
      <c r="J487" s="3"/>
      <c r="K487" s="25" t="s">
        <v>1565</v>
      </c>
      <c r="L487" t="str">
        <f t="shared" si="14"/>
        <v>DECIMAL(11),</v>
      </c>
      <c r="N487" s="38" t="str">
        <f t="shared" si="15"/>
        <v>COMMENT ON COLUMN bfs_service_summary_device.applicable_op_provision_amount_5 IS '適用op提供金額5';</v>
      </c>
      <c r="R487" s="34" t="s">
        <v>1566</v>
      </c>
    </row>
    <row r="488" spans="1:18" ht="19.5" thickBot="1">
      <c r="A488" s="6"/>
      <c r="B488" s="6">
        <v>482</v>
      </c>
      <c r="C488" s="6" t="s">
        <v>1567</v>
      </c>
      <c r="D488" s="6" t="s">
        <v>89</v>
      </c>
      <c r="E488" s="6">
        <v>11</v>
      </c>
      <c r="F488" s="7" t="s">
        <v>67</v>
      </c>
      <c r="G488" s="6"/>
      <c r="H488" s="8"/>
      <c r="I488" s="6"/>
      <c r="J488" s="6"/>
      <c r="K488" s="25" t="s">
        <v>1568</v>
      </c>
      <c r="L488" t="str">
        <f t="shared" si="14"/>
        <v>DECIMAL(11),</v>
      </c>
      <c r="N488" s="38" t="str">
        <f t="shared" si="15"/>
        <v>COMMENT ON COLUMN bfs_service_summary_device.applicable_op_variable_cost_5 IS '適用op変動費5';</v>
      </c>
      <c r="R488" s="34" t="s">
        <v>1569</v>
      </c>
    </row>
    <row r="489" spans="1:18" ht="19.5" thickBot="1">
      <c r="A489" s="3"/>
      <c r="B489" s="3">
        <v>483</v>
      </c>
      <c r="C489" s="3" t="s">
        <v>1570</v>
      </c>
      <c r="D489" s="3" t="s">
        <v>89</v>
      </c>
      <c r="E489" s="3">
        <v>11</v>
      </c>
      <c r="F489" s="2" t="s">
        <v>67</v>
      </c>
      <c r="G489" s="3"/>
      <c r="H489" s="5"/>
      <c r="I489" s="3"/>
      <c r="J489" s="3"/>
      <c r="K489" s="25" t="s">
        <v>1571</v>
      </c>
      <c r="L489" t="str">
        <f t="shared" si="14"/>
        <v>DECIMAL(11),</v>
      </c>
      <c r="N489" s="38" t="str">
        <f t="shared" si="15"/>
        <v>COMMENT ON COLUMN bfs_service_summary_device.applicable_op_fixed_cost_5 IS '適用op固定費5';</v>
      </c>
      <c r="R489" s="34" t="s">
        <v>1572</v>
      </c>
    </row>
    <row r="490" spans="1:18" ht="19.5" thickBot="1">
      <c r="A490" s="6"/>
      <c r="B490" s="6">
        <v>484</v>
      </c>
      <c r="C490" s="6" t="s">
        <v>1573</v>
      </c>
      <c r="D490" s="6" t="s">
        <v>66</v>
      </c>
      <c r="E490" s="6">
        <v>6</v>
      </c>
      <c r="F490" s="7" t="s">
        <v>67</v>
      </c>
      <c r="G490" s="6"/>
      <c r="H490" s="8"/>
      <c r="I490" s="6"/>
      <c r="J490" s="6"/>
      <c r="K490" s="25" t="s">
        <v>1574</v>
      </c>
      <c r="L490" t="str">
        <f t="shared" si="14"/>
        <v>VARCHAR(6),</v>
      </c>
      <c r="N490" s="38" t="str">
        <f t="shared" si="15"/>
        <v>COMMENT ON COLUMN bfs_service_summary_device.applicable_op_start_month_5 IS '適用op開始月5';</v>
      </c>
      <c r="R490" s="34" t="s">
        <v>1575</v>
      </c>
    </row>
    <row r="491" spans="1:18" ht="19.5" thickBot="1">
      <c r="A491" s="3"/>
      <c r="B491" s="3">
        <v>485</v>
      </c>
      <c r="C491" s="3" t="s">
        <v>1576</v>
      </c>
      <c r="D491" s="3" t="s">
        <v>89</v>
      </c>
      <c r="E491" s="3">
        <v>3</v>
      </c>
      <c r="F491" s="2" t="s">
        <v>67</v>
      </c>
      <c r="G491" s="3"/>
      <c r="H491" s="5"/>
      <c r="I491" s="3"/>
      <c r="J491" s="3"/>
      <c r="K491" s="25" t="s">
        <v>1577</v>
      </c>
      <c r="L491" t="str">
        <f t="shared" si="14"/>
        <v>DECIMAL(3),</v>
      </c>
      <c r="N491" s="38" t="str">
        <f t="shared" si="15"/>
        <v>COMMENT ON COLUMN bfs_service_summary_device.applicable_op_period_5 IS '適用op期間5';</v>
      </c>
      <c r="R491" s="34" t="s">
        <v>1578</v>
      </c>
    </row>
    <row r="492" spans="1:18" ht="19.5" thickBot="1">
      <c r="A492" s="6"/>
      <c r="B492" s="6">
        <v>486</v>
      </c>
      <c r="C492" s="6" t="s">
        <v>1579</v>
      </c>
      <c r="D492" s="6" t="s">
        <v>66</v>
      </c>
      <c r="E492" s="6">
        <v>900</v>
      </c>
      <c r="F492" s="7" t="s">
        <v>67</v>
      </c>
      <c r="G492" s="6"/>
      <c r="H492" s="8"/>
      <c r="I492" s="6"/>
      <c r="J492" s="6"/>
      <c r="K492" s="25" t="s">
        <v>1580</v>
      </c>
      <c r="L492" t="str">
        <f t="shared" si="14"/>
        <v>VARCHAR(900),</v>
      </c>
      <c r="N492" s="38" t="str">
        <f t="shared" si="15"/>
        <v>COMMENT ON COLUMN bfs_service_summary_device.applicable_op_permanent_5 IS '適用op永年5';</v>
      </c>
      <c r="R492" s="34" t="s">
        <v>1581</v>
      </c>
    </row>
    <row r="493" spans="1:18" ht="19.5" thickBot="1">
      <c r="A493" s="3"/>
      <c r="B493" s="3">
        <v>487</v>
      </c>
      <c r="C493" s="3" t="s">
        <v>1582</v>
      </c>
      <c r="D493" s="3" t="s">
        <v>89</v>
      </c>
      <c r="E493" s="3">
        <v>11</v>
      </c>
      <c r="F493" s="2" t="s">
        <v>67</v>
      </c>
      <c r="G493" s="3"/>
      <c r="H493" s="5"/>
      <c r="I493" s="3"/>
      <c r="J493" s="3"/>
      <c r="K493" s="25" t="s">
        <v>1583</v>
      </c>
      <c r="L493" t="str">
        <f t="shared" si="14"/>
        <v>DECIMAL(11),</v>
      </c>
      <c r="N493" s="38" t="str">
        <f t="shared" si="15"/>
        <v>COMMENT ON COLUMN bfs_service_summary_device.wo_otoku_di_registration_bill IS 'woおとくdi登録請求額';</v>
      </c>
      <c r="R493" s="34" t="s">
        <v>1584</v>
      </c>
    </row>
    <row r="494" spans="1:18" ht="19.5" thickBot="1">
      <c r="A494" s="6"/>
      <c r="B494" s="6">
        <v>488</v>
      </c>
      <c r="C494" s="6" t="s">
        <v>1585</v>
      </c>
      <c r="D494" s="6" t="s">
        <v>89</v>
      </c>
      <c r="E494" s="6">
        <v>11</v>
      </c>
      <c r="F494" s="7" t="s">
        <v>67</v>
      </c>
      <c r="G494" s="6"/>
      <c r="H494" s="8"/>
      <c r="I494" s="6"/>
      <c r="J494" s="6"/>
      <c r="K494" s="25" t="s">
        <v>1586</v>
      </c>
      <c r="L494" t="str">
        <f t="shared" si="14"/>
        <v>DECIMAL(11),</v>
      </c>
      <c r="N494" s="38" t="str">
        <f t="shared" si="15"/>
        <v>COMMENT ON COLUMN bfs_service_summary_device.wo_otoku_di_usage_bill IS 'woおとくdi使用請求額';</v>
      </c>
      <c r="R494" s="34" t="s">
        <v>1587</v>
      </c>
    </row>
    <row r="495" spans="1:18" ht="19.5" thickBot="1">
      <c r="A495" s="3"/>
      <c r="B495" s="3">
        <v>489</v>
      </c>
      <c r="C495" s="3" t="s">
        <v>1588</v>
      </c>
      <c r="D495" s="3" t="s">
        <v>89</v>
      </c>
      <c r="E495" s="3">
        <v>11</v>
      </c>
      <c r="F495" s="2" t="s">
        <v>67</v>
      </c>
      <c r="G495" s="3"/>
      <c r="H495" s="5"/>
      <c r="I495" s="3"/>
      <c r="J495" s="3"/>
      <c r="K495" s="25" t="s">
        <v>1589</v>
      </c>
      <c r="L495" t="str">
        <f t="shared" si="14"/>
        <v>DECIMAL(11),</v>
      </c>
      <c r="N495" s="38" t="str">
        <f t="shared" si="15"/>
        <v>COMMENT ON COLUMN bfs_service_summary_device.number_of_isdn_1500_lines IS 'isdn1500回線数';</v>
      </c>
      <c r="R495" s="34" t="s">
        <v>1590</v>
      </c>
    </row>
    <row r="496" spans="1:18" ht="19.5" thickBot="1">
      <c r="A496" s="6"/>
      <c r="B496" s="6">
        <v>490</v>
      </c>
      <c r="C496" s="6" t="s">
        <v>1591</v>
      </c>
      <c r="D496" s="6" t="s">
        <v>89</v>
      </c>
      <c r="E496" s="6">
        <v>11</v>
      </c>
      <c r="F496" s="7" t="s">
        <v>67</v>
      </c>
      <c r="G496" s="6"/>
      <c r="H496" s="8"/>
      <c r="I496" s="6"/>
      <c r="J496" s="6"/>
      <c r="K496" s="25" t="s">
        <v>1592</v>
      </c>
      <c r="L496" t="str">
        <f t="shared" si="14"/>
        <v>DECIMAL(11),</v>
      </c>
      <c r="N496" s="38" t="str">
        <f t="shared" si="15"/>
        <v>COMMENT ON COLUMN bfs_service_summary_device.isdn_1500_registration_charges IS 'isdn1500登録請求額';</v>
      </c>
      <c r="R496" s="34" t="s">
        <v>1593</v>
      </c>
    </row>
    <row r="497" spans="1:18" ht="19.5" thickBot="1">
      <c r="A497" s="3"/>
      <c r="B497" s="3">
        <v>491</v>
      </c>
      <c r="C497" s="3" t="s">
        <v>1594</v>
      </c>
      <c r="D497" s="3" t="s">
        <v>89</v>
      </c>
      <c r="E497" s="3">
        <v>11</v>
      </c>
      <c r="F497" s="2" t="s">
        <v>67</v>
      </c>
      <c r="G497" s="3"/>
      <c r="H497" s="5"/>
      <c r="I497" s="3"/>
      <c r="J497" s="3"/>
      <c r="K497" s="25" t="s">
        <v>1595</v>
      </c>
      <c r="L497" t="str">
        <f t="shared" si="14"/>
        <v>DECIMAL(11),</v>
      </c>
      <c r="N497" s="38" t="str">
        <f t="shared" si="15"/>
        <v>COMMENT ON COLUMN bfs_service_summary_device.isdn_1500_connection_charges IS 'isdn1500接続請求額';</v>
      </c>
      <c r="R497" s="34" t="s">
        <v>1596</v>
      </c>
    </row>
    <row r="498" spans="1:18" ht="19.5" thickBot="1">
      <c r="A498" s="6"/>
      <c r="B498" s="6">
        <v>492</v>
      </c>
      <c r="C498" s="6" t="s">
        <v>1597</v>
      </c>
      <c r="D498" s="6" t="s">
        <v>89</v>
      </c>
      <c r="E498" s="6">
        <v>11</v>
      </c>
      <c r="F498" s="7" t="s">
        <v>67</v>
      </c>
      <c r="G498" s="6"/>
      <c r="H498" s="8"/>
      <c r="I498" s="6"/>
      <c r="J498" s="6"/>
      <c r="K498" t="s">
        <v>1598</v>
      </c>
      <c r="L498" t="str">
        <f t="shared" si="14"/>
        <v>DECIMAL(11),</v>
      </c>
      <c r="N498" s="38" t="str">
        <f t="shared" si="15"/>
        <v>COMMENT ON COLUMN bfs_service_summary_device.isdn_1500_flat_rate_charges IS 'isdn1500定額請求額';</v>
      </c>
      <c r="R498" s="34" t="s">
        <v>1599</v>
      </c>
    </row>
    <row r="499" spans="1:18" ht="19.5" thickBot="1">
      <c r="A499" s="3"/>
      <c r="B499" s="3">
        <v>493</v>
      </c>
      <c r="C499" s="3" t="s">
        <v>1600</v>
      </c>
      <c r="D499" s="3" t="s">
        <v>89</v>
      </c>
      <c r="E499" s="3">
        <v>11</v>
      </c>
      <c r="F499" s="2" t="s">
        <v>67</v>
      </c>
      <c r="G499" s="3"/>
      <c r="H499" s="5"/>
      <c r="I499" s="3"/>
      <c r="J499" s="3"/>
      <c r="K499" s="25" t="s">
        <v>1601</v>
      </c>
      <c r="L499" t="str">
        <f t="shared" si="14"/>
        <v>DECIMAL(11),</v>
      </c>
      <c r="N499" s="38" t="str">
        <f t="shared" si="15"/>
        <v>COMMENT ON COLUMN bfs_service_summary_device.number_of_isdn64_lines IS 'isdn64回線数';</v>
      </c>
      <c r="R499" s="34" t="s">
        <v>1602</v>
      </c>
    </row>
    <row r="500" spans="1:18" ht="19.5" thickBot="1">
      <c r="A500" s="6"/>
      <c r="B500" s="6">
        <v>494</v>
      </c>
      <c r="C500" s="6" t="s">
        <v>1603</v>
      </c>
      <c r="D500" s="6" t="s">
        <v>89</v>
      </c>
      <c r="E500" s="6">
        <v>11</v>
      </c>
      <c r="F500" s="7" t="s">
        <v>67</v>
      </c>
      <c r="G500" s="6"/>
      <c r="H500" s="8"/>
      <c r="I500" s="6"/>
      <c r="J500" s="6"/>
      <c r="K500" s="25" t="s">
        <v>1604</v>
      </c>
      <c r="L500" t="str">
        <f t="shared" si="14"/>
        <v>DECIMAL(11),</v>
      </c>
      <c r="N500" s="38" t="str">
        <f t="shared" si="15"/>
        <v>COMMENT ON COLUMN bfs_service_summary_device.isdn64_registration_charges IS 'isdn64登録請求額';</v>
      </c>
      <c r="R500" s="34" t="s">
        <v>1605</v>
      </c>
    </row>
    <row r="501" spans="1:18" ht="19.5" thickBot="1">
      <c r="A501" s="3"/>
      <c r="B501" s="3">
        <v>495</v>
      </c>
      <c r="C501" s="3" t="s">
        <v>1606</v>
      </c>
      <c r="D501" s="3" t="s">
        <v>89</v>
      </c>
      <c r="E501" s="3">
        <v>11</v>
      </c>
      <c r="F501" s="2" t="s">
        <v>67</v>
      </c>
      <c r="G501" s="3"/>
      <c r="H501" s="5"/>
      <c r="I501" s="3"/>
      <c r="J501" s="3"/>
      <c r="K501" s="25" t="s">
        <v>1607</v>
      </c>
      <c r="L501" t="str">
        <f t="shared" si="14"/>
        <v>DECIMAL(11),</v>
      </c>
      <c r="N501" s="38" t="str">
        <f t="shared" si="15"/>
        <v>COMMENT ON COLUMN bfs_service_summary_device.isdn64_connection_charges IS 'isdn64接続請求額';</v>
      </c>
      <c r="R501" s="34" t="s">
        <v>1608</v>
      </c>
    </row>
    <row r="502" spans="1:18" ht="19.5" thickBot="1">
      <c r="A502" s="6"/>
      <c r="B502" s="6">
        <v>496</v>
      </c>
      <c r="C502" s="6" t="s">
        <v>1609</v>
      </c>
      <c r="D502" s="6" t="s">
        <v>89</v>
      </c>
      <c r="E502" s="6">
        <v>11</v>
      </c>
      <c r="F502" s="7" t="s">
        <v>67</v>
      </c>
      <c r="G502" s="6"/>
      <c r="H502" s="8"/>
      <c r="I502" s="6"/>
      <c r="J502" s="6"/>
      <c r="K502" s="25" t="s">
        <v>1610</v>
      </c>
      <c r="L502" t="str">
        <f t="shared" si="14"/>
        <v>DECIMAL(11),</v>
      </c>
      <c r="N502" s="38" t="str">
        <f t="shared" si="15"/>
        <v>COMMENT ON COLUMN bfs_service_summary_device.isdn64_flat_rate_charges IS 'isdn64定額請求額';</v>
      </c>
      <c r="R502" s="34" t="s">
        <v>1611</v>
      </c>
    </row>
    <row r="503" spans="1:18" ht="19.5" thickBot="1">
      <c r="A503" s="3"/>
      <c r="B503" s="3">
        <v>497</v>
      </c>
      <c r="C503" s="3" t="s">
        <v>1612</v>
      </c>
      <c r="D503" s="3" t="s">
        <v>66</v>
      </c>
      <c r="E503" s="3">
        <v>90</v>
      </c>
      <c r="F503" s="2" t="s">
        <v>67</v>
      </c>
      <c r="G503" s="3"/>
      <c r="H503" s="5"/>
      <c r="I503" s="3"/>
      <c r="J503" s="3"/>
      <c r="K503" t="s">
        <v>1613</v>
      </c>
      <c r="L503" t="str">
        <f t="shared" si="14"/>
        <v>VARCHAR(90),</v>
      </c>
      <c r="N503" s="38" t="str">
        <f t="shared" si="15"/>
        <v>COMMENT ON COLUMN bfs_service_summary_device.new_customer_cancellation_new_customer_cancellation IS '解約新規有無';</v>
      </c>
      <c r="R503" s="34" t="s">
        <v>1614</v>
      </c>
    </row>
    <row r="504" spans="1:18" ht="19.5" thickBot="1">
      <c r="A504" s="6"/>
      <c r="B504" s="6">
        <v>498</v>
      </c>
      <c r="C504" s="6" t="s">
        <v>1615</v>
      </c>
      <c r="D504" s="6" t="s">
        <v>66</v>
      </c>
      <c r="E504" s="6">
        <v>45</v>
      </c>
      <c r="F504" s="7" t="s">
        <v>67</v>
      </c>
      <c r="G504" s="6"/>
      <c r="H504" s="8"/>
      <c r="I504" s="6"/>
      <c r="J504" s="6"/>
      <c r="K504" s="25" t="s">
        <v>1616</v>
      </c>
      <c r="L504" t="str">
        <f t="shared" si="14"/>
        <v>VARCHAR(45),</v>
      </c>
      <c r="N504" s="38" t="str">
        <f t="shared" si="15"/>
        <v>COMMENT ON COLUMN bfs_service_summary_device.unsupported_product_code IS '未対応商品コード';</v>
      </c>
      <c r="R504" s="34" t="s">
        <v>1617</v>
      </c>
    </row>
    <row r="505" spans="1:18" ht="19.5" thickBot="1">
      <c r="A505" s="3"/>
      <c r="B505" s="3">
        <v>499</v>
      </c>
      <c r="C505" s="3" t="s">
        <v>1618</v>
      </c>
      <c r="D505" s="3" t="s">
        <v>66</v>
      </c>
      <c r="E505" s="3">
        <v>900</v>
      </c>
      <c r="F505" s="2" t="s">
        <v>67</v>
      </c>
      <c r="G505" s="3"/>
      <c r="H505" s="5"/>
      <c r="I505" s="3"/>
      <c r="J505" s="3"/>
      <c r="K505" s="25" t="s">
        <v>1619</v>
      </c>
      <c r="L505" t="str">
        <f t="shared" si="14"/>
        <v>VARCHAR(900),</v>
      </c>
      <c r="N505" s="38" t="str">
        <f t="shared" si="15"/>
        <v>COMMENT ON COLUMN bfs_service_summary_device.unsupported_product_name IS '未対応商品名称';</v>
      </c>
      <c r="R505" s="34" t="s">
        <v>1620</v>
      </c>
    </row>
    <row r="506" spans="1:18" ht="19.5" thickBot="1">
      <c r="A506" s="6"/>
      <c r="B506" s="6">
        <v>500</v>
      </c>
      <c r="C506" s="6" t="s">
        <v>1621</v>
      </c>
      <c r="D506" s="6" t="s">
        <v>66</v>
      </c>
      <c r="E506" s="6">
        <v>15</v>
      </c>
      <c r="F506" s="7" t="s">
        <v>67</v>
      </c>
      <c r="G506" s="6"/>
      <c r="H506" s="8"/>
      <c r="I506" s="6"/>
      <c r="J506" s="6"/>
      <c r="K506" s="25" t="s">
        <v>1622</v>
      </c>
      <c r="L506" t="str">
        <f t="shared" si="14"/>
        <v>VARCHAR(15),</v>
      </c>
      <c r="N506" s="38" t="str">
        <f t="shared" si="15"/>
        <v>COMMENT ON COLUMN bfs_service_summary_device.estimated_pseudo_share_capacity IS '疑似シェア試算容量';</v>
      </c>
      <c r="R506" s="34" t="s">
        <v>1623</v>
      </c>
    </row>
    <row r="507" spans="1:18" ht="19.5" thickBot="1">
      <c r="A507" s="3"/>
      <c r="B507" s="3">
        <v>501</v>
      </c>
      <c r="C507" s="3" t="s">
        <v>1624</v>
      </c>
      <c r="D507" s="3" t="s">
        <v>66</v>
      </c>
      <c r="E507" s="3">
        <v>15</v>
      </c>
      <c r="F507" s="2" t="s">
        <v>67</v>
      </c>
      <c r="G507" s="3"/>
      <c r="H507" s="5"/>
      <c r="I507" s="3"/>
      <c r="J507" s="3"/>
      <c r="K507" s="25" t="s">
        <v>1625</v>
      </c>
      <c r="L507" t="str">
        <f t="shared" si="14"/>
        <v>VARCHAR(15),</v>
      </c>
      <c r="N507" s="38" t="str">
        <f t="shared" si="15"/>
        <v>COMMENT ON COLUMN bfs_service_summary_device.estimated_pseudo_share_excess_charge IS '疑似シェア超過料';</v>
      </c>
      <c r="R507" s="34" t="s">
        <v>1626</v>
      </c>
    </row>
    <row r="508" spans="1:18" ht="19.5" thickBot="1">
      <c r="A508" s="6"/>
      <c r="B508" s="6">
        <v>502</v>
      </c>
      <c r="C508" s="6" t="s">
        <v>1627</v>
      </c>
      <c r="D508" s="6" t="s">
        <v>66</v>
      </c>
      <c r="E508" s="6">
        <v>2295</v>
      </c>
      <c r="F508" s="7" t="s">
        <v>67</v>
      </c>
      <c r="G508" s="6"/>
      <c r="H508" s="8"/>
      <c r="I508" s="6"/>
      <c r="J508" s="6"/>
      <c r="K508" s="25" t="s">
        <v>1628</v>
      </c>
      <c r="L508" t="str">
        <f t="shared" si="14"/>
        <v>VARCHAR(2295),</v>
      </c>
      <c r="N508" s="38" t="str">
        <f t="shared" si="15"/>
        <v>COMMENT ON COLUMN bfs_service_summary_device.esim_registration IS 'esim登録';</v>
      </c>
      <c r="R508" s="34" t="s">
        <v>1629</v>
      </c>
    </row>
    <row r="509" spans="1:18" ht="19.5" thickBot="1">
      <c r="A509" s="3"/>
      <c r="B509" s="3">
        <v>503</v>
      </c>
      <c r="C509" s="3" t="s">
        <v>1630</v>
      </c>
      <c r="D509" s="3" t="s">
        <v>89</v>
      </c>
      <c r="E509" s="3" t="s">
        <v>1631</v>
      </c>
      <c r="F509" s="2" t="s">
        <v>67</v>
      </c>
      <c r="G509" s="3"/>
      <c r="H509" s="5"/>
      <c r="I509" s="3"/>
      <c r="J509" s="3"/>
      <c r="K509" s="25" t="s">
        <v>1632</v>
      </c>
      <c r="L509" t="str">
        <f t="shared" si="14"/>
        <v>DECIMAL(2,0),</v>
      </c>
      <c r="N509" s="38" t="str">
        <f t="shared" si="15"/>
        <v>COMMENT ON COLUMN bfs_service_summary_device.current_device_contract_period IS '現端末契約期間';</v>
      </c>
      <c r="R509" s="34" t="s">
        <v>1633</v>
      </c>
    </row>
    <row r="510" spans="1:18" ht="19.5" thickBot="1">
      <c r="A510" s="6"/>
      <c r="B510" s="6">
        <v>504</v>
      </c>
      <c r="C510" s="6" t="s">
        <v>1634</v>
      </c>
      <c r="D510" s="6" t="s">
        <v>66</v>
      </c>
      <c r="E510" s="6">
        <v>90</v>
      </c>
      <c r="F510" s="7" t="s">
        <v>67</v>
      </c>
      <c r="G510" s="6"/>
      <c r="H510" s="8"/>
      <c r="I510" s="6"/>
      <c r="J510" s="6"/>
      <c r="K510" s="25" t="s">
        <v>1635</v>
      </c>
      <c r="L510" t="str">
        <f t="shared" si="14"/>
        <v>VARCHAR(90),</v>
      </c>
      <c r="N510" s="38" t="str">
        <f t="shared" si="15"/>
        <v>COMMENT ON COLUMN bfs_service_summary_device.reflected_in_summary_unit IS 'サマリ単位反映';</v>
      </c>
      <c r="R510" s="34" t="s">
        <v>1636</v>
      </c>
    </row>
    <row r="511" spans="1:18">
      <c r="K511" t="str">
        <f>"CONSTRAINT pk_"&amp;H3&amp;" PRIMARY KEY (id));"</f>
        <v>CONSTRAINT pk_bfs_service_summary_device PRIMARY KEY (id));</v>
      </c>
      <c r="R511" s="33" t="s">
        <v>1637</v>
      </c>
    </row>
    <row r="512" spans="1:18">
      <c r="R512" s="33" t="s">
        <v>1638</v>
      </c>
    </row>
    <row r="513" spans="18:18">
      <c r="R513" s="33" t="s">
        <v>1639</v>
      </c>
    </row>
    <row r="514" spans="18:18">
      <c r="R514" s="33" t="s">
        <v>1640</v>
      </c>
    </row>
    <row r="515" spans="18:18">
      <c r="R515" s="33" t="s">
        <v>1641</v>
      </c>
    </row>
    <row r="516" spans="18:18">
      <c r="R516" s="33" t="s">
        <v>1642</v>
      </c>
    </row>
    <row r="517" spans="18:18">
      <c r="R517" s="33" t="s">
        <v>1643</v>
      </c>
    </row>
    <row r="518" spans="18:18">
      <c r="R518" s="33" t="s">
        <v>1644</v>
      </c>
    </row>
    <row r="519" spans="18:18">
      <c r="R519" s="33" t="s">
        <v>1645</v>
      </c>
    </row>
    <row r="520" spans="18:18">
      <c r="R520" s="33" t="s">
        <v>1646</v>
      </c>
    </row>
    <row r="521" spans="18:18">
      <c r="R521" s="33" t="s">
        <v>1647</v>
      </c>
    </row>
    <row r="522" spans="18:18">
      <c r="R522" s="33" t="s">
        <v>1648</v>
      </c>
    </row>
    <row r="523" spans="18:18">
      <c r="R523" s="33" t="s">
        <v>1649</v>
      </c>
    </row>
    <row r="524" spans="18:18">
      <c r="R524" s="33" t="s">
        <v>1650</v>
      </c>
    </row>
    <row r="525" spans="18:18">
      <c r="R525" s="33" t="s">
        <v>1651</v>
      </c>
    </row>
    <row r="526" spans="18:18">
      <c r="R526" s="33" t="s">
        <v>1652</v>
      </c>
    </row>
    <row r="527" spans="18:18">
      <c r="R527" s="33" t="s">
        <v>1653</v>
      </c>
    </row>
    <row r="528" spans="18:18">
      <c r="R528" s="33" t="s">
        <v>1654</v>
      </c>
    </row>
    <row r="529" spans="18:18">
      <c r="R529" s="33" t="s">
        <v>1655</v>
      </c>
    </row>
    <row r="530" spans="18:18">
      <c r="R530" s="33" t="s">
        <v>1656</v>
      </c>
    </row>
    <row r="531" spans="18:18">
      <c r="R531" s="33" t="s">
        <v>1657</v>
      </c>
    </row>
    <row r="532" spans="18:18">
      <c r="R532" s="33" t="s">
        <v>1658</v>
      </c>
    </row>
    <row r="533" spans="18:18">
      <c r="R533" s="33" t="s">
        <v>1659</v>
      </c>
    </row>
    <row r="534" spans="18:18">
      <c r="R534" s="33" t="s">
        <v>1660</v>
      </c>
    </row>
    <row r="535" spans="18:18">
      <c r="R535" s="33" t="s">
        <v>1661</v>
      </c>
    </row>
    <row r="536" spans="18:18">
      <c r="R536" s="33" t="s">
        <v>1662</v>
      </c>
    </row>
    <row r="537" spans="18:18">
      <c r="R537" s="33" t="s">
        <v>1663</v>
      </c>
    </row>
    <row r="538" spans="18:18">
      <c r="R538" s="33" t="s">
        <v>1664</v>
      </c>
    </row>
    <row r="539" spans="18:18">
      <c r="R539" s="33" t="s">
        <v>1665</v>
      </c>
    </row>
    <row r="540" spans="18:18">
      <c r="R540" s="33" t="s">
        <v>1666</v>
      </c>
    </row>
    <row r="541" spans="18:18">
      <c r="R541" s="33" t="s">
        <v>1667</v>
      </c>
    </row>
    <row r="542" spans="18:18">
      <c r="R542" s="33" t="s">
        <v>1668</v>
      </c>
    </row>
    <row r="543" spans="18:18">
      <c r="R543" s="33" t="s">
        <v>1669</v>
      </c>
    </row>
    <row r="544" spans="18:18">
      <c r="R544" s="33" t="s">
        <v>1670</v>
      </c>
    </row>
    <row r="545" spans="18:18">
      <c r="R545" s="33" t="s">
        <v>1671</v>
      </c>
    </row>
    <row r="546" spans="18:18">
      <c r="R546" s="33" t="s">
        <v>1672</v>
      </c>
    </row>
    <row r="547" spans="18:18">
      <c r="R547" s="33" t="s">
        <v>1673</v>
      </c>
    </row>
    <row r="548" spans="18:18">
      <c r="R548" s="33" t="s">
        <v>1674</v>
      </c>
    </row>
    <row r="549" spans="18:18">
      <c r="R549" s="33" t="s">
        <v>1675</v>
      </c>
    </row>
    <row r="550" spans="18:18">
      <c r="R550" s="33" t="s">
        <v>1676</v>
      </c>
    </row>
    <row r="551" spans="18:18">
      <c r="R551" s="33" t="s">
        <v>1677</v>
      </c>
    </row>
    <row r="552" spans="18:18">
      <c r="R552" s="33" t="s">
        <v>1678</v>
      </c>
    </row>
    <row r="553" spans="18:18">
      <c r="R553" s="33" t="s">
        <v>1679</v>
      </c>
    </row>
    <row r="554" spans="18:18">
      <c r="R554" s="33" t="s">
        <v>1680</v>
      </c>
    </row>
    <row r="555" spans="18:18">
      <c r="R555" s="33" t="s">
        <v>1681</v>
      </c>
    </row>
    <row r="556" spans="18:18">
      <c r="R556" s="33" t="s">
        <v>1682</v>
      </c>
    </row>
    <row r="557" spans="18:18">
      <c r="R557" s="33" t="s">
        <v>1683</v>
      </c>
    </row>
    <row r="558" spans="18:18">
      <c r="R558" s="33" t="s">
        <v>1684</v>
      </c>
    </row>
    <row r="559" spans="18:18">
      <c r="R559" s="33" t="s">
        <v>1685</v>
      </c>
    </row>
    <row r="560" spans="18:18">
      <c r="R560" s="33" t="s">
        <v>1686</v>
      </c>
    </row>
    <row r="561" spans="18:18">
      <c r="R561" s="33" t="s">
        <v>1687</v>
      </c>
    </row>
    <row r="562" spans="18:18">
      <c r="R562" s="33" t="s">
        <v>1688</v>
      </c>
    </row>
    <row r="563" spans="18:18">
      <c r="R563" s="33" t="s">
        <v>1689</v>
      </c>
    </row>
    <row r="564" spans="18:18">
      <c r="R564" s="33" t="s">
        <v>1690</v>
      </c>
    </row>
    <row r="565" spans="18:18">
      <c r="R565" s="33" t="s">
        <v>1691</v>
      </c>
    </row>
    <row r="566" spans="18:18">
      <c r="R566" s="33" t="s">
        <v>1692</v>
      </c>
    </row>
    <row r="567" spans="18:18">
      <c r="R567" s="33" t="s">
        <v>1693</v>
      </c>
    </row>
    <row r="568" spans="18:18">
      <c r="R568" s="33" t="s">
        <v>1694</v>
      </c>
    </row>
    <row r="569" spans="18:18">
      <c r="R569" s="33" t="s">
        <v>1695</v>
      </c>
    </row>
    <row r="570" spans="18:18">
      <c r="R570" s="33" t="s">
        <v>1696</v>
      </c>
    </row>
    <row r="571" spans="18:18">
      <c r="R571" s="33" t="s">
        <v>1697</v>
      </c>
    </row>
    <row r="572" spans="18:18">
      <c r="R572" s="33" t="s">
        <v>1698</v>
      </c>
    </row>
    <row r="573" spans="18:18">
      <c r="R573" s="33" t="s">
        <v>1699</v>
      </c>
    </row>
    <row r="574" spans="18:18">
      <c r="R574" s="33" t="s">
        <v>1700</v>
      </c>
    </row>
    <row r="575" spans="18:18">
      <c r="R575" s="33" t="s">
        <v>1701</v>
      </c>
    </row>
    <row r="576" spans="18:18">
      <c r="R576" s="33" t="s">
        <v>1702</v>
      </c>
    </row>
    <row r="577" spans="18:18">
      <c r="R577" s="33" t="s">
        <v>1703</v>
      </c>
    </row>
    <row r="578" spans="18:18">
      <c r="R578" s="33" t="s">
        <v>1704</v>
      </c>
    </row>
    <row r="579" spans="18:18">
      <c r="R579" s="33" t="s">
        <v>1705</v>
      </c>
    </row>
    <row r="580" spans="18:18">
      <c r="R580" s="33" t="s">
        <v>1706</v>
      </c>
    </row>
    <row r="581" spans="18:18">
      <c r="R581" s="33" t="s">
        <v>1707</v>
      </c>
    </row>
    <row r="582" spans="18:18">
      <c r="R582" s="33" t="s">
        <v>1708</v>
      </c>
    </row>
    <row r="583" spans="18:18">
      <c r="R583" s="33" t="s">
        <v>1709</v>
      </c>
    </row>
    <row r="584" spans="18:18">
      <c r="R584" s="33" t="s">
        <v>1710</v>
      </c>
    </row>
    <row r="585" spans="18:18">
      <c r="R585" s="33" t="s">
        <v>1711</v>
      </c>
    </row>
    <row r="586" spans="18:18">
      <c r="R586" s="33" t="s">
        <v>1712</v>
      </c>
    </row>
    <row r="587" spans="18:18">
      <c r="R587" s="33" t="s">
        <v>1713</v>
      </c>
    </row>
    <row r="588" spans="18:18">
      <c r="R588" s="33" t="s">
        <v>1714</v>
      </c>
    </row>
    <row r="589" spans="18:18">
      <c r="R589" s="33" t="s">
        <v>1715</v>
      </c>
    </row>
    <row r="590" spans="18:18">
      <c r="R590" s="33" t="s">
        <v>1716</v>
      </c>
    </row>
    <row r="591" spans="18:18">
      <c r="R591" s="33" t="s">
        <v>1717</v>
      </c>
    </row>
    <row r="592" spans="18:18">
      <c r="R592" s="33" t="s">
        <v>1718</v>
      </c>
    </row>
    <row r="593" spans="18:18">
      <c r="R593" s="33" t="s">
        <v>1719</v>
      </c>
    </row>
    <row r="594" spans="18:18">
      <c r="R594" s="33" t="s">
        <v>1720</v>
      </c>
    </row>
    <row r="595" spans="18:18">
      <c r="R595" s="33" t="s">
        <v>1721</v>
      </c>
    </row>
    <row r="596" spans="18:18">
      <c r="R596" s="33" t="s">
        <v>1722</v>
      </c>
    </row>
    <row r="597" spans="18:18">
      <c r="R597" s="33" t="s">
        <v>1723</v>
      </c>
    </row>
    <row r="598" spans="18:18">
      <c r="R598" s="33" t="s">
        <v>1724</v>
      </c>
    </row>
    <row r="599" spans="18:18">
      <c r="R599" s="33" t="s">
        <v>1725</v>
      </c>
    </row>
    <row r="600" spans="18:18">
      <c r="R600" s="33" t="s">
        <v>1726</v>
      </c>
    </row>
    <row r="601" spans="18:18">
      <c r="R601" s="33" t="s">
        <v>1727</v>
      </c>
    </row>
    <row r="602" spans="18:18">
      <c r="R602" s="33" t="s">
        <v>1728</v>
      </c>
    </row>
    <row r="603" spans="18:18">
      <c r="R603" s="33" t="s">
        <v>1729</v>
      </c>
    </row>
    <row r="604" spans="18:18">
      <c r="R604" s="33" t="s">
        <v>1730</v>
      </c>
    </row>
    <row r="605" spans="18:18">
      <c r="R605" s="33" t="s">
        <v>1731</v>
      </c>
    </row>
    <row r="606" spans="18:18">
      <c r="R606" s="33" t="s">
        <v>1732</v>
      </c>
    </row>
    <row r="607" spans="18:18">
      <c r="R607" s="33" t="s">
        <v>1733</v>
      </c>
    </row>
    <row r="608" spans="18:18">
      <c r="R608" s="33" t="s">
        <v>1734</v>
      </c>
    </row>
    <row r="609" spans="18:18">
      <c r="R609" s="33" t="s">
        <v>1735</v>
      </c>
    </row>
    <row r="610" spans="18:18">
      <c r="R610" s="33" t="s">
        <v>1736</v>
      </c>
    </row>
    <row r="611" spans="18:18">
      <c r="R611" s="33" t="s">
        <v>1737</v>
      </c>
    </row>
    <row r="612" spans="18:18">
      <c r="R612" s="33" t="s">
        <v>1738</v>
      </c>
    </row>
    <row r="613" spans="18:18">
      <c r="R613" s="33" t="s">
        <v>1739</v>
      </c>
    </row>
    <row r="614" spans="18:18">
      <c r="R614" s="33" t="s">
        <v>1740</v>
      </c>
    </row>
    <row r="615" spans="18:18">
      <c r="R615" s="33" t="s">
        <v>1741</v>
      </c>
    </row>
    <row r="616" spans="18:18">
      <c r="R616" s="33" t="s">
        <v>1742</v>
      </c>
    </row>
    <row r="617" spans="18:18">
      <c r="R617" s="33" t="s">
        <v>1743</v>
      </c>
    </row>
    <row r="618" spans="18:18">
      <c r="R618" s="33" t="s">
        <v>1744</v>
      </c>
    </row>
    <row r="619" spans="18:18">
      <c r="R619" s="33" t="s">
        <v>1745</v>
      </c>
    </row>
    <row r="620" spans="18:18">
      <c r="R620" s="33" t="s">
        <v>1746</v>
      </c>
    </row>
    <row r="621" spans="18:18">
      <c r="R621" s="33" t="s">
        <v>1747</v>
      </c>
    </row>
    <row r="622" spans="18:18">
      <c r="R622" s="33" t="s">
        <v>1748</v>
      </c>
    </row>
    <row r="623" spans="18:18">
      <c r="R623" s="33" t="s">
        <v>1749</v>
      </c>
    </row>
    <row r="624" spans="18:18">
      <c r="R624" s="33" t="s">
        <v>1750</v>
      </c>
    </row>
    <row r="625" spans="18:18">
      <c r="R625" s="33" t="s">
        <v>1751</v>
      </c>
    </row>
    <row r="626" spans="18:18">
      <c r="R626" s="33" t="s">
        <v>1752</v>
      </c>
    </row>
    <row r="627" spans="18:18">
      <c r="R627" s="33" t="s">
        <v>1753</v>
      </c>
    </row>
    <row r="628" spans="18:18">
      <c r="R628" s="33" t="s">
        <v>1754</v>
      </c>
    </row>
    <row r="629" spans="18:18">
      <c r="R629" s="33" t="s">
        <v>1755</v>
      </c>
    </row>
    <row r="630" spans="18:18">
      <c r="R630" s="33" t="s">
        <v>1756</v>
      </c>
    </row>
    <row r="631" spans="18:18">
      <c r="R631" s="33" t="s">
        <v>1757</v>
      </c>
    </row>
    <row r="632" spans="18:18">
      <c r="R632" s="33" t="s">
        <v>1758</v>
      </c>
    </row>
    <row r="633" spans="18:18">
      <c r="R633" s="33" t="s">
        <v>1759</v>
      </c>
    </row>
    <row r="634" spans="18:18">
      <c r="R634" s="33" t="s">
        <v>1760</v>
      </c>
    </row>
    <row r="635" spans="18:18">
      <c r="R635" s="33" t="s">
        <v>1761</v>
      </c>
    </row>
    <row r="636" spans="18:18">
      <c r="R636" s="33" t="s">
        <v>1762</v>
      </c>
    </row>
    <row r="637" spans="18:18">
      <c r="R637" s="33" t="s">
        <v>1763</v>
      </c>
    </row>
    <row r="638" spans="18:18">
      <c r="R638" s="33" t="s">
        <v>1764</v>
      </c>
    </row>
    <row r="639" spans="18:18">
      <c r="R639" s="33" t="s">
        <v>1765</v>
      </c>
    </row>
    <row r="640" spans="18:18">
      <c r="R640" s="33" t="s">
        <v>1766</v>
      </c>
    </row>
    <row r="641" spans="18:18">
      <c r="R641" s="33" t="s">
        <v>1767</v>
      </c>
    </row>
    <row r="642" spans="18:18">
      <c r="R642" s="33" t="s">
        <v>1768</v>
      </c>
    </row>
    <row r="643" spans="18:18">
      <c r="R643" s="33" t="s">
        <v>1769</v>
      </c>
    </row>
    <row r="644" spans="18:18">
      <c r="R644" s="33" t="s">
        <v>1770</v>
      </c>
    </row>
    <row r="645" spans="18:18">
      <c r="R645" s="33" t="s">
        <v>1771</v>
      </c>
    </row>
    <row r="646" spans="18:18">
      <c r="R646" s="33" t="s">
        <v>1772</v>
      </c>
    </row>
    <row r="647" spans="18:18">
      <c r="R647" s="33" t="s">
        <v>1773</v>
      </c>
    </row>
    <row r="648" spans="18:18">
      <c r="R648" s="33" t="s">
        <v>1774</v>
      </c>
    </row>
    <row r="649" spans="18:18">
      <c r="R649" s="33" t="s">
        <v>1775</v>
      </c>
    </row>
    <row r="650" spans="18:18">
      <c r="R650" s="33" t="s">
        <v>1776</v>
      </c>
    </row>
    <row r="651" spans="18:18">
      <c r="R651" s="33" t="s">
        <v>1777</v>
      </c>
    </row>
    <row r="652" spans="18:18">
      <c r="R652" s="33" t="s">
        <v>1778</v>
      </c>
    </row>
    <row r="653" spans="18:18">
      <c r="R653" s="33" t="s">
        <v>1779</v>
      </c>
    </row>
    <row r="654" spans="18:18">
      <c r="R654" s="33" t="s">
        <v>1780</v>
      </c>
    </row>
    <row r="655" spans="18:18">
      <c r="R655" s="33" t="s">
        <v>1781</v>
      </c>
    </row>
    <row r="656" spans="18:18">
      <c r="R656" s="33" t="s">
        <v>1782</v>
      </c>
    </row>
    <row r="657" spans="18:18">
      <c r="R657" s="33" t="s">
        <v>1783</v>
      </c>
    </row>
    <row r="658" spans="18:18">
      <c r="R658" s="33" t="s">
        <v>1784</v>
      </c>
    </row>
    <row r="659" spans="18:18">
      <c r="R659" s="33" t="s">
        <v>1785</v>
      </c>
    </row>
    <row r="660" spans="18:18">
      <c r="R660" s="33" t="s">
        <v>1786</v>
      </c>
    </row>
    <row r="661" spans="18:18">
      <c r="R661" s="33" t="s">
        <v>1787</v>
      </c>
    </row>
    <row r="662" spans="18:18">
      <c r="R662" s="33" t="s">
        <v>1788</v>
      </c>
    </row>
    <row r="663" spans="18:18">
      <c r="R663" s="33" t="s">
        <v>1789</v>
      </c>
    </row>
    <row r="664" spans="18:18">
      <c r="R664" s="33" t="s">
        <v>1790</v>
      </c>
    </row>
    <row r="665" spans="18:18">
      <c r="R665" s="33" t="s">
        <v>1791</v>
      </c>
    </row>
    <row r="666" spans="18:18">
      <c r="R666" s="33" t="s">
        <v>1792</v>
      </c>
    </row>
    <row r="667" spans="18:18">
      <c r="R667" s="33" t="s">
        <v>1793</v>
      </c>
    </row>
    <row r="668" spans="18:18">
      <c r="R668" s="33" t="s">
        <v>1794</v>
      </c>
    </row>
    <row r="669" spans="18:18">
      <c r="R669" s="33" t="s">
        <v>1795</v>
      </c>
    </row>
    <row r="670" spans="18:18">
      <c r="R670" s="33" t="s">
        <v>1796</v>
      </c>
    </row>
    <row r="671" spans="18:18">
      <c r="R671" s="33" t="s">
        <v>1797</v>
      </c>
    </row>
    <row r="672" spans="18:18">
      <c r="R672" s="33" t="s">
        <v>1798</v>
      </c>
    </row>
    <row r="673" spans="18:18">
      <c r="R673" s="33" t="s">
        <v>1799</v>
      </c>
    </row>
    <row r="674" spans="18:18">
      <c r="R674" s="33" t="s">
        <v>1800</v>
      </c>
    </row>
    <row r="675" spans="18:18">
      <c r="R675" s="33" t="s">
        <v>1801</v>
      </c>
    </row>
    <row r="676" spans="18:18">
      <c r="R676" s="33" t="s">
        <v>1802</v>
      </c>
    </row>
    <row r="677" spans="18:18">
      <c r="R677" s="33" t="s">
        <v>1803</v>
      </c>
    </row>
    <row r="678" spans="18:18">
      <c r="R678" s="33" t="s">
        <v>1804</v>
      </c>
    </row>
    <row r="679" spans="18:18">
      <c r="R679" s="33" t="s">
        <v>1805</v>
      </c>
    </row>
    <row r="680" spans="18:18">
      <c r="R680" s="33" t="s">
        <v>1806</v>
      </c>
    </row>
    <row r="681" spans="18:18">
      <c r="R681" s="33" t="s">
        <v>1807</v>
      </c>
    </row>
    <row r="682" spans="18:18">
      <c r="R682" s="33" t="s">
        <v>1808</v>
      </c>
    </row>
    <row r="683" spans="18:18">
      <c r="R683" s="33" t="s">
        <v>1809</v>
      </c>
    </row>
    <row r="684" spans="18:18">
      <c r="R684" s="33" t="s">
        <v>1810</v>
      </c>
    </row>
    <row r="685" spans="18:18">
      <c r="R685" s="33" t="s">
        <v>1811</v>
      </c>
    </row>
    <row r="686" spans="18:18">
      <c r="R686" s="33" t="s">
        <v>1812</v>
      </c>
    </row>
    <row r="687" spans="18:18">
      <c r="R687" s="33" t="s">
        <v>1813</v>
      </c>
    </row>
    <row r="688" spans="18:18">
      <c r="R688" s="33" t="s">
        <v>1814</v>
      </c>
    </row>
    <row r="689" spans="18:18">
      <c r="R689" s="33" t="s">
        <v>1815</v>
      </c>
    </row>
    <row r="690" spans="18:18">
      <c r="R690" s="33" t="s">
        <v>1816</v>
      </c>
    </row>
    <row r="691" spans="18:18">
      <c r="R691" s="33" t="s">
        <v>1817</v>
      </c>
    </row>
    <row r="692" spans="18:18">
      <c r="R692" s="33" t="s">
        <v>1818</v>
      </c>
    </row>
    <row r="693" spans="18:18">
      <c r="R693" s="33" t="s">
        <v>1819</v>
      </c>
    </row>
    <row r="694" spans="18:18">
      <c r="R694" s="33" t="s">
        <v>1820</v>
      </c>
    </row>
    <row r="695" spans="18:18">
      <c r="R695" s="33" t="s">
        <v>1821</v>
      </c>
    </row>
    <row r="696" spans="18:18">
      <c r="R696" s="33" t="s">
        <v>1822</v>
      </c>
    </row>
    <row r="697" spans="18:18">
      <c r="R697" s="33" t="s">
        <v>1823</v>
      </c>
    </row>
    <row r="698" spans="18:18">
      <c r="R698" s="33" t="s">
        <v>1824</v>
      </c>
    </row>
    <row r="699" spans="18:18">
      <c r="R699" s="33" t="s">
        <v>1825</v>
      </c>
    </row>
    <row r="700" spans="18:18">
      <c r="R700" s="33" t="s">
        <v>1826</v>
      </c>
    </row>
    <row r="701" spans="18:18">
      <c r="R701" s="33" t="s">
        <v>1827</v>
      </c>
    </row>
    <row r="702" spans="18:18">
      <c r="R702" s="33" t="s">
        <v>1828</v>
      </c>
    </row>
    <row r="703" spans="18:18">
      <c r="R703" s="33" t="s">
        <v>1829</v>
      </c>
    </row>
    <row r="704" spans="18:18">
      <c r="R704" s="33" t="s">
        <v>1830</v>
      </c>
    </row>
    <row r="705" spans="18:18">
      <c r="R705" s="33" t="s">
        <v>1831</v>
      </c>
    </row>
    <row r="706" spans="18:18">
      <c r="R706" s="33" t="s">
        <v>1832</v>
      </c>
    </row>
    <row r="707" spans="18:18">
      <c r="R707" s="33" t="s">
        <v>1833</v>
      </c>
    </row>
    <row r="708" spans="18:18">
      <c r="R708" s="33" t="s">
        <v>1834</v>
      </c>
    </row>
    <row r="709" spans="18:18">
      <c r="R709" s="33" t="s">
        <v>1835</v>
      </c>
    </row>
    <row r="710" spans="18:18">
      <c r="R710" s="33" t="s">
        <v>1836</v>
      </c>
    </row>
    <row r="711" spans="18:18">
      <c r="R711" s="33" t="s">
        <v>1837</v>
      </c>
    </row>
    <row r="712" spans="18:18">
      <c r="R712" s="33" t="s">
        <v>1838</v>
      </c>
    </row>
    <row r="713" spans="18:18">
      <c r="R713" s="33" t="s">
        <v>1839</v>
      </c>
    </row>
    <row r="714" spans="18:18">
      <c r="R714" s="33" t="s">
        <v>1840</v>
      </c>
    </row>
    <row r="715" spans="18:18">
      <c r="R715" s="33" t="s">
        <v>1841</v>
      </c>
    </row>
    <row r="716" spans="18:18">
      <c r="R716" s="33" t="s">
        <v>1842</v>
      </c>
    </row>
    <row r="717" spans="18:18">
      <c r="R717" s="33" t="s">
        <v>1843</v>
      </c>
    </row>
    <row r="718" spans="18:18">
      <c r="R718" s="33" t="s">
        <v>1844</v>
      </c>
    </row>
    <row r="719" spans="18:18">
      <c r="R719" s="33" t="s">
        <v>1845</v>
      </c>
    </row>
    <row r="720" spans="18:18">
      <c r="R720" s="33" t="s">
        <v>1846</v>
      </c>
    </row>
    <row r="721" spans="18:18">
      <c r="R721" s="33" t="s">
        <v>1847</v>
      </c>
    </row>
    <row r="722" spans="18:18">
      <c r="R722" s="33" t="s">
        <v>1848</v>
      </c>
    </row>
    <row r="723" spans="18:18">
      <c r="R723" s="33" t="s">
        <v>1849</v>
      </c>
    </row>
    <row r="724" spans="18:18">
      <c r="R724" s="33" t="s">
        <v>1850</v>
      </c>
    </row>
    <row r="725" spans="18:18">
      <c r="R725" s="33" t="s">
        <v>1851</v>
      </c>
    </row>
    <row r="726" spans="18:18">
      <c r="R726" s="33" t="s">
        <v>1852</v>
      </c>
    </row>
    <row r="727" spans="18:18">
      <c r="R727" s="33" t="s">
        <v>1853</v>
      </c>
    </row>
    <row r="728" spans="18:18">
      <c r="R728" s="33" t="s">
        <v>1854</v>
      </c>
    </row>
    <row r="729" spans="18:18">
      <c r="R729" s="33" t="s">
        <v>1855</v>
      </c>
    </row>
    <row r="730" spans="18:18">
      <c r="R730" s="33" t="s">
        <v>1856</v>
      </c>
    </row>
    <row r="731" spans="18:18">
      <c r="R731" s="33" t="s">
        <v>1857</v>
      </c>
    </row>
    <row r="732" spans="18:18">
      <c r="R732" s="33" t="s">
        <v>1858</v>
      </c>
    </row>
    <row r="733" spans="18:18">
      <c r="R733" s="33" t="s">
        <v>1859</v>
      </c>
    </row>
    <row r="734" spans="18:18">
      <c r="R734" s="33" t="s">
        <v>1860</v>
      </c>
    </row>
    <row r="735" spans="18:18">
      <c r="R735" s="33" t="s">
        <v>1861</v>
      </c>
    </row>
    <row r="736" spans="18:18">
      <c r="R736" s="33" t="s">
        <v>1862</v>
      </c>
    </row>
    <row r="737" spans="18:18">
      <c r="R737" s="33" t="s">
        <v>1863</v>
      </c>
    </row>
    <row r="738" spans="18:18">
      <c r="R738" s="33" t="s">
        <v>1864</v>
      </c>
    </row>
    <row r="739" spans="18:18">
      <c r="R739" s="33" t="s">
        <v>1865</v>
      </c>
    </row>
    <row r="740" spans="18:18">
      <c r="R740" s="33" t="s">
        <v>1866</v>
      </c>
    </row>
    <row r="741" spans="18:18">
      <c r="R741" s="33" t="s">
        <v>1867</v>
      </c>
    </row>
    <row r="742" spans="18:18">
      <c r="R742" s="33" t="s">
        <v>1868</v>
      </c>
    </row>
    <row r="743" spans="18:18">
      <c r="R743" s="33" t="s">
        <v>1869</v>
      </c>
    </row>
    <row r="744" spans="18:18">
      <c r="R744" s="33" t="s">
        <v>1870</v>
      </c>
    </row>
    <row r="745" spans="18:18">
      <c r="R745" s="33" t="s">
        <v>1871</v>
      </c>
    </row>
    <row r="746" spans="18:18">
      <c r="R746" s="33" t="s">
        <v>1872</v>
      </c>
    </row>
    <row r="747" spans="18:18">
      <c r="R747" s="33" t="s">
        <v>1873</v>
      </c>
    </row>
    <row r="748" spans="18:18">
      <c r="R748" s="33" t="s">
        <v>1874</v>
      </c>
    </row>
    <row r="749" spans="18:18">
      <c r="R749" s="33" t="s">
        <v>1875</v>
      </c>
    </row>
    <row r="750" spans="18:18">
      <c r="R750" s="33" t="s">
        <v>1876</v>
      </c>
    </row>
    <row r="751" spans="18:18">
      <c r="R751" s="33" t="s">
        <v>1877</v>
      </c>
    </row>
    <row r="752" spans="18:18">
      <c r="R752" s="33" t="s">
        <v>1878</v>
      </c>
    </row>
    <row r="753" spans="18:18">
      <c r="R753" s="33" t="s">
        <v>1879</v>
      </c>
    </row>
    <row r="754" spans="18:18">
      <c r="R754" s="33" t="s">
        <v>1880</v>
      </c>
    </row>
    <row r="755" spans="18:18">
      <c r="R755" s="33" t="s">
        <v>1881</v>
      </c>
    </row>
    <row r="756" spans="18:18">
      <c r="R756" s="33" t="s">
        <v>1882</v>
      </c>
    </row>
    <row r="757" spans="18:18">
      <c r="R757" s="33" t="s">
        <v>1883</v>
      </c>
    </row>
    <row r="758" spans="18:18">
      <c r="R758" s="33" t="s">
        <v>1884</v>
      </c>
    </row>
    <row r="759" spans="18:18">
      <c r="R759" s="33" t="s">
        <v>1885</v>
      </c>
    </row>
    <row r="760" spans="18:18">
      <c r="R760" s="33" t="s">
        <v>1886</v>
      </c>
    </row>
    <row r="761" spans="18:18">
      <c r="R761" s="33" t="s">
        <v>1887</v>
      </c>
    </row>
    <row r="762" spans="18:18">
      <c r="R762" s="33" t="s">
        <v>1888</v>
      </c>
    </row>
    <row r="763" spans="18:18">
      <c r="R763" s="33" t="s">
        <v>1889</v>
      </c>
    </row>
    <row r="764" spans="18:18">
      <c r="R764" s="33" t="s">
        <v>1890</v>
      </c>
    </row>
    <row r="765" spans="18:18">
      <c r="R765" s="33" t="s">
        <v>1891</v>
      </c>
    </row>
    <row r="766" spans="18:18">
      <c r="R766" s="33" t="s">
        <v>1892</v>
      </c>
    </row>
    <row r="767" spans="18:18">
      <c r="R767" s="33" t="s">
        <v>1893</v>
      </c>
    </row>
    <row r="768" spans="18:18">
      <c r="R768" s="33" t="s">
        <v>1894</v>
      </c>
    </row>
    <row r="769" spans="18:18">
      <c r="R769" s="33" t="s">
        <v>1895</v>
      </c>
    </row>
    <row r="770" spans="18:18">
      <c r="R770" s="33" t="s">
        <v>1896</v>
      </c>
    </row>
    <row r="771" spans="18:18">
      <c r="R771" s="33" t="s">
        <v>1897</v>
      </c>
    </row>
    <row r="772" spans="18:18">
      <c r="R772" s="33" t="s">
        <v>1898</v>
      </c>
    </row>
    <row r="773" spans="18:18">
      <c r="R773" s="33" t="s">
        <v>1899</v>
      </c>
    </row>
    <row r="774" spans="18:18">
      <c r="R774" s="33" t="s">
        <v>1900</v>
      </c>
    </row>
    <row r="775" spans="18:18">
      <c r="R775" s="33" t="s">
        <v>1901</v>
      </c>
    </row>
    <row r="776" spans="18:18">
      <c r="R776" s="33" t="s">
        <v>1902</v>
      </c>
    </row>
    <row r="777" spans="18:18">
      <c r="R777" s="33" t="s">
        <v>1903</v>
      </c>
    </row>
    <row r="778" spans="18:18">
      <c r="R778" s="33" t="s">
        <v>1904</v>
      </c>
    </row>
    <row r="779" spans="18:18">
      <c r="R779" s="33" t="s">
        <v>1905</v>
      </c>
    </row>
    <row r="780" spans="18:18">
      <c r="R780" s="33" t="s">
        <v>1906</v>
      </c>
    </row>
    <row r="781" spans="18:18">
      <c r="R781" s="33" t="s">
        <v>1907</v>
      </c>
    </row>
    <row r="782" spans="18:18">
      <c r="R782" s="33" t="s">
        <v>1908</v>
      </c>
    </row>
    <row r="783" spans="18:18">
      <c r="R783" s="33" t="s">
        <v>1909</v>
      </c>
    </row>
    <row r="784" spans="18:18">
      <c r="R784" s="33" t="s">
        <v>1910</v>
      </c>
    </row>
    <row r="785" spans="18:18">
      <c r="R785" s="33" t="s">
        <v>1911</v>
      </c>
    </row>
    <row r="786" spans="18:18">
      <c r="R786" s="33" t="s">
        <v>1912</v>
      </c>
    </row>
    <row r="787" spans="18:18">
      <c r="R787" s="33" t="s">
        <v>1913</v>
      </c>
    </row>
    <row r="788" spans="18:18">
      <c r="R788" s="33" t="s">
        <v>1914</v>
      </c>
    </row>
    <row r="789" spans="18:18">
      <c r="R789" s="33" t="s">
        <v>1915</v>
      </c>
    </row>
    <row r="790" spans="18:18">
      <c r="R790" s="33" t="s">
        <v>1916</v>
      </c>
    </row>
    <row r="791" spans="18:18">
      <c r="R791" s="33" t="s">
        <v>1917</v>
      </c>
    </row>
    <row r="792" spans="18:18">
      <c r="R792" s="33" t="s">
        <v>1918</v>
      </c>
    </row>
    <row r="793" spans="18:18">
      <c r="R793" s="33" t="s">
        <v>1919</v>
      </c>
    </row>
    <row r="794" spans="18:18">
      <c r="R794" s="33" t="s">
        <v>1920</v>
      </c>
    </row>
    <row r="795" spans="18:18">
      <c r="R795" s="33" t="s">
        <v>1921</v>
      </c>
    </row>
    <row r="796" spans="18:18">
      <c r="R796" s="33" t="s">
        <v>1922</v>
      </c>
    </row>
    <row r="797" spans="18:18">
      <c r="R797" s="33" t="s">
        <v>1923</v>
      </c>
    </row>
    <row r="798" spans="18:18">
      <c r="R798" s="33" t="s">
        <v>1924</v>
      </c>
    </row>
    <row r="799" spans="18:18">
      <c r="R799" s="33" t="s">
        <v>1925</v>
      </c>
    </row>
    <row r="800" spans="18:18">
      <c r="R800" s="33" t="s">
        <v>1926</v>
      </c>
    </row>
    <row r="801" spans="18:18">
      <c r="R801" s="33" t="s">
        <v>1927</v>
      </c>
    </row>
    <row r="802" spans="18:18">
      <c r="R802" s="33" t="s">
        <v>1928</v>
      </c>
    </row>
    <row r="803" spans="18:18">
      <c r="R803" s="33" t="s">
        <v>1929</v>
      </c>
    </row>
    <row r="804" spans="18:18">
      <c r="R804" s="33" t="s">
        <v>1930</v>
      </c>
    </row>
    <row r="805" spans="18:18">
      <c r="R805" s="33" t="s">
        <v>1931</v>
      </c>
    </row>
    <row r="806" spans="18:18">
      <c r="R806" s="33" t="s">
        <v>1932</v>
      </c>
    </row>
    <row r="807" spans="18:18">
      <c r="R807" s="33" t="s">
        <v>1933</v>
      </c>
    </row>
    <row r="808" spans="18:18">
      <c r="R808" s="33" t="s">
        <v>1934</v>
      </c>
    </row>
    <row r="809" spans="18:18">
      <c r="R809" s="33" t="s">
        <v>1935</v>
      </c>
    </row>
    <row r="810" spans="18:18">
      <c r="R810" s="33" t="s">
        <v>1936</v>
      </c>
    </row>
    <row r="811" spans="18:18">
      <c r="R811" s="33" t="s">
        <v>1937</v>
      </c>
    </row>
    <row r="812" spans="18:18">
      <c r="R812" s="33" t="s">
        <v>1938</v>
      </c>
    </row>
    <row r="813" spans="18:18">
      <c r="R813" s="33" t="s">
        <v>1939</v>
      </c>
    </row>
    <row r="814" spans="18:18">
      <c r="R814" s="33" t="s">
        <v>1940</v>
      </c>
    </row>
    <row r="815" spans="18:18">
      <c r="R815" s="33" t="s">
        <v>1941</v>
      </c>
    </row>
    <row r="816" spans="18:18">
      <c r="R816" s="33" t="s">
        <v>1942</v>
      </c>
    </row>
    <row r="817" spans="18:18">
      <c r="R817" s="33" t="s">
        <v>1943</v>
      </c>
    </row>
    <row r="818" spans="18:18">
      <c r="R818" s="33" t="s">
        <v>1944</v>
      </c>
    </row>
    <row r="819" spans="18:18">
      <c r="R819" s="33" t="s">
        <v>1945</v>
      </c>
    </row>
    <row r="820" spans="18:18">
      <c r="R820" s="33" t="s">
        <v>1946</v>
      </c>
    </row>
    <row r="821" spans="18:18">
      <c r="R821" s="33" t="s">
        <v>1947</v>
      </c>
    </row>
    <row r="822" spans="18:18">
      <c r="R822" s="33" t="s">
        <v>1948</v>
      </c>
    </row>
    <row r="823" spans="18:18">
      <c r="R823" s="33" t="s">
        <v>1949</v>
      </c>
    </row>
    <row r="824" spans="18:18">
      <c r="R824" s="33" t="s">
        <v>1950</v>
      </c>
    </row>
    <row r="825" spans="18:18">
      <c r="R825" s="33" t="s">
        <v>1951</v>
      </c>
    </row>
    <row r="826" spans="18:18">
      <c r="R826" s="33" t="s">
        <v>1952</v>
      </c>
    </row>
    <row r="827" spans="18:18">
      <c r="R827" s="33" t="s">
        <v>1953</v>
      </c>
    </row>
    <row r="828" spans="18:18">
      <c r="R828" s="33" t="s">
        <v>1954</v>
      </c>
    </row>
    <row r="829" spans="18:18">
      <c r="R829" s="33" t="s">
        <v>1955</v>
      </c>
    </row>
    <row r="830" spans="18:18">
      <c r="R830" s="33" t="s">
        <v>1956</v>
      </c>
    </row>
    <row r="831" spans="18:18">
      <c r="R831" s="33" t="s">
        <v>1957</v>
      </c>
    </row>
    <row r="832" spans="18:18">
      <c r="R832" s="33" t="s">
        <v>1958</v>
      </c>
    </row>
    <row r="833" spans="18:18">
      <c r="R833" s="33" t="s">
        <v>1959</v>
      </c>
    </row>
    <row r="834" spans="18:18">
      <c r="R834" s="33" t="s">
        <v>1960</v>
      </c>
    </row>
    <row r="835" spans="18:18">
      <c r="R835" s="33" t="s">
        <v>1961</v>
      </c>
    </row>
    <row r="836" spans="18:18">
      <c r="R836" s="33" t="s">
        <v>1962</v>
      </c>
    </row>
    <row r="837" spans="18:18">
      <c r="R837" s="33" t="s">
        <v>1963</v>
      </c>
    </row>
    <row r="838" spans="18:18">
      <c r="R838" s="33" t="s">
        <v>1964</v>
      </c>
    </row>
    <row r="839" spans="18:18">
      <c r="R839" s="33" t="s">
        <v>1965</v>
      </c>
    </row>
    <row r="840" spans="18:18">
      <c r="R840" s="33" t="s">
        <v>1966</v>
      </c>
    </row>
    <row r="841" spans="18:18">
      <c r="R841" s="33" t="s">
        <v>1967</v>
      </c>
    </row>
    <row r="842" spans="18:18">
      <c r="R842" s="33" t="s">
        <v>1968</v>
      </c>
    </row>
    <row r="843" spans="18:18">
      <c r="R843" s="33" t="s">
        <v>1969</v>
      </c>
    </row>
    <row r="844" spans="18:18">
      <c r="R844" s="33" t="s">
        <v>1970</v>
      </c>
    </row>
    <row r="845" spans="18:18">
      <c r="R845" s="33" t="s">
        <v>1971</v>
      </c>
    </row>
    <row r="846" spans="18:18">
      <c r="R846" s="33" t="s">
        <v>1972</v>
      </c>
    </row>
    <row r="847" spans="18:18">
      <c r="R847" s="33" t="s">
        <v>1973</v>
      </c>
    </row>
    <row r="848" spans="18:18">
      <c r="R848" s="33" t="s">
        <v>1974</v>
      </c>
    </row>
    <row r="849" spans="18:18">
      <c r="R849" s="33" t="s">
        <v>1975</v>
      </c>
    </row>
    <row r="850" spans="18:18">
      <c r="R850" s="33" t="s">
        <v>1976</v>
      </c>
    </row>
    <row r="851" spans="18:18">
      <c r="R851" s="33" t="s">
        <v>1977</v>
      </c>
    </row>
    <row r="852" spans="18:18">
      <c r="R852" s="33" t="s">
        <v>1978</v>
      </c>
    </row>
    <row r="853" spans="18:18">
      <c r="R853" s="33" t="s">
        <v>1979</v>
      </c>
    </row>
    <row r="854" spans="18:18">
      <c r="R854" s="33" t="s">
        <v>1980</v>
      </c>
    </row>
    <row r="855" spans="18:18">
      <c r="R855" s="33" t="s">
        <v>1981</v>
      </c>
    </row>
    <row r="856" spans="18:18">
      <c r="R856" s="33" t="s">
        <v>1982</v>
      </c>
    </row>
    <row r="857" spans="18:18">
      <c r="R857" s="33" t="s">
        <v>1983</v>
      </c>
    </row>
    <row r="858" spans="18:18">
      <c r="R858" s="33" t="s">
        <v>1984</v>
      </c>
    </row>
    <row r="859" spans="18:18">
      <c r="R859" s="33" t="s">
        <v>1985</v>
      </c>
    </row>
    <row r="860" spans="18:18">
      <c r="R860" s="33" t="s">
        <v>1986</v>
      </c>
    </row>
    <row r="861" spans="18:18">
      <c r="R861" s="33" t="s">
        <v>1987</v>
      </c>
    </row>
    <row r="862" spans="18:18">
      <c r="R862" s="33" t="s">
        <v>1988</v>
      </c>
    </row>
    <row r="863" spans="18:18">
      <c r="R863" s="33" t="s">
        <v>1989</v>
      </c>
    </row>
    <row r="864" spans="18:18">
      <c r="R864" s="33" t="s">
        <v>1990</v>
      </c>
    </row>
    <row r="865" spans="18:18">
      <c r="R865" s="33" t="s">
        <v>1991</v>
      </c>
    </row>
    <row r="866" spans="18:18">
      <c r="R866" s="33" t="s">
        <v>1992</v>
      </c>
    </row>
    <row r="867" spans="18:18">
      <c r="R867" s="33" t="s">
        <v>1993</v>
      </c>
    </row>
    <row r="868" spans="18:18">
      <c r="R868" s="33" t="s">
        <v>1994</v>
      </c>
    </row>
    <row r="869" spans="18:18">
      <c r="R869" s="33" t="s">
        <v>1995</v>
      </c>
    </row>
    <row r="870" spans="18:18">
      <c r="R870" s="33" t="s">
        <v>1996</v>
      </c>
    </row>
    <row r="871" spans="18:18">
      <c r="R871" s="33" t="s">
        <v>1997</v>
      </c>
    </row>
    <row r="872" spans="18:18">
      <c r="R872" s="33" t="s">
        <v>1998</v>
      </c>
    </row>
    <row r="873" spans="18:18">
      <c r="R873" s="33" t="s">
        <v>1999</v>
      </c>
    </row>
    <row r="874" spans="18:18">
      <c r="R874" s="33" t="s">
        <v>2000</v>
      </c>
    </row>
    <row r="875" spans="18:18">
      <c r="R875" s="33" t="s">
        <v>2001</v>
      </c>
    </row>
    <row r="876" spans="18:18">
      <c r="R876" s="33" t="s">
        <v>2002</v>
      </c>
    </row>
    <row r="877" spans="18:18">
      <c r="R877" s="33" t="s">
        <v>2003</v>
      </c>
    </row>
    <row r="878" spans="18:18">
      <c r="R878" s="33" t="s">
        <v>2004</v>
      </c>
    </row>
    <row r="879" spans="18:18">
      <c r="R879" s="33" t="s">
        <v>2005</v>
      </c>
    </row>
    <row r="880" spans="18:18">
      <c r="R880" s="33" t="s">
        <v>2006</v>
      </c>
    </row>
    <row r="881" spans="18:18">
      <c r="R881" s="33" t="s">
        <v>2007</v>
      </c>
    </row>
    <row r="882" spans="18:18">
      <c r="R882" s="33" t="s">
        <v>2008</v>
      </c>
    </row>
    <row r="883" spans="18:18">
      <c r="R883" s="33" t="s">
        <v>2009</v>
      </c>
    </row>
    <row r="884" spans="18:18">
      <c r="R884" s="33" t="s">
        <v>2010</v>
      </c>
    </row>
    <row r="885" spans="18:18">
      <c r="R885" s="33" t="s">
        <v>2011</v>
      </c>
    </row>
    <row r="886" spans="18:18">
      <c r="R886" s="33" t="s">
        <v>2012</v>
      </c>
    </row>
    <row r="887" spans="18:18">
      <c r="R887" s="33" t="s">
        <v>2013</v>
      </c>
    </row>
    <row r="888" spans="18:18">
      <c r="R888" s="33" t="s">
        <v>2014</v>
      </c>
    </row>
    <row r="889" spans="18:18">
      <c r="R889" s="33" t="s">
        <v>2015</v>
      </c>
    </row>
    <row r="890" spans="18:18">
      <c r="R890" s="33" t="s">
        <v>2016</v>
      </c>
    </row>
    <row r="891" spans="18:18">
      <c r="R891" s="33" t="s">
        <v>2017</v>
      </c>
    </row>
    <row r="892" spans="18:18">
      <c r="R892" s="33" t="s">
        <v>2018</v>
      </c>
    </row>
    <row r="893" spans="18:18">
      <c r="R893" s="33" t="s">
        <v>2019</v>
      </c>
    </row>
    <row r="894" spans="18:18">
      <c r="R894" s="33" t="s">
        <v>2020</v>
      </c>
    </row>
    <row r="895" spans="18:18">
      <c r="R895" s="33" t="s">
        <v>2021</v>
      </c>
    </row>
    <row r="896" spans="18:18">
      <c r="R896" s="33" t="s">
        <v>2022</v>
      </c>
    </row>
    <row r="897" spans="18:18">
      <c r="R897" s="33" t="s">
        <v>2023</v>
      </c>
    </row>
    <row r="898" spans="18:18">
      <c r="R898" s="33" t="s">
        <v>2024</v>
      </c>
    </row>
    <row r="899" spans="18:18">
      <c r="R899" s="33" t="s">
        <v>2025</v>
      </c>
    </row>
    <row r="900" spans="18:18">
      <c r="R900" s="33" t="s">
        <v>2026</v>
      </c>
    </row>
    <row r="901" spans="18:18">
      <c r="R901" s="33" t="s">
        <v>2027</v>
      </c>
    </row>
    <row r="902" spans="18:18">
      <c r="R902" s="33" t="s">
        <v>2028</v>
      </c>
    </row>
    <row r="903" spans="18:18">
      <c r="R903" s="33" t="s">
        <v>2029</v>
      </c>
    </row>
    <row r="904" spans="18:18">
      <c r="R904" s="33" t="s">
        <v>2030</v>
      </c>
    </row>
    <row r="905" spans="18:18">
      <c r="R905" s="33" t="s">
        <v>2031</v>
      </c>
    </row>
    <row r="906" spans="18:18">
      <c r="R906" s="33" t="s">
        <v>2032</v>
      </c>
    </row>
    <row r="907" spans="18:18">
      <c r="R907" s="33" t="s">
        <v>2033</v>
      </c>
    </row>
    <row r="908" spans="18:18">
      <c r="R908" s="33" t="s">
        <v>2034</v>
      </c>
    </row>
    <row r="909" spans="18:18">
      <c r="R909" s="33" t="s">
        <v>2035</v>
      </c>
    </row>
    <row r="910" spans="18:18">
      <c r="R910" s="33" t="s">
        <v>2036</v>
      </c>
    </row>
    <row r="911" spans="18:18">
      <c r="R911" s="33" t="s">
        <v>2037</v>
      </c>
    </row>
    <row r="912" spans="18:18">
      <c r="R912" s="33" t="s">
        <v>2038</v>
      </c>
    </row>
    <row r="913" spans="18:18">
      <c r="R913" s="33" t="s">
        <v>2039</v>
      </c>
    </row>
    <row r="914" spans="18:18">
      <c r="R914" s="33" t="s">
        <v>2040</v>
      </c>
    </row>
    <row r="915" spans="18:18">
      <c r="R915" s="33" t="s">
        <v>2041</v>
      </c>
    </row>
    <row r="916" spans="18:18">
      <c r="R916" s="33" t="s">
        <v>2042</v>
      </c>
    </row>
    <row r="917" spans="18:18">
      <c r="R917" s="33" t="s">
        <v>2043</v>
      </c>
    </row>
    <row r="918" spans="18:18">
      <c r="R918" s="33" t="s">
        <v>2044</v>
      </c>
    </row>
    <row r="919" spans="18:18">
      <c r="R919" s="33" t="s">
        <v>2045</v>
      </c>
    </row>
    <row r="920" spans="18:18">
      <c r="R920" s="33" t="s">
        <v>2046</v>
      </c>
    </row>
    <row r="921" spans="18:18">
      <c r="R921" s="33" t="s">
        <v>2047</v>
      </c>
    </row>
    <row r="922" spans="18:18">
      <c r="R922" s="33" t="s">
        <v>2048</v>
      </c>
    </row>
    <row r="923" spans="18:18">
      <c r="R923" s="33" t="s">
        <v>2049</v>
      </c>
    </row>
    <row r="924" spans="18:18">
      <c r="R924" s="33" t="s">
        <v>2050</v>
      </c>
    </row>
    <row r="925" spans="18:18">
      <c r="R925" s="33" t="s">
        <v>2051</v>
      </c>
    </row>
    <row r="926" spans="18:18">
      <c r="R926" s="33" t="s">
        <v>2052</v>
      </c>
    </row>
    <row r="927" spans="18:18">
      <c r="R927" s="33" t="s">
        <v>2053</v>
      </c>
    </row>
    <row r="928" spans="18:18">
      <c r="R928" s="33" t="s">
        <v>2054</v>
      </c>
    </row>
    <row r="929" spans="18:18">
      <c r="R929" s="33" t="s">
        <v>2055</v>
      </c>
    </row>
    <row r="930" spans="18:18">
      <c r="R930" s="33" t="s">
        <v>2056</v>
      </c>
    </row>
    <row r="931" spans="18:18">
      <c r="R931" s="33" t="s">
        <v>2057</v>
      </c>
    </row>
    <row r="932" spans="18:18">
      <c r="R932" s="33" t="s">
        <v>2058</v>
      </c>
    </row>
    <row r="933" spans="18:18">
      <c r="R933" s="33" t="s">
        <v>2059</v>
      </c>
    </row>
    <row r="934" spans="18:18">
      <c r="R934" s="33" t="s">
        <v>2060</v>
      </c>
    </row>
    <row r="935" spans="18:18">
      <c r="R935" s="33" t="s">
        <v>2061</v>
      </c>
    </row>
    <row r="936" spans="18:18">
      <c r="R936" s="33" t="s">
        <v>2062</v>
      </c>
    </row>
    <row r="937" spans="18:18">
      <c r="R937" s="33" t="s">
        <v>2063</v>
      </c>
    </row>
    <row r="938" spans="18:18">
      <c r="R938" s="33" t="s">
        <v>2064</v>
      </c>
    </row>
    <row r="939" spans="18:18">
      <c r="R939" s="33" t="s">
        <v>2065</v>
      </c>
    </row>
    <row r="940" spans="18:18">
      <c r="R940" s="33" t="s">
        <v>2066</v>
      </c>
    </row>
    <row r="941" spans="18:18">
      <c r="R941" s="33" t="s">
        <v>2067</v>
      </c>
    </row>
    <row r="942" spans="18:18">
      <c r="R942" s="33" t="s">
        <v>2068</v>
      </c>
    </row>
    <row r="943" spans="18:18">
      <c r="R943" s="33" t="s">
        <v>2069</v>
      </c>
    </row>
    <row r="944" spans="18:18">
      <c r="R944" s="33" t="s">
        <v>2070</v>
      </c>
    </row>
    <row r="945" spans="18:18">
      <c r="R945" s="33" t="s">
        <v>2071</v>
      </c>
    </row>
    <row r="946" spans="18:18">
      <c r="R946" s="33" t="s">
        <v>2072</v>
      </c>
    </row>
    <row r="947" spans="18:18">
      <c r="R947" s="33" t="s">
        <v>2073</v>
      </c>
    </row>
    <row r="948" spans="18:18">
      <c r="R948" s="33" t="s">
        <v>2074</v>
      </c>
    </row>
    <row r="949" spans="18:18">
      <c r="R949" s="33" t="s">
        <v>2075</v>
      </c>
    </row>
    <row r="950" spans="18:18">
      <c r="R950" s="33" t="s">
        <v>2076</v>
      </c>
    </row>
    <row r="951" spans="18:18">
      <c r="R951" s="33" t="s">
        <v>2077</v>
      </c>
    </row>
    <row r="952" spans="18:18">
      <c r="R952" s="33" t="s">
        <v>2078</v>
      </c>
    </row>
    <row r="953" spans="18:18">
      <c r="R953" s="33" t="s">
        <v>2079</v>
      </c>
    </row>
    <row r="954" spans="18:18">
      <c r="R954" s="33" t="s">
        <v>2080</v>
      </c>
    </row>
    <row r="955" spans="18:18">
      <c r="R955" s="33" t="s">
        <v>2081</v>
      </c>
    </row>
    <row r="956" spans="18:18">
      <c r="R956" s="33" t="s">
        <v>2082</v>
      </c>
    </row>
    <row r="957" spans="18:18">
      <c r="R957" s="33" t="s">
        <v>2083</v>
      </c>
    </row>
    <row r="958" spans="18:18">
      <c r="R958" s="33" t="s">
        <v>2084</v>
      </c>
    </row>
    <row r="959" spans="18:18">
      <c r="R959" s="33" t="s">
        <v>2085</v>
      </c>
    </row>
    <row r="960" spans="18:18">
      <c r="R960" s="33" t="s">
        <v>2086</v>
      </c>
    </row>
    <row r="961" spans="18:18">
      <c r="R961" s="33" t="s">
        <v>2087</v>
      </c>
    </row>
    <row r="962" spans="18:18">
      <c r="R962" s="33" t="s">
        <v>2088</v>
      </c>
    </row>
    <row r="963" spans="18:18">
      <c r="R963" s="33" t="s">
        <v>2089</v>
      </c>
    </row>
    <row r="964" spans="18:18">
      <c r="R964" s="33" t="s">
        <v>2090</v>
      </c>
    </row>
    <row r="965" spans="18:18">
      <c r="R965" s="33" t="s">
        <v>2091</v>
      </c>
    </row>
    <row r="966" spans="18:18">
      <c r="R966" s="33" t="s">
        <v>2092</v>
      </c>
    </row>
    <row r="967" spans="18:18">
      <c r="R967" s="33" t="s">
        <v>2093</v>
      </c>
    </row>
    <row r="968" spans="18:18">
      <c r="R968" s="33" t="s">
        <v>2094</v>
      </c>
    </row>
    <row r="969" spans="18:18">
      <c r="R969" s="33" t="s">
        <v>2095</v>
      </c>
    </row>
    <row r="970" spans="18:18">
      <c r="R970" s="33" t="s">
        <v>2096</v>
      </c>
    </row>
    <row r="971" spans="18:18">
      <c r="R971" s="33" t="s">
        <v>2097</v>
      </c>
    </row>
    <row r="972" spans="18:18">
      <c r="R972" s="33" t="s">
        <v>2098</v>
      </c>
    </row>
    <row r="973" spans="18:18">
      <c r="R973" s="33" t="s">
        <v>2099</v>
      </c>
    </row>
    <row r="974" spans="18:18">
      <c r="R974" s="33" t="s">
        <v>2100</v>
      </c>
    </row>
    <row r="975" spans="18:18">
      <c r="R975" s="33" t="s">
        <v>2101</v>
      </c>
    </row>
    <row r="976" spans="18:18">
      <c r="R976" s="33" t="s">
        <v>2102</v>
      </c>
    </row>
    <row r="977" spans="18:18">
      <c r="R977" s="33" t="s">
        <v>2103</v>
      </c>
    </row>
    <row r="978" spans="18:18">
      <c r="R978" s="33" t="s">
        <v>2104</v>
      </c>
    </row>
    <row r="979" spans="18:18">
      <c r="R979" s="33" t="s">
        <v>2105</v>
      </c>
    </row>
    <row r="980" spans="18:18">
      <c r="R980" s="33" t="s">
        <v>2106</v>
      </c>
    </row>
    <row r="981" spans="18:18">
      <c r="R981" s="33" t="s">
        <v>2107</v>
      </c>
    </row>
    <row r="982" spans="18:18">
      <c r="R982" s="33" t="s">
        <v>2108</v>
      </c>
    </row>
    <row r="983" spans="18:18">
      <c r="R983" s="33" t="s">
        <v>2109</v>
      </c>
    </row>
    <row r="984" spans="18:18">
      <c r="R984" s="33" t="s">
        <v>2110</v>
      </c>
    </row>
    <row r="985" spans="18:18">
      <c r="R985" s="33" t="s">
        <v>2111</v>
      </c>
    </row>
    <row r="986" spans="18:18">
      <c r="R986" s="33" t="s">
        <v>2112</v>
      </c>
    </row>
    <row r="987" spans="18:18">
      <c r="R987" s="33" t="s">
        <v>2113</v>
      </c>
    </row>
    <row r="988" spans="18:18">
      <c r="R988" s="33" t="s">
        <v>2114</v>
      </c>
    </row>
    <row r="989" spans="18:18">
      <c r="R989" s="33" t="s">
        <v>2115</v>
      </c>
    </row>
    <row r="990" spans="18:18">
      <c r="R990" s="33" t="s">
        <v>2116</v>
      </c>
    </row>
    <row r="991" spans="18:18">
      <c r="R991" s="33" t="s">
        <v>2117</v>
      </c>
    </row>
    <row r="992" spans="18:18">
      <c r="R992" s="33" t="s">
        <v>2118</v>
      </c>
    </row>
    <row r="993" spans="18:18">
      <c r="R993" s="33" t="s">
        <v>2119</v>
      </c>
    </row>
    <row r="994" spans="18:18">
      <c r="R994" s="33" t="s">
        <v>2120</v>
      </c>
    </row>
    <row r="995" spans="18:18">
      <c r="R995" s="33" t="s">
        <v>2121</v>
      </c>
    </row>
    <row r="996" spans="18:18">
      <c r="R996" s="33" t="s">
        <v>2122</v>
      </c>
    </row>
    <row r="997" spans="18:18">
      <c r="R997" s="33" t="s">
        <v>2123</v>
      </c>
    </row>
    <row r="998" spans="18:18">
      <c r="R998" s="33" t="s">
        <v>2124</v>
      </c>
    </row>
    <row r="999" spans="18:18">
      <c r="R999" s="33" t="s">
        <v>2125</v>
      </c>
    </row>
    <row r="1000" spans="18:18">
      <c r="R1000" s="33" t="s">
        <v>2126</v>
      </c>
    </row>
    <row r="1001" spans="18:18">
      <c r="R1001" s="33" t="s">
        <v>2127</v>
      </c>
    </row>
    <row r="1002" spans="18:18">
      <c r="R1002" s="33" t="s">
        <v>2128</v>
      </c>
    </row>
    <row r="1003" spans="18:18">
      <c r="R1003" s="33" t="s">
        <v>2129</v>
      </c>
    </row>
    <row r="1004" spans="18:18">
      <c r="R1004" s="33" t="s">
        <v>2130</v>
      </c>
    </row>
    <row r="1005" spans="18:18">
      <c r="R1005" s="33" t="s">
        <v>2131</v>
      </c>
    </row>
    <row r="1006" spans="18:18">
      <c r="R1006" s="33" t="s">
        <v>2132</v>
      </c>
    </row>
    <row r="1007" spans="18:18">
      <c r="R1007" s="33" t="s">
        <v>2133</v>
      </c>
    </row>
    <row r="1008" spans="18:18">
      <c r="R1008" s="33" t="s">
        <v>2134</v>
      </c>
    </row>
    <row r="1009" spans="18:18">
      <c r="R1009" s="33" t="s">
        <v>2135</v>
      </c>
    </row>
    <row r="1010" spans="18:18">
      <c r="R1010" s="33" t="s">
        <v>2136</v>
      </c>
    </row>
    <row r="1011" spans="18:18">
      <c r="R1011" s="33" t="s">
        <v>2137</v>
      </c>
    </row>
    <row r="1012" spans="18:18">
      <c r="R1012" s="33" t="s">
        <v>2138</v>
      </c>
    </row>
    <row r="1013" spans="18:18">
      <c r="R1013" s="33" t="s">
        <v>2139</v>
      </c>
    </row>
    <row r="1014" spans="18:18">
      <c r="R1014" s="33" t="s">
        <v>2140</v>
      </c>
    </row>
    <row r="1015" spans="18:18">
      <c r="R1015" s="33" t="s">
        <v>2141</v>
      </c>
    </row>
    <row r="1016" spans="18:18">
      <c r="R1016" s="33" t="s">
        <v>2142</v>
      </c>
    </row>
    <row r="1017" spans="18:18">
      <c r="R1017" s="33" t="s">
        <v>2143</v>
      </c>
    </row>
  </sheetData>
  <phoneticPr fontId="2"/>
  <hyperlinks>
    <hyperlink ref="H7" r:id="rId1" display="https://tools.l2.dwh.sb-sys.info/userhelp/data/komoku" xr:uid="{FE7866A4-3653-4B0A-AEE9-EE870BF33563}"/>
    <hyperlink ref="H8" r:id="rId2" display="https://tools.l2.dwh.sb-sys.info/userhelp/data/komoku" xr:uid="{01AFA63A-517B-4CC2-A89D-4EF5249344B0}"/>
    <hyperlink ref="H9" r:id="rId3" display="https://tools.l2.dwh.sb-sys.info/userhelp/data/komoku" xr:uid="{013649D1-2033-4C9D-A7D2-47D739D83CBA}"/>
    <hyperlink ref="H10" r:id="rId4" display="https://tools.l2.dwh.sb-sys.info/userhelp/data/komoku" xr:uid="{47E6809E-3A5C-4914-9A57-6818224D540D}"/>
    <hyperlink ref="H11" r:id="rId5" display="https://tools.l2.dwh.sb-sys.info/userhelp/data/komoku" xr:uid="{078D3EBC-5527-4203-8B92-2E3F4E50D8AE}"/>
    <hyperlink ref="H12" r:id="rId6" display="https://tools.l2.dwh.sb-sys.info/userhelp/data/komoku" xr:uid="{C28E7C34-4F69-4442-998C-26FE84735825}"/>
    <hyperlink ref="H13" r:id="rId7" display="https://tools.l2.dwh.sb-sys.info/userhelp/data/komoku" xr:uid="{92AA75D6-88C2-4D69-AFCB-4578EDF54AA2}"/>
    <hyperlink ref="H14" r:id="rId8" display="https://tools.l2.dwh.sb-sys.info/userhelp/data/komoku" xr:uid="{2908F502-960E-45D4-B961-3E782F2EAB45}"/>
    <hyperlink ref="H15" r:id="rId9" display="https://tools.l2.dwh.sb-sys.info/userhelp/data/komoku" xr:uid="{CCB4038D-925C-4190-A26D-D8BF800184BD}"/>
    <hyperlink ref="H16" r:id="rId10" display="https://tools.l2.dwh.sb-sys.info/userhelp/data/komoku" xr:uid="{7B2985AD-68F0-4445-9A37-3D5DA017C84C}"/>
    <hyperlink ref="H17" r:id="rId11" display="https://tools.l2.dwh.sb-sys.info/userhelp/data/komoku" xr:uid="{21C563B7-B21C-4E1B-A01B-B67A1A599769}"/>
    <hyperlink ref="H18" r:id="rId12" display="https://tools.l2.dwh.sb-sys.info/userhelp/data/komoku" xr:uid="{2D8916C5-653A-4F72-88F0-A99FD3DACEAF}"/>
    <hyperlink ref="H19" r:id="rId13" display="https://tools.l2.dwh.sb-sys.info/userhelp/data/komoku" xr:uid="{53D6DFC4-C6F1-4488-A1C2-4BAD93A46C76}"/>
    <hyperlink ref="H20" r:id="rId14" display="https://tools.l2.dwh.sb-sys.info/userhelp/data/komoku" xr:uid="{54896670-1029-4B8A-B19D-0855621999D5}"/>
    <hyperlink ref="H21" r:id="rId15" display="https://tools.l2.dwh.sb-sys.info/userhelp/data/komoku" xr:uid="{C66CF320-23CC-41DD-AB76-5827FD182942}"/>
    <hyperlink ref="H22" r:id="rId16" display="https://tools.l2.dwh.sb-sys.info/userhelp/data/komoku" xr:uid="{71996ED1-1007-46EE-84DC-AEDCD40F22A6}"/>
    <hyperlink ref="H23" r:id="rId17" display="https://tools.l2.dwh.sb-sys.info/userhelp/data/komoku" xr:uid="{A889A018-FC3E-46B9-9311-A533E5BDEE13}"/>
    <hyperlink ref="H24" r:id="rId18" display="https://tools.l2.dwh.sb-sys.info/userhelp/data/komoku" xr:uid="{71A0794E-FBC7-471A-A1F0-91713EB0FEFD}"/>
    <hyperlink ref="H25" r:id="rId19" display="https://tools.l2.dwh.sb-sys.info/userhelp/data/komoku" xr:uid="{27566CF0-1F9D-4BDF-BB86-75EDBF177E29}"/>
    <hyperlink ref="H26" r:id="rId20" display="https://tools.l2.dwh.sb-sys.info/userhelp/data/komoku" xr:uid="{CA8DE980-80F1-4AA4-9B39-BD9C6AD8DDFB}"/>
    <hyperlink ref="H27" r:id="rId21" display="https://tools.l2.dwh.sb-sys.info/userhelp/data/komoku" xr:uid="{219E2952-7E30-43CC-A588-BF8031E0F390}"/>
    <hyperlink ref="H28" r:id="rId22" display="https://tools.l2.dwh.sb-sys.info/userhelp/data/komoku" xr:uid="{826DC160-3908-4323-84AD-0D874774F4EB}"/>
    <hyperlink ref="H29" r:id="rId23" display="https://tools.l2.dwh.sb-sys.info/userhelp/data/komoku" xr:uid="{7C5436BA-6E5B-4619-9D71-54BA8FD679F7}"/>
    <hyperlink ref="H30" r:id="rId24" display="https://tools.l2.dwh.sb-sys.info/userhelp/data/komoku" xr:uid="{1183A74E-F39F-46A2-902F-4F34E537BE6D}"/>
    <hyperlink ref="H31" r:id="rId25" display="https://tools.l2.dwh.sb-sys.info/userhelp/data/komoku" xr:uid="{B5B5B020-AC51-4DFA-A76E-8112DFA4AAA9}"/>
    <hyperlink ref="H32" r:id="rId26" display="https://tools.l2.dwh.sb-sys.info/userhelp/data/komoku" xr:uid="{5CFDE482-DF81-4B60-9AE4-AB5CD907551F}"/>
    <hyperlink ref="H33" r:id="rId27" display="https://tools.l2.dwh.sb-sys.info/userhelp/data/komoku" xr:uid="{EE9F4059-4659-4C43-A19A-B89258F75275}"/>
    <hyperlink ref="H34" r:id="rId28" display="https://tools.l2.dwh.sb-sys.info/userhelp/data/komoku" xr:uid="{D0FCE6B0-19C5-4018-874E-75E94A1CAAB4}"/>
    <hyperlink ref="H35" r:id="rId29" display="https://tools.l2.dwh.sb-sys.info/userhelp/data/komoku" xr:uid="{CB0C4F01-CFAE-4E00-AE07-FDEE6E3E7559}"/>
    <hyperlink ref="H36" r:id="rId30" display="https://tools.l2.dwh.sb-sys.info/userhelp/data/komoku" xr:uid="{D0C819D1-51BC-4D55-9B26-901450BEC0D1}"/>
    <hyperlink ref="H37" r:id="rId31" display="https://tools.l2.dwh.sb-sys.info/userhelp/data/komoku" xr:uid="{46F3E9B5-109E-43B5-BBF5-3D54B4184FD5}"/>
    <hyperlink ref="H38" r:id="rId32" display="https://tools.l2.dwh.sb-sys.info/userhelp/data/komoku" xr:uid="{71DE92F9-FF09-479D-A9B7-C333936261C1}"/>
    <hyperlink ref="H39" r:id="rId33" display="https://tools.l2.dwh.sb-sys.info/userhelp/data/komoku" xr:uid="{C10A78CF-3BD4-4DED-B574-2A77D4A86A3E}"/>
    <hyperlink ref="H40" r:id="rId34" display="https://tools.l2.dwh.sb-sys.info/userhelp/data/komoku" xr:uid="{F6564FAE-D954-496F-A3A2-DEF1F9B72A53}"/>
    <hyperlink ref="H41" r:id="rId35" display="https://tools.l2.dwh.sb-sys.info/userhelp/data/komoku" xr:uid="{6C56D533-0EA1-4DA9-ABEC-84243062FE63}"/>
    <hyperlink ref="H42" r:id="rId36" display="https://tools.l2.dwh.sb-sys.info/userhelp/data/komoku" xr:uid="{61D9D8FD-CCB6-4B1C-9EA2-B345D51F86AC}"/>
    <hyperlink ref="H43" r:id="rId37" display="https://tools.l2.dwh.sb-sys.info/userhelp/data/komoku" xr:uid="{E982904C-5E72-41D4-AED5-9E423AC5FFE9}"/>
    <hyperlink ref="H44" r:id="rId38" display="https://tools.l2.dwh.sb-sys.info/userhelp/data/komoku" xr:uid="{51997489-D525-4AD0-83C4-BA3D8802DB27}"/>
    <hyperlink ref="H45" r:id="rId39" display="https://tools.l2.dwh.sb-sys.info/userhelp/data/komoku" xr:uid="{57F47965-2F35-419A-9644-94077A8BDC79}"/>
    <hyperlink ref="H46" r:id="rId40" display="https://tools.l2.dwh.sb-sys.info/userhelp/data/komoku" xr:uid="{DD7F592C-4E83-437B-A0CF-5D2EC8C975F4}"/>
    <hyperlink ref="H47" r:id="rId41" display="https://tools.l2.dwh.sb-sys.info/userhelp/data/komoku" xr:uid="{58881F80-45D4-4EE8-BC81-AB5A5B48B8C0}"/>
    <hyperlink ref="H48" r:id="rId42" display="https://tools.l2.dwh.sb-sys.info/userhelp/data/komoku" xr:uid="{EA0C82CE-525A-49DB-9B6D-C6A1414FF09A}"/>
    <hyperlink ref="H49" r:id="rId43" display="https://tools.l2.dwh.sb-sys.info/userhelp/data/komoku" xr:uid="{4BD07A70-C71B-4569-8877-F154BE38A360}"/>
    <hyperlink ref="H50" r:id="rId44" display="https://tools.l2.dwh.sb-sys.info/userhelp/data/komoku" xr:uid="{C2A624AD-2941-4780-ABD6-A6A6418645AA}"/>
    <hyperlink ref="H51" r:id="rId45" display="https://tools.l2.dwh.sb-sys.info/userhelp/data/komoku" xr:uid="{78E06DC3-0C9A-41CB-96B6-02A00F83CFD0}"/>
    <hyperlink ref="H52" r:id="rId46" display="https://tools.l2.dwh.sb-sys.info/userhelp/data/komoku" xr:uid="{561E6955-9ADF-4F65-9306-D72A46CA3F77}"/>
    <hyperlink ref="H53" r:id="rId47" display="https://tools.l2.dwh.sb-sys.info/userhelp/data/komoku" xr:uid="{ECB5D26F-61C1-405A-8F59-AA23345B135A}"/>
    <hyperlink ref="H54" r:id="rId48" display="https://tools.l2.dwh.sb-sys.info/userhelp/data/komoku" xr:uid="{F911A993-F56E-4E16-A387-C52C306A9553}"/>
    <hyperlink ref="H55" r:id="rId49" display="https://tools.l2.dwh.sb-sys.info/userhelp/data/komoku" xr:uid="{D58EF0B3-7034-4198-8078-45F735FDBFE2}"/>
    <hyperlink ref="H56" r:id="rId50" display="https://tools.l2.dwh.sb-sys.info/userhelp/data/komoku" xr:uid="{60F8ACD4-D8E8-4B22-AB7D-37D0652BA872}"/>
    <hyperlink ref="H57" r:id="rId51" display="https://tools.l2.dwh.sb-sys.info/userhelp/data/komoku" xr:uid="{900F0F00-D1E4-4A3C-8E17-F25E73390CC5}"/>
    <hyperlink ref="H58" r:id="rId52" display="https://tools.l2.dwh.sb-sys.info/userhelp/data/komoku" xr:uid="{7FF7976A-A0F9-4B21-B502-11E8E791B6D8}"/>
    <hyperlink ref="H59" r:id="rId53" display="https://tools.l2.dwh.sb-sys.info/userhelp/data/komoku" xr:uid="{F185F6FE-7BA3-4B4D-8ECE-73FFFD18FCC6}"/>
    <hyperlink ref="H60" r:id="rId54" display="https://tools.l2.dwh.sb-sys.info/userhelp/data/komoku" xr:uid="{30B38EB7-039F-4C96-A8E8-252C7D2A7944}"/>
    <hyperlink ref="H61" r:id="rId55" display="https://tools.l2.dwh.sb-sys.info/userhelp/data/komoku" xr:uid="{A0DA06D2-4DA7-4477-BB86-836EC17283F9}"/>
    <hyperlink ref="H62" r:id="rId56" display="https://tools.l2.dwh.sb-sys.info/userhelp/data/komoku" xr:uid="{E9E52553-8C61-4064-9077-3FA127C000EA}"/>
    <hyperlink ref="H63" r:id="rId57" display="https://tools.l2.dwh.sb-sys.info/userhelp/data/komoku" xr:uid="{9154433A-AB42-4643-B465-166B8F085641}"/>
    <hyperlink ref="H64" r:id="rId58" display="https://tools.l2.dwh.sb-sys.info/userhelp/data/komoku" xr:uid="{DA67DC09-02B5-4EB8-968F-3FE1A86CD726}"/>
    <hyperlink ref="H65" r:id="rId59" display="https://tools.l2.dwh.sb-sys.info/userhelp/data/komoku" xr:uid="{1F75BD48-CBDB-4213-B9E1-DCBE74E73F6E}"/>
    <hyperlink ref="H66" r:id="rId60" display="https://tools.l2.dwh.sb-sys.info/userhelp/data/komoku" xr:uid="{D48E5B85-5D7D-44E2-988A-9CC0AC263202}"/>
    <hyperlink ref="H67" r:id="rId61" display="https://tools.l2.dwh.sb-sys.info/userhelp/data/komoku" xr:uid="{91E1728B-A25A-48F9-8632-05FF0BA2988B}"/>
    <hyperlink ref="H68" r:id="rId62" display="https://tools.l2.dwh.sb-sys.info/userhelp/data/komoku" xr:uid="{AA1AF7AC-70AA-4884-B453-84329138831A}"/>
    <hyperlink ref="H69" r:id="rId63" display="https://tools.l2.dwh.sb-sys.info/userhelp/data/komoku" xr:uid="{2962047E-1EFE-40BB-89B9-7BCF6970F7A1}"/>
    <hyperlink ref="H70" r:id="rId64" display="https://tools.l2.dwh.sb-sys.info/userhelp/data/komoku" xr:uid="{C9B97D0E-7A54-424A-8175-F7A8B7CD2EDB}"/>
    <hyperlink ref="H71" r:id="rId65" display="https://tools.l2.dwh.sb-sys.info/userhelp/data/komoku" xr:uid="{3EE8BB20-864B-40D4-AFCB-9C6D97462BA2}"/>
    <hyperlink ref="H72" r:id="rId66" display="https://tools.l2.dwh.sb-sys.info/userhelp/data/komoku" xr:uid="{02633841-DC7E-43FF-91A0-4F75DA89E370}"/>
    <hyperlink ref="H73" r:id="rId67" display="https://tools.l2.dwh.sb-sys.info/userhelp/data/komoku" xr:uid="{632A9C8E-9A48-422F-9E6A-65938EEEA849}"/>
    <hyperlink ref="H74" r:id="rId68" display="https://tools.l2.dwh.sb-sys.info/userhelp/data/komoku" xr:uid="{983D77B7-7879-4008-BCF6-728C38A28A4F}"/>
    <hyperlink ref="H75" r:id="rId69" display="https://tools.l2.dwh.sb-sys.info/userhelp/data/komoku" xr:uid="{84FA812C-9ACA-4BA4-B88F-DA9F1AC197E8}"/>
    <hyperlink ref="H76" r:id="rId70" display="https://tools.l2.dwh.sb-sys.info/userhelp/data/komoku" xr:uid="{2043CD3B-D29C-4839-AC06-32CCE5B6F24F}"/>
    <hyperlink ref="H77" r:id="rId71" display="https://tools.l2.dwh.sb-sys.info/userhelp/data/komoku" xr:uid="{45A81EFE-C36F-4E44-9FAE-94351933C15D}"/>
    <hyperlink ref="H78" r:id="rId72" display="https://tools.l2.dwh.sb-sys.info/userhelp/data/komoku" xr:uid="{35DFF269-4499-470E-9E0F-A6B5BA967762}"/>
    <hyperlink ref="H79" r:id="rId73" display="https://tools.l2.dwh.sb-sys.info/userhelp/data/komoku" xr:uid="{4CE4BB52-C2B8-4F3D-BF3D-66034B6A5094}"/>
    <hyperlink ref="H80" r:id="rId74" display="https://tools.l2.dwh.sb-sys.info/userhelp/data/komoku" xr:uid="{9ED42712-B57F-45A1-ABDD-2C4DF20D08ED}"/>
    <hyperlink ref="H81" r:id="rId75" display="https://tools.l2.dwh.sb-sys.info/userhelp/data/komoku" xr:uid="{D50D3F94-A71B-4C7B-81E9-0BE62FE287B2}"/>
    <hyperlink ref="H82" r:id="rId76" display="https://tools.l2.dwh.sb-sys.info/userhelp/data/komoku" xr:uid="{0E82A727-323E-4ED4-9C59-88191396FC4C}"/>
    <hyperlink ref="H83" r:id="rId77" display="https://tools.l2.dwh.sb-sys.info/userhelp/data/komoku" xr:uid="{BD06255F-93B6-473B-B75F-9D191ABD3B91}"/>
    <hyperlink ref="H84" r:id="rId78" display="https://tools.l2.dwh.sb-sys.info/userhelp/data/komoku" xr:uid="{CD397B91-FF95-4FDE-9FE1-D6AD70C7821E}"/>
    <hyperlink ref="H85" r:id="rId79" display="https://tools.l2.dwh.sb-sys.info/userhelp/data/komoku" xr:uid="{F1D72C3A-B93A-416E-A0BF-0BECF68B28BF}"/>
    <hyperlink ref="H86" r:id="rId80" display="https://tools.l2.dwh.sb-sys.info/userhelp/data/komoku" xr:uid="{DDD5350F-FF46-471F-B0C5-D419B105F76F}"/>
    <hyperlink ref="H87" r:id="rId81" display="https://tools.l2.dwh.sb-sys.info/userhelp/data/komoku" xr:uid="{F3C4E312-5A01-4469-9D05-1B4E2C06C601}"/>
    <hyperlink ref="H88" r:id="rId82" display="https://tools.l2.dwh.sb-sys.info/userhelp/data/komoku" xr:uid="{752C71BB-6429-4FAF-BE64-2A26A0FA4A1C}"/>
    <hyperlink ref="H89" r:id="rId83" display="https://tools.l2.dwh.sb-sys.info/userhelp/data/komoku" xr:uid="{B3F2AC49-4EEA-41DF-9330-4D438EB10014}"/>
    <hyperlink ref="H90" r:id="rId84" display="https://tools.l2.dwh.sb-sys.info/userhelp/data/komoku" xr:uid="{E61E7D94-FE69-4988-A1BF-71B41B8A75BB}"/>
    <hyperlink ref="H91" r:id="rId85" display="https://tools.l2.dwh.sb-sys.info/userhelp/data/komoku" xr:uid="{D0235043-618C-4368-A8EF-347BC2CA3D0E}"/>
    <hyperlink ref="H92" r:id="rId86" display="https://tools.l2.dwh.sb-sys.info/userhelp/data/komoku" xr:uid="{9CC0BBE6-6753-4794-9875-13BEA6DA2D15}"/>
    <hyperlink ref="H93" r:id="rId87" display="https://tools.l2.dwh.sb-sys.info/userhelp/data/komoku" xr:uid="{1671BA0F-9AD1-4E18-9E30-0D58E159BF98}"/>
    <hyperlink ref="H94" r:id="rId88" display="https://tools.l2.dwh.sb-sys.info/userhelp/data/komoku" xr:uid="{9713D689-3BA1-409A-906C-1E6A628E951F}"/>
    <hyperlink ref="H95" r:id="rId89" display="https://tools.l2.dwh.sb-sys.info/userhelp/data/komoku" xr:uid="{E0F89CF8-C97A-481A-9A80-B06CF6E2A4E3}"/>
    <hyperlink ref="H96" r:id="rId90" display="https://tools.l2.dwh.sb-sys.info/userhelp/data/komoku" xr:uid="{3B15F257-6FC1-416E-85ED-985C0C59E48B}"/>
    <hyperlink ref="H97" r:id="rId91" display="https://tools.l2.dwh.sb-sys.info/userhelp/data/komoku" xr:uid="{B5FD456E-A00D-4AF7-8F59-DE14F2CC6A51}"/>
    <hyperlink ref="H98" r:id="rId92" display="https://tools.l2.dwh.sb-sys.info/userhelp/data/komoku" xr:uid="{6BDD6252-FABE-484E-BBDC-EBF357160C26}"/>
    <hyperlink ref="H99" r:id="rId93" display="https://tools.l2.dwh.sb-sys.info/userhelp/data/komoku" xr:uid="{4FFDEBE0-0FF7-43AA-9348-E7E65593AB72}"/>
    <hyperlink ref="H100" r:id="rId94" display="https://tools.l2.dwh.sb-sys.info/userhelp/data/komoku" xr:uid="{204ED56E-D169-4364-9D02-2ED07085B27F}"/>
    <hyperlink ref="H101" r:id="rId95" display="https://tools.l2.dwh.sb-sys.info/userhelp/data/komoku" xr:uid="{F9A1D3D2-128B-425E-9577-4A9953E12A6D}"/>
    <hyperlink ref="H102" r:id="rId96" display="https://tools.l2.dwh.sb-sys.info/userhelp/data/komoku" xr:uid="{5160ED6E-0A05-4828-A4C0-AA6F7F8111B6}"/>
    <hyperlink ref="H103" r:id="rId97" display="https://tools.l2.dwh.sb-sys.info/userhelp/data/komoku" xr:uid="{6CBF3004-EB9A-4227-B14D-AFF7201CB562}"/>
    <hyperlink ref="H104" r:id="rId98" display="https://tools.l2.dwh.sb-sys.info/userhelp/data/komoku" xr:uid="{E1EECEAE-7257-4F4C-A528-393AFF9E3699}"/>
    <hyperlink ref="H105" r:id="rId99" display="https://tools.l2.dwh.sb-sys.info/userhelp/data/komoku" xr:uid="{00B81725-B489-4B39-81EE-07B6F48D5E83}"/>
    <hyperlink ref="H106" r:id="rId100" display="https://tools.l2.dwh.sb-sys.info/userhelp/data/komoku" xr:uid="{8205EFD7-8019-46F3-BEE3-359B4CE6F7B7}"/>
    <hyperlink ref="H107" r:id="rId101" display="https://tools.l2.dwh.sb-sys.info/userhelp/data/komoku" xr:uid="{B8B16227-6461-4025-AFB2-36A17C86B4DF}"/>
    <hyperlink ref="H108" r:id="rId102" display="https://tools.l2.dwh.sb-sys.info/userhelp/data/komoku" xr:uid="{EAA3F428-AF2D-4908-9E20-C25BAE0BBE72}"/>
    <hyperlink ref="H109" r:id="rId103" display="https://tools.l2.dwh.sb-sys.info/userhelp/data/komoku" xr:uid="{FFF797D2-575F-40DE-BE10-BD55C9B13B37}"/>
    <hyperlink ref="H110" r:id="rId104" display="https://tools.l2.dwh.sb-sys.info/userhelp/data/komoku" xr:uid="{0FC75F85-BA7E-46F1-9BD6-4C0702F451F4}"/>
    <hyperlink ref="H111" r:id="rId105" display="https://tools.l2.dwh.sb-sys.info/userhelp/data/komoku" xr:uid="{449C2D1B-B554-44ED-AE12-833FA0FDFB10}"/>
    <hyperlink ref="H112" r:id="rId106" display="https://tools.l2.dwh.sb-sys.info/userhelp/data/komoku" xr:uid="{952F788A-F8BA-4CD9-98E1-A1ED6D2333F7}"/>
    <hyperlink ref="H113" r:id="rId107" display="https://tools.l2.dwh.sb-sys.info/userhelp/data/komoku" xr:uid="{48F5F7A9-66C0-4EFC-B8CF-41A1F9CF865F}"/>
    <hyperlink ref="H114" r:id="rId108" display="https://tools.l2.dwh.sb-sys.info/userhelp/data/komoku" xr:uid="{D4B93C98-F518-49DB-8A76-0FB9E15B6286}"/>
    <hyperlink ref="H115" r:id="rId109" display="https://tools.l2.dwh.sb-sys.info/userhelp/data/komoku" xr:uid="{1522407A-13DE-4284-B886-3453F7BAD35C}"/>
    <hyperlink ref="H116" r:id="rId110" display="https://tools.l2.dwh.sb-sys.info/userhelp/data/komoku" xr:uid="{FDAAB397-6D88-4A88-974D-BAE8A72975EF}"/>
    <hyperlink ref="H117" r:id="rId111" display="https://tools.l2.dwh.sb-sys.info/userhelp/data/komoku" xr:uid="{4D0DA576-BA5B-45CE-99BE-0433D9AFF31C}"/>
    <hyperlink ref="H118" r:id="rId112" display="https://tools.l2.dwh.sb-sys.info/userhelp/data/komoku" xr:uid="{23071B4E-DD1E-442E-A65E-5B5D2B001320}"/>
    <hyperlink ref="H119" r:id="rId113" display="https://tools.l2.dwh.sb-sys.info/userhelp/data/komoku" xr:uid="{ABD2E856-9B11-49A9-ADAA-3B51A628F5B5}"/>
    <hyperlink ref="H120" r:id="rId114" display="https://tools.l2.dwh.sb-sys.info/userhelp/data/komoku" xr:uid="{54D99F9A-663A-476C-B4E1-9194B2E372CB}"/>
    <hyperlink ref="H121" r:id="rId115" display="https://tools.l2.dwh.sb-sys.info/userhelp/data/komoku" xr:uid="{1A984EDB-3305-4FBE-9F20-E22A4BBAF66D}"/>
    <hyperlink ref="H122" r:id="rId116" display="https://tools.l2.dwh.sb-sys.info/userhelp/data/komoku" xr:uid="{039FABB7-CB8A-467E-B3B9-25A72310A757}"/>
    <hyperlink ref="H123" r:id="rId117" display="https://tools.l2.dwh.sb-sys.info/userhelp/data/komoku" xr:uid="{8F59C5D9-16FF-42A8-B954-D34C07861583}"/>
    <hyperlink ref="H124" r:id="rId118" display="https://tools.l2.dwh.sb-sys.info/userhelp/data/komoku" xr:uid="{A401F3F0-61C9-4D23-ABC3-6D1BA3A6F462}"/>
    <hyperlink ref="H125" r:id="rId119" display="https://tools.l2.dwh.sb-sys.info/userhelp/data/komoku" xr:uid="{C914B542-BF53-49BE-857A-15027E9F8E2D}"/>
    <hyperlink ref="H126" r:id="rId120" display="https://tools.l2.dwh.sb-sys.info/userhelp/data/komoku" xr:uid="{B6C786F5-AFA4-4B62-BBB3-1D47D0BCFEA0}"/>
    <hyperlink ref="H127" r:id="rId121" display="https://tools.l2.dwh.sb-sys.info/userhelp/data/komoku" xr:uid="{6C16A961-BEF1-4FBA-9A0C-3EC4EA854594}"/>
    <hyperlink ref="H128" r:id="rId122" display="https://tools.l2.dwh.sb-sys.info/userhelp/data/komoku" xr:uid="{B67A1101-6EEE-4A58-9D90-CA712F9741DF}"/>
    <hyperlink ref="H129" r:id="rId123" display="https://tools.l2.dwh.sb-sys.info/userhelp/data/komoku" xr:uid="{7CD5FA51-C001-4D7A-9A9A-4FC0B89047B7}"/>
    <hyperlink ref="H130" r:id="rId124" display="https://tools.l2.dwh.sb-sys.info/userhelp/data/komoku" xr:uid="{C707473B-AC59-4671-8757-169CAFA411CC}"/>
    <hyperlink ref="H131" r:id="rId125" display="https://tools.l2.dwh.sb-sys.info/userhelp/data/komoku" xr:uid="{DDE49D42-A587-439F-A781-282186949804}"/>
    <hyperlink ref="H132" r:id="rId126" display="https://tools.l2.dwh.sb-sys.info/userhelp/data/komoku" xr:uid="{13D44E48-2DF4-4287-8E67-4A956B2ACA07}"/>
    <hyperlink ref="H133" r:id="rId127" display="https://tools.l2.dwh.sb-sys.info/userhelp/data/komoku" xr:uid="{E0A90FDC-8AF6-478E-8A26-5979489A06F4}"/>
    <hyperlink ref="H134" r:id="rId128" display="https://tools.l2.dwh.sb-sys.info/userhelp/data/komoku" xr:uid="{845E4BD2-A3D4-425C-A9C8-80834E13DE72}"/>
    <hyperlink ref="H135" r:id="rId129" display="https://tools.l2.dwh.sb-sys.info/userhelp/data/komoku" xr:uid="{D9FC1F20-F624-4126-AD42-1FA26C988C25}"/>
    <hyperlink ref="H136" r:id="rId130" display="https://tools.l2.dwh.sb-sys.info/userhelp/data/komoku" xr:uid="{C21B1C7B-8DFC-4CD1-BDA4-87A21382E563}"/>
    <hyperlink ref="H137" r:id="rId131" display="https://tools.l2.dwh.sb-sys.info/userhelp/data/komoku" xr:uid="{920A1148-6736-434D-80E4-8960DCD37410}"/>
    <hyperlink ref="H138" r:id="rId132" display="https://tools.l2.dwh.sb-sys.info/userhelp/data/komoku" xr:uid="{95279B51-A1D6-4A71-A110-EC81F7A45406}"/>
    <hyperlink ref="H139" r:id="rId133" display="https://tools.l2.dwh.sb-sys.info/userhelp/data/komoku" xr:uid="{C09051DB-C1F5-4868-90D8-3770E86BEC42}"/>
    <hyperlink ref="H140" r:id="rId134" display="https://tools.l2.dwh.sb-sys.info/userhelp/data/komoku" xr:uid="{1C860E7C-8111-479B-9A6E-5B368E0EB217}"/>
    <hyperlink ref="H141" r:id="rId135" display="https://tools.l2.dwh.sb-sys.info/userhelp/data/komoku" xr:uid="{0FA2D761-CC46-4D1A-A1C6-6990072CC1E5}"/>
    <hyperlink ref="H142" r:id="rId136" display="https://tools.l2.dwh.sb-sys.info/userhelp/data/komoku" xr:uid="{E70AB138-A5D2-43C4-A1C1-0449C40B2AA8}"/>
    <hyperlink ref="H143" r:id="rId137" display="https://tools.l2.dwh.sb-sys.info/userhelp/data/komoku" xr:uid="{C7F7850A-F1C6-42E0-95D9-FE05E78A96D0}"/>
    <hyperlink ref="H144" r:id="rId138" display="https://tools.l2.dwh.sb-sys.info/userhelp/data/komoku" xr:uid="{E82A86B1-E658-4BB9-8E2E-24D477E0E64E}"/>
    <hyperlink ref="H145" r:id="rId139" display="https://tools.l2.dwh.sb-sys.info/userhelp/data/komoku" xr:uid="{58B871C3-A02A-4046-A380-EF568C6FC4B2}"/>
    <hyperlink ref="H146" r:id="rId140" display="https://tools.l2.dwh.sb-sys.info/userhelp/data/komoku" xr:uid="{CFDE4615-29A9-4E53-92CA-D47546F219A3}"/>
    <hyperlink ref="H147" r:id="rId141" display="https://tools.l2.dwh.sb-sys.info/userhelp/data/komoku" xr:uid="{8ECFB26A-49C5-4A66-9B75-9B63AC29E67D}"/>
    <hyperlink ref="H148" r:id="rId142" display="https://tools.l2.dwh.sb-sys.info/userhelp/data/komoku" xr:uid="{B6AD79D6-88D7-42B7-98F2-29A4B0308608}"/>
    <hyperlink ref="H149" r:id="rId143" display="https://tools.l2.dwh.sb-sys.info/userhelp/data/komoku" xr:uid="{AA6A193F-A5E7-41DC-950E-EA9FAB50239E}"/>
    <hyperlink ref="H150" r:id="rId144" display="https://tools.l2.dwh.sb-sys.info/userhelp/data/komoku" xr:uid="{4646E69C-F004-4125-86AB-2754D40E4E6F}"/>
    <hyperlink ref="H151" r:id="rId145" display="https://tools.l2.dwh.sb-sys.info/userhelp/data/komoku" xr:uid="{E35B1702-2D96-43FC-A709-8064048FCB3E}"/>
    <hyperlink ref="H152" r:id="rId146" display="https://tools.l2.dwh.sb-sys.info/userhelp/data/komoku" xr:uid="{1D97830A-3AAB-4FB4-8A45-2450D7E867AC}"/>
    <hyperlink ref="H153" r:id="rId147" display="https://tools.l2.dwh.sb-sys.info/userhelp/data/komoku" xr:uid="{31FF0C92-E9C6-4F88-8EAF-FC714E8CE9F9}"/>
    <hyperlink ref="H154" r:id="rId148" display="https://tools.l2.dwh.sb-sys.info/userhelp/data/komoku" xr:uid="{3C60D2A5-B0B0-463A-95A4-AB8532880891}"/>
    <hyperlink ref="H155" r:id="rId149" display="https://tools.l2.dwh.sb-sys.info/userhelp/data/komoku" xr:uid="{A4E5A0E3-EC77-42F9-98D9-44DDB3DAA118}"/>
    <hyperlink ref="H156" r:id="rId150" display="https://tools.l2.dwh.sb-sys.info/userhelp/data/komoku" xr:uid="{FFCA922A-37AD-4538-A2E2-78D16AC4633A}"/>
    <hyperlink ref="H157" r:id="rId151" display="https://tools.l2.dwh.sb-sys.info/userhelp/data/komoku" xr:uid="{0AD248F0-E1D1-47D1-9FE3-2DF953D51400}"/>
    <hyperlink ref="H158" r:id="rId152" display="https://tools.l2.dwh.sb-sys.info/userhelp/data/komoku" xr:uid="{392BC78E-24FB-46B5-9739-7AE368A9ADD2}"/>
    <hyperlink ref="H159" r:id="rId153" display="https://tools.l2.dwh.sb-sys.info/userhelp/data/komoku" xr:uid="{C15A13CD-BF97-451F-AE67-89E4FD1B9F94}"/>
    <hyperlink ref="H160" r:id="rId154" display="https://tools.l2.dwh.sb-sys.info/userhelp/data/komoku" xr:uid="{2204F2CB-7D02-4D76-8F80-53A49BEEEB27}"/>
    <hyperlink ref="H161" r:id="rId155" display="https://tools.l2.dwh.sb-sys.info/userhelp/data/komoku" xr:uid="{D7AA4221-06C0-42FE-844B-E9F099FC9C43}"/>
    <hyperlink ref="H162" r:id="rId156" display="https://tools.l2.dwh.sb-sys.info/userhelp/data/komoku" xr:uid="{3ECB7143-16E3-45FD-BB76-348881584E96}"/>
    <hyperlink ref="H163" r:id="rId157" display="https://tools.l2.dwh.sb-sys.info/userhelp/data/komoku" xr:uid="{59D8F890-6516-4A4A-8FD0-C789A066E4AE}"/>
    <hyperlink ref="H164" r:id="rId158" display="https://tools.l2.dwh.sb-sys.info/userhelp/data/komoku" xr:uid="{0791F464-19DC-40AB-A1F4-7BB7A42067B8}"/>
    <hyperlink ref="H165" r:id="rId159" display="https://tools.l2.dwh.sb-sys.info/userhelp/data/komoku" xr:uid="{0CF84F88-78AE-4AAB-AC77-8B99A86CAA53}"/>
    <hyperlink ref="H166" r:id="rId160" display="https://tools.l2.dwh.sb-sys.info/userhelp/data/komoku" xr:uid="{2DED19B9-92FA-4B42-B44F-6DAECFFBDC20}"/>
    <hyperlink ref="H167" r:id="rId161" display="https://tools.l2.dwh.sb-sys.info/userhelp/data/komoku" xr:uid="{48D83A3B-6232-488B-9579-181DCCC85E4D}"/>
    <hyperlink ref="H168" r:id="rId162" display="https://tools.l2.dwh.sb-sys.info/userhelp/data/komoku" xr:uid="{0AFF8F75-2DFD-415F-B0EC-708890386A8B}"/>
    <hyperlink ref="H169" r:id="rId163" display="https://tools.l2.dwh.sb-sys.info/userhelp/data/komoku" xr:uid="{8B0D1945-281B-452A-9780-5CFD66DD6CCD}"/>
    <hyperlink ref="H170" r:id="rId164" display="https://tools.l2.dwh.sb-sys.info/userhelp/data/komoku" xr:uid="{F0B6C19A-33B1-4F47-BD7D-9E98C896154F}"/>
    <hyperlink ref="H171" r:id="rId165" display="https://tools.l2.dwh.sb-sys.info/userhelp/data/komoku" xr:uid="{FF487465-7D21-4964-9486-36AADA00B310}"/>
    <hyperlink ref="H172" r:id="rId166" display="https://tools.l2.dwh.sb-sys.info/userhelp/data/komoku" xr:uid="{FE3D2E33-C77F-474C-92C5-E8EA61F62560}"/>
    <hyperlink ref="H173" r:id="rId167" display="https://tools.l2.dwh.sb-sys.info/userhelp/data/komoku" xr:uid="{C7886249-D948-4F9D-8FD4-28E9EECE5DE2}"/>
    <hyperlink ref="H174" r:id="rId168" display="https://tools.l2.dwh.sb-sys.info/userhelp/data/komoku" xr:uid="{89AB2AA2-6D1C-49CA-9C14-91D5990D5F82}"/>
    <hyperlink ref="H175" r:id="rId169" display="https://tools.l2.dwh.sb-sys.info/userhelp/data/komoku" xr:uid="{647A35E4-627D-4DB4-94AC-3301C2648930}"/>
    <hyperlink ref="H176" r:id="rId170" display="https://tools.l2.dwh.sb-sys.info/userhelp/data/komoku" xr:uid="{19DC81D6-08A6-4514-B186-5358CE30417C}"/>
    <hyperlink ref="H177" r:id="rId171" display="https://tools.l2.dwh.sb-sys.info/userhelp/data/komoku" xr:uid="{C653C0C1-DE6B-467D-8754-354D3A088923}"/>
    <hyperlink ref="H178" r:id="rId172" display="https://tools.l2.dwh.sb-sys.info/userhelp/data/komoku" xr:uid="{77C69D1E-2644-421D-AAEB-D9B7D8562D8C}"/>
    <hyperlink ref="H179" r:id="rId173" display="https://tools.l2.dwh.sb-sys.info/userhelp/data/komoku" xr:uid="{21355090-135A-4B1D-A236-8A8BB1CD35B1}"/>
    <hyperlink ref="H180" r:id="rId174" display="https://tools.l2.dwh.sb-sys.info/userhelp/data/komoku" xr:uid="{C91FED38-6F9B-4D7B-8E3D-DE027F42F960}"/>
    <hyperlink ref="H181" r:id="rId175" display="https://tools.l2.dwh.sb-sys.info/userhelp/data/komoku" xr:uid="{D7A4DB31-AB96-4D1D-B557-56BC7C58460F}"/>
    <hyperlink ref="H182" r:id="rId176" display="https://tools.l2.dwh.sb-sys.info/userhelp/data/komoku" xr:uid="{08CABADA-F6C9-4725-B439-A4FC59757E25}"/>
    <hyperlink ref="H183" r:id="rId177" display="https://tools.l2.dwh.sb-sys.info/userhelp/data/komoku" xr:uid="{B0ABD72E-424E-43C3-A66C-9081A78E184F}"/>
    <hyperlink ref="H184" r:id="rId178" display="https://tools.l2.dwh.sb-sys.info/userhelp/data/komoku" xr:uid="{9BBF7C0A-2A2B-419D-8299-EACB7FDDD17E}"/>
    <hyperlink ref="H185" r:id="rId179" display="https://tools.l2.dwh.sb-sys.info/userhelp/data/komoku" xr:uid="{3FDD8772-4441-4C43-8040-AB6BF7A51915}"/>
    <hyperlink ref="H186" r:id="rId180" display="https://tools.l2.dwh.sb-sys.info/userhelp/data/komoku" xr:uid="{21682DA8-ED70-4C16-AD63-95D181988F41}"/>
    <hyperlink ref="H187" r:id="rId181" display="https://tools.l2.dwh.sb-sys.info/userhelp/data/komoku" xr:uid="{C537C91E-6E3F-4B9A-B4E2-6E4770107031}"/>
    <hyperlink ref="H188" r:id="rId182" display="https://tools.l2.dwh.sb-sys.info/userhelp/data/komoku" xr:uid="{001B7FB7-2A50-433F-8246-94CE26A87CFC}"/>
    <hyperlink ref="H189" r:id="rId183" display="https://tools.l2.dwh.sb-sys.info/userhelp/data/komoku" xr:uid="{A11C59A1-3C56-4687-AD2A-2873EA156835}"/>
    <hyperlink ref="H190" r:id="rId184" display="https://tools.l2.dwh.sb-sys.info/userhelp/data/komoku" xr:uid="{8981948A-5C2D-43CD-A6D7-1142976AF85C}"/>
    <hyperlink ref="H191" r:id="rId185" display="https://tools.l2.dwh.sb-sys.info/userhelp/data/komoku" xr:uid="{982F2499-473E-4DA7-9616-C960058F895D}"/>
    <hyperlink ref="H192" r:id="rId186" display="https://tools.l2.dwh.sb-sys.info/userhelp/data/komoku" xr:uid="{2ABAF4A9-FA01-44EB-BB45-4EC5C3C50625}"/>
    <hyperlink ref="H193" r:id="rId187" display="https://tools.l2.dwh.sb-sys.info/userhelp/data/komoku" xr:uid="{26395106-4486-42F7-A228-45E6375D5001}"/>
    <hyperlink ref="H194" r:id="rId188" display="https://tools.l2.dwh.sb-sys.info/userhelp/data/komoku" xr:uid="{87C94941-5E0F-4168-A156-68444DCC3B21}"/>
    <hyperlink ref="H195" r:id="rId189" display="https://tools.l2.dwh.sb-sys.info/userhelp/data/komoku" xr:uid="{D3FB2BB6-0FCB-4C85-91A0-FEAC4594B330}"/>
    <hyperlink ref="H196" r:id="rId190" display="https://tools.l2.dwh.sb-sys.info/userhelp/data/komoku" xr:uid="{4E9B1C6D-FDC4-4F5B-AF5B-36A593A508CE}"/>
    <hyperlink ref="H197" r:id="rId191" display="https://tools.l2.dwh.sb-sys.info/userhelp/data/komoku" xr:uid="{3FEFA534-42DE-42A9-A4AF-D993420D2F7D}"/>
    <hyperlink ref="H198" r:id="rId192" display="https://tools.l2.dwh.sb-sys.info/userhelp/data/komoku" xr:uid="{1E9C57A4-15F3-42A9-8CE5-15B1A7DFF4ED}"/>
    <hyperlink ref="H199" r:id="rId193" display="https://tools.l2.dwh.sb-sys.info/userhelp/data/komoku" xr:uid="{8B155BDA-7BA2-4004-963A-6DA7BFD7E715}"/>
    <hyperlink ref="H200" r:id="rId194" display="https://tools.l2.dwh.sb-sys.info/userhelp/data/komoku" xr:uid="{F906C10B-8356-45EE-88F6-935F7E20291D}"/>
    <hyperlink ref="H201" r:id="rId195" display="https://tools.l2.dwh.sb-sys.info/userhelp/data/komoku" xr:uid="{8B7160A6-E40D-41D4-B9CD-511BBDAF9178}"/>
    <hyperlink ref="H202" r:id="rId196" display="https://tools.l2.dwh.sb-sys.info/userhelp/data/komoku" xr:uid="{0D5E407F-8072-48AE-8A8D-1037053D8DFF}"/>
    <hyperlink ref="H203" r:id="rId197" display="https://tools.l2.dwh.sb-sys.info/userhelp/data/komoku" xr:uid="{5B7462C1-BB32-4AE2-AAF1-5333BDCC75F5}"/>
    <hyperlink ref="H204" r:id="rId198" display="https://tools.l2.dwh.sb-sys.info/userhelp/data/komoku" xr:uid="{A197BFD6-90DF-4FD2-A31F-3621AA7E63E3}"/>
    <hyperlink ref="H205" r:id="rId199" display="https://tools.l2.dwh.sb-sys.info/userhelp/data/komoku" xr:uid="{5301D65A-7EA6-42BA-9D0C-F77CF0C6E351}"/>
    <hyperlink ref="H206" r:id="rId200" display="https://tools.l2.dwh.sb-sys.info/userhelp/data/komoku" xr:uid="{3C389718-3E71-42DD-B6DE-D4EFB8A29789}"/>
    <hyperlink ref="H207" r:id="rId201" display="https://tools.l2.dwh.sb-sys.info/userhelp/data/komoku" xr:uid="{9F5EE3ED-EA85-459C-B50F-FE5208CA1941}"/>
    <hyperlink ref="H208" r:id="rId202" display="https://tools.l2.dwh.sb-sys.info/userhelp/data/komoku" xr:uid="{DD1998EC-69A8-4560-B0A4-7C635E389D3E}"/>
    <hyperlink ref="H209" r:id="rId203" display="https://tools.l2.dwh.sb-sys.info/userhelp/data/komoku" xr:uid="{933955B5-FA6D-4CD5-B29D-5612A47AA581}"/>
    <hyperlink ref="H210" r:id="rId204" display="https://tools.l2.dwh.sb-sys.info/userhelp/data/komoku" xr:uid="{6A39D6A2-07A7-465C-9B45-A18F49BC8F48}"/>
    <hyperlink ref="H211" r:id="rId205" display="https://tools.l2.dwh.sb-sys.info/userhelp/data/komoku" xr:uid="{4EE873D3-BDF4-4C50-B017-A01DFE678AFB}"/>
    <hyperlink ref="H212" r:id="rId206" display="https://tools.l2.dwh.sb-sys.info/userhelp/data/komoku" xr:uid="{7BCAD06E-860B-4C56-9E52-ECDA18E40980}"/>
    <hyperlink ref="H213" r:id="rId207" display="https://tools.l2.dwh.sb-sys.info/userhelp/data/komoku" xr:uid="{EDB0C4D4-207E-4473-8E72-9855FBD82811}"/>
    <hyperlink ref="H214" r:id="rId208" display="https://tools.l2.dwh.sb-sys.info/userhelp/data/komoku" xr:uid="{41B0DBD0-46C1-47B1-B6AB-368F7CDFDE89}"/>
    <hyperlink ref="H215" r:id="rId209" display="https://tools.l2.dwh.sb-sys.info/userhelp/data/komoku" xr:uid="{12716150-62EF-4777-A78D-BC08D36B6B6E}"/>
    <hyperlink ref="H216" r:id="rId210" display="https://tools.l2.dwh.sb-sys.info/userhelp/data/komoku" xr:uid="{5D2AA0A6-F9FC-47AA-951B-2704F7D3D42B}"/>
    <hyperlink ref="H217" r:id="rId211" display="https://tools.l2.dwh.sb-sys.info/userhelp/data/komoku" xr:uid="{1BF02E07-EA2D-43D4-AA25-8D2D0CDB65F7}"/>
    <hyperlink ref="H218" r:id="rId212" display="https://tools.l2.dwh.sb-sys.info/userhelp/data/komoku" xr:uid="{2290DCD8-8F86-4B10-936C-1C07ADC30193}"/>
    <hyperlink ref="H219" r:id="rId213" display="https://tools.l2.dwh.sb-sys.info/userhelp/data/komoku" xr:uid="{3841EB04-5898-41D0-9912-61E773EB8473}"/>
    <hyperlink ref="H220" r:id="rId214" display="https://tools.l2.dwh.sb-sys.info/userhelp/data/komoku" xr:uid="{7977C427-F281-4CF4-89CC-DD6CB7AC8352}"/>
    <hyperlink ref="H221" r:id="rId215" display="https://tools.l2.dwh.sb-sys.info/userhelp/data/komoku" xr:uid="{8EED74D0-5F0C-43BD-B2D2-D2B4F8E10F14}"/>
    <hyperlink ref="H222" r:id="rId216" display="https://tools.l2.dwh.sb-sys.info/userhelp/data/komoku" xr:uid="{133E81E5-76EA-4E53-9497-DB02B111629C}"/>
    <hyperlink ref="H223" r:id="rId217" display="https://tools.l2.dwh.sb-sys.info/userhelp/data/komoku" xr:uid="{2B062282-F098-4530-85B0-684C0EE84A92}"/>
    <hyperlink ref="H224" r:id="rId218" display="https://tools.l2.dwh.sb-sys.info/userhelp/data/komoku" xr:uid="{6B40687B-FB45-48F2-9AE4-19D3307828BA}"/>
    <hyperlink ref="H225" r:id="rId219" display="https://tools.l2.dwh.sb-sys.info/userhelp/data/komoku" xr:uid="{53ADE8C3-8C36-46D5-BF32-7B883F5C0212}"/>
    <hyperlink ref="H226" r:id="rId220" display="https://tools.l2.dwh.sb-sys.info/userhelp/data/komoku" xr:uid="{40666768-C748-41ED-8771-106CFB19909B}"/>
    <hyperlink ref="H227" r:id="rId221" display="https://tools.l2.dwh.sb-sys.info/userhelp/data/komoku" xr:uid="{F94AFAD6-55BC-4AC4-9CA8-38B9ADB7975C}"/>
    <hyperlink ref="H228" r:id="rId222" display="https://tools.l2.dwh.sb-sys.info/userhelp/data/komoku" xr:uid="{AB1F4263-A6E5-4206-B6E3-EC7614D12BAB}"/>
    <hyperlink ref="H229" r:id="rId223" display="https://tools.l2.dwh.sb-sys.info/userhelp/data/komoku" xr:uid="{CA795C8B-B084-4627-B96F-8F7F5DFF6B71}"/>
    <hyperlink ref="H230" r:id="rId224" display="https://tools.l2.dwh.sb-sys.info/userhelp/data/komoku" xr:uid="{C1D1A5D9-4CCA-4F57-B99C-F98B97F314D6}"/>
    <hyperlink ref="H231" r:id="rId225" display="https://tools.l2.dwh.sb-sys.info/userhelp/data/komoku" xr:uid="{75E8FACB-3123-4FFB-9BB4-EC7FE900AAA0}"/>
    <hyperlink ref="H232" r:id="rId226" display="https://tools.l2.dwh.sb-sys.info/userhelp/data/komoku" xr:uid="{8CF732CC-DB4F-4B27-885D-95DB0FA6AD51}"/>
    <hyperlink ref="H233" r:id="rId227" display="https://tools.l2.dwh.sb-sys.info/userhelp/data/komoku" xr:uid="{C8E8031F-0C13-4FC8-8037-FFDDACD033F9}"/>
    <hyperlink ref="H234" r:id="rId228" display="https://tools.l2.dwh.sb-sys.info/userhelp/data/komoku" xr:uid="{AE9BEA8F-C031-430A-ACAA-9DF52778BFD8}"/>
    <hyperlink ref="H235" r:id="rId229" display="https://tools.l2.dwh.sb-sys.info/userhelp/data/komoku" xr:uid="{FE4BA6A4-0DFA-414D-B429-955701FC68AF}"/>
    <hyperlink ref="H236" r:id="rId230" display="https://tools.l2.dwh.sb-sys.info/userhelp/data/komoku" xr:uid="{158DEEAD-C8EA-4B59-B7B7-4A78705B51ED}"/>
    <hyperlink ref="H237" r:id="rId231" display="https://tools.l2.dwh.sb-sys.info/userhelp/data/komoku" xr:uid="{009AD6B1-2E78-4A4A-BE0C-4FDB91A02462}"/>
    <hyperlink ref="H238" r:id="rId232" display="https://tools.l2.dwh.sb-sys.info/userhelp/data/komoku" xr:uid="{1CB36A13-F76F-4115-B417-1925A330FF01}"/>
    <hyperlink ref="H239" r:id="rId233" display="https://tools.l2.dwh.sb-sys.info/userhelp/data/komoku" xr:uid="{D194CA21-0F18-4A5F-909F-86F1AD108991}"/>
    <hyperlink ref="H240" r:id="rId234" display="https://tools.l2.dwh.sb-sys.info/userhelp/data/komoku" xr:uid="{812F19B1-BF57-4E25-9722-58F0341E7E86}"/>
    <hyperlink ref="H241" r:id="rId235" display="https://tools.l2.dwh.sb-sys.info/userhelp/data/komoku" xr:uid="{F2BC1751-40FE-4156-A63F-7A47B358795D}"/>
    <hyperlink ref="H242" r:id="rId236" display="https://tools.l2.dwh.sb-sys.info/userhelp/data/komoku" xr:uid="{7F91FFC8-176F-45E7-AD55-25FABBF50383}"/>
    <hyperlink ref="H243" r:id="rId237" display="https://tools.l2.dwh.sb-sys.info/userhelp/data/komoku" xr:uid="{F95377A4-455D-4255-BE79-5FED074D846D}"/>
    <hyperlink ref="H244" r:id="rId238" display="https://tools.l2.dwh.sb-sys.info/userhelp/data/komoku" xr:uid="{C5AAA3B5-AD5D-4F59-9C62-8BF1EC21242E}"/>
    <hyperlink ref="H245" r:id="rId239" display="https://tools.l2.dwh.sb-sys.info/userhelp/data/komoku" xr:uid="{9F0FA743-5666-463D-BFEA-7A22A92DE118}"/>
    <hyperlink ref="H246" r:id="rId240" display="https://tools.l2.dwh.sb-sys.info/userhelp/data/komoku" xr:uid="{01762FE3-F415-48D5-904B-D209AFB19C02}"/>
    <hyperlink ref="H247" r:id="rId241" display="https://tools.l2.dwh.sb-sys.info/userhelp/data/komoku" xr:uid="{9C6EC81F-BDB5-4251-AA3D-F3E72BA95902}"/>
    <hyperlink ref="H248" r:id="rId242" display="https://tools.l2.dwh.sb-sys.info/userhelp/data/komoku" xr:uid="{8D1965DF-90F6-4136-9FED-D329FD2D6269}"/>
    <hyperlink ref="H249" r:id="rId243" display="https://tools.l2.dwh.sb-sys.info/userhelp/data/komoku" xr:uid="{20E5E964-2A64-433F-B7C6-71DF2C3419A7}"/>
    <hyperlink ref="H250" r:id="rId244" display="https://tools.l2.dwh.sb-sys.info/userhelp/data/komoku" xr:uid="{F7E11A34-E4AC-4BAD-9B92-FCFF1B7C3878}"/>
    <hyperlink ref="H251" r:id="rId245" display="https://tools.l2.dwh.sb-sys.info/userhelp/data/komoku" xr:uid="{D4FE5D14-E320-46B1-B4A0-64A96C3CB13A}"/>
    <hyperlink ref="H252" r:id="rId246" display="https://tools.l2.dwh.sb-sys.info/userhelp/data/komoku" xr:uid="{B0F99986-B41D-4E05-9CDC-BAD5D628774D}"/>
    <hyperlink ref="H253" r:id="rId247" display="https://tools.l2.dwh.sb-sys.info/userhelp/data/komoku" xr:uid="{885E0647-0B25-4551-B683-C6EB997BBE45}"/>
    <hyperlink ref="H254" r:id="rId248" display="https://tools.l2.dwh.sb-sys.info/userhelp/data/komoku" xr:uid="{81A44A55-BCB8-4E06-AF0F-892CD9DFA8F5}"/>
    <hyperlink ref="H255" r:id="rId249" display="https://tools.l2.dwh.sb-sys.info/userhelp/data/komoku" xr:uid="{0859B40F-6D1B-4F51-BA93-78A939C38317}"/>
    <hyperlink ref="H256" r:id="rId250" display="https://tools.l2.dwh.sb-sys.info/userhelp/data/komoku" xr:uid="{59514CE4-3D48-4E25-AB9F-0DD205BB7D2F}"/>
    <hyperlink ref="H257" r:id="rId251" display="https://tools.l2.dwh.sb-sys.info/userhelp/data/komoku" xr:uid="{BE26FD25-87F2-425A-8C56-F3DF1A68B49F}"/>
    <hyperlink ref="H258" r:id="rId252" display="https://tools.l2.dwh.sb-sys.info/userhelp/data/komoku" xr:uid="{DD25CB61-4F2C-4077-9250-52A1840F68F8}"/>
    <hyperlink ref="H259" r:id="rId253" display="https://tools.l2.dwh.sb-sys.info/userhelp/data/komoku" xr:uid="{61DA641E-79B8-434C-B225-32F86BFD0E81}"/>
    <hyperlink ref="H260" r:id="rId254" display="https://tools.l2.dwh.sb-sys.info/userhelp/data/komoku" xr:uid="{7ABA4491-BA49-425B-BDD8-91AC9802B3CB}"/>
    <hyperlink ref="H261" r:id="rId255" display="https://tools.l2.dwh.sb-sys.info/userhelp/data/komoku" xr:uid="{0F8AF6A9-078A-4BC9-855E-0BD3AFA9AEB3}"/>
    <hyperlink ref="H262" r:id="rId256" display="https://tools.l2.dwh.sb-sys.info/userhelp/data/komoku" xr:uid="{54448977-2659-4125-BFA9-7AFD11E3AB6F}"/>
    <hyperlink ref="H263" r:id="rId257" display="https://tools.l2.dwh.sb-sys.info/userhelp/data/komoku" xr:uid="{68FF83D0-374F-45C2-B0A9-1160FA665E1E}"/>
    <hyperlink ref="H264" r:id="rId258" display="https://tools.l2.dwh.sb-sys.info/userhelp/data/komoku" xr:uid="{C5F27903-B705-4000-8384-1D8DF65D2691}"/>
    <hyperlink ref="H265" r:id="rId259" display="https://tools.l2.dwh.sb-sys.info/userhelp/data/komoku" xr:uid="{A6D52AFB-5E60-4DB2-B1FD-A10D7F00977D}"/>
    <hyperlink ref="H266" r:id="rId260" display="https://tools.l2.dwh.sb-sys.info/userhelp/data/komoku" xr:uid="{697676EF-E90F-4617-ABF9-1BB9FF5731C9}"/>
    <hyperlink ref="H267" r:id="rId261" display="https://tools.l2.dwh.sb-sys.info/userhelp/data/komoku" xr:uid="{2BDA6BD5-A86B-4A66-AFCE-88AE48B90D07}"/>
    <hyperlink ref="H268" r:id="rId262" display="https://tools.l2.dwh.sb-sys.info/userhelp/data/komoku" xr:uid="{F73B0C10-C329-4ABF-B134-8E10333263F7}"/>
    <hyperlink ref="H269" r:id="rId263" display="https://tools.l2.dwh.sb-sys.info/userhelp/data/komoku" xr:uid="{CAF612BE-055F-41C4-88FC-857492DD4501}"/>
    <hyperlink ref="H270" r:id="rId264" display="https://tools.l2.dwh.sb-sys.info/userhelp/data/komoku" xr:uid="{872AA877-2832-4FD2-A5EA-3ED270471E67}"/>
    <hyperlink ref="H271" r:id="rId265" display="https://tools.l2.dwh.sb-sys.info/userhelp/data/komoku" xr:uid="{816BE247-A988-4733-AF45-C5B5A1999065}"/>
    <hyperlink ref="H272" r:id="rId266" display="https://tools.l2.dwh.sb-sys.info/userhelp/data/komoku" xr:uid="{A3927422-17D1-4F3D-998D-8E2261640AF0}"/>
    <hyperlink ref="H273" r:id="rId267" display="https://tools.l2.dwh.sb-sys.info/userhelp/data/komoku" xr:uid="{EBD10C7E-9F74-4CEE-BBD8-A2366B51E100}"/>
    <hyperlink ref="H274" r:id="rId268" display="https://tools.l2.dwh.sb-sys.info/userhelp/data/komoku" xr:uid="{9024598C-162E-4001-A3E1-5D4959A13E20}"/>
    <hyperlink ref="H275" r:id="rId269" display="https://tools.l2.dwh.sb-sys.info/userhelp/data/komoku" xr:uid="{CC70393C-FE08-4791-9990-15EA9306CD26}"/>
    <hyperlink ref="H276" r:id="rId270" display="https://tools.l2.dwh.sb-sys.info/userhelp/data/komoku" xr:uid="{3F1C0CD5-4745-4A1A-8F0D-06C7C48B4A93}"/>
    <hyperlink ref="H277" r:id="rId271" display="https://tools.l2.dwh.sb-sys.info/userhelp/data/komoku" xr:uid="{452CA074-D985-479D-9936-942C07FDF034}"/>
    <hyperlink ref="H278" r:id="rId272" display="https://tools.l2.dwh.sb-sys.info/userhelp/data/komoku" xr:uid="{4A59C92D-4752-48D5-B839-28612D18A57A}"/>
    <hyperlink ref="H279" r:id="rId273" display="https://tools.l2.dwh.sb-sys.info/userhelp/data/komoku" xr:uid="{D03920FE-429B-4F8D-B917-27F9332323B6}"/>
    <hyperlink ref="H280" r:id="rId274" display="https://tools.l2.dwh.sb-sys.info/userhelp/data/komoku" xr:uid="{AA7A84D1-A070-4C63-B045-4AA341E04D8C}"/>
    <hyperlink ref="H281" r:id="rId275" display="https://tools.l2.dwh.sb-sys.info/userhelp/data/komoku" xr:uid="{1381330B-999A-4F09-A302-F91255C65923}"/>
    <hyperlink ref="H282" r:id="rId276" display="https://tools.l2.dwh.sb-sys.info/userhelp/data/komoku" xr:uid="{8BC1D084-DB83-43D6-93C1-2F3EFD81C9FB}"/>
    <hyperlink ref="H283" r:id="rId277" display="https://tools.l2.dwh.sb-sys.info/userhelp/data/komoku" xr:uid="{A17B9573-3026-46DD-8821-7AA15D463486}"/>
    <hyperlink ref="H284" r:id="rId278" display="https://tools.l2.dwh.sb-sys.info/userhelp/data/komoku" xr:uid="{97D5BA29-911E-4557-8B98-C11F02A390F9}"/>
    <hyperlink ref="H285" r:id="rId279" display="https://tools.l2.dwh.sb-sys.info/userhelp/data/komoku" xr:uid="{12D8098C-A7BB-4358-87E6-F907B4C5AD57}"/>
    <hyperlink ref="H286" r:id="rId280" display="https://tools.l2.dwh.sb-sys.info/userhelp/data/komoku" xr:uid="{53D8F39E-DE48-4DEF-8EF5-E55A1E6EACF4}"/>
    <hyperlink ref="H287" r:id="rId281" display="https://tools.l2.dwh.sb-sys.info/userhelp/data/komoku" xr:uid="{51683F3C-2D11-40FE-841D-DFDB30577818}"/>
    <hyperlink ref="H288" r:id="rId282" display="https://tools.l2.dwh.sb-sys.info/userhelp/data/komoku" xr:uid="{3CF380F2-FCCF-4F69-B374-DE2BDC58E40B}"/>
    <hyperlink ref="H289" r:id="rId283" display="https://tools.l2.dwh.sb-sys.info/userhelp/data/komoku" xr:uid="{1F41F632-D794-4F79-9D2D-965D1691A2B2}"/>
    <hyperlink ref="H290" r:id="rId284" display="https://tools.l2.dwh.sb-sys.info/userhelp/data/komoku" xr:uid="{93F6D894-ADD1-4017-AC0E-BC65E212D1B1}"/>
    <hyperlink ref="H291" r:id="rId285" display="https://tools.l2.dwh.sb-sys.info/userhelp/data/komoku" xr:uid="{130EF51D-01B7-4852-B679-1A6933E50F57}"/>
    <hyperlink ref="H292" r:id="rId286" display="https://tools.l2.dwh.sb-sys.info/userhelp/data/komoku" xr:uid="{2E722C1F-7437-4735-83E2-18C32E699898}"/>
    <hyperlink ref="H293" r:id="rId287" display="https://tools.l2.dwh.sb-sys.info/userhelp/data/komoku" xr:uid="{8BF0A581-23F9-407A-BE73-C8696E8BD20F}"/>
    <hyperlink ref="H294" r:id="rId288" display="https://tools.l2.dwh.sb-sys.info/userhelp/data/komoku" xr:uid="{F4E26132-4A3D-414A-B699-11B0490F2D1B}"/>
    <hyperlink ref="H295" r:id="rId289" display="https://tools.l2.dwh.sb-sys.info/userhelp/data/komoku" xr:uid="{3983BD2B-890D-45E2-8852-77AAA604878F}"/>
    <hyperlink ref="H296" r:id="rId290" display="https://tools.l2.dwh.sb-sys.info/userhelp/data/komoku" xr:uid="{C55EFE9F-3D30-4E46-9360-96466C178522}"/>
    <hyperlink ref="H297" r:id="rId291" display="https://tools.l2.dwh.sb-sys.info/userhelp/data/komoku" xr:uid="{C7019534-A890-482C-970A-9360BE2E9296}"/>
    <hyperlink ref="H298" r:id="rId292" display="https://tools.l2.dwh.sb-sys.info/userhelp/data/komoku" xr:uid="{1B82D016-07FC-43A7-8C2D-0F110D996FFA}"/>
    <hyperlink ref="H299" r:id="rId293" display="https://tools.l2.dwh.sb-sys.info/userhelp/data/komoku" xr:uid="{C75B5DAB-5289-4816-9650-9CF215966946}"/>
    <hyperlink ref="H300" r:id="rId294" display="https://tools.l2.dwh.sb-sys.info/userhelp/data/komoku" xr:uid="{7139EBA4-8379-4FC1-B240-D34C21E6EDEC}"/>
    <hyperlink ref="H301" r:id="rId295" display="https://tools.l2.dwh.sb-sys.info/userhelp/data/komoku" xr:uid="{B1B19884-A1B9-4187-B114-8B168165C3BA}"/>
    <hyperlink ref="H302" r:id="rId296" display="https://tools.l2.dwh.sb-sys.info/userhelp/data/komoku" xr:uid="{AD45A8F1-2ADF-44C6-9E58-CF7D7B27163A}"/>
    <hyperlink ref="H303" r:id="rId297" display="https://tools.l2.dwh.sb-sys.info/userhelp/data/komoku" xr:uid="{B1775BAE-8403-4A6F-A3AA-42F930E930DB}"/>
    <hyperlink ref="H304" r:id="rId298" display="https://tools.l2.dwh.sb-sys.info/userhelp/data/komoku" xr:uid="{8A4FD719-1E0E-42FA-A058-C0D148ED143C}"/>
    <hyperlink ref="H305" r:id="rId299" display="https://tools.l2.dwh.sb-sys.info/userhelp/data/komoku" xr:uid="{876FCB68-96CF-46F8-B1EC-14239527D788}"/>
    <hyperlink ref="H306" r:id="rId300" display="https://tools.l2.dwh.sb-sys.info/userhelp/data/komoku" xr:uid="{F5526567-A8C7-4CEB-8EC1-3E636D5B68F2}"/>
    <hyperlink ref="H307" r:id="rId301" display="https://tools.l2.dwh.sb-sys.info/userhelp/data/komoku" xr:uid="{AC24A636-0346-414A-A82E-17C33259B2EE}"/>
    <hyperlink ref="H308" r:id="rId302" display="https://tools.l2.dwh.sb-sys.info/userhelp/data/komoku" xr:uid="{98459434-D34B-45D3-BD56-204F6530A140}"/>
    <hyperlink ref="H309" r:id="rId303" display="https://tools.l2.dwh.sb-sys.info/userhelp/data/komoku" xr:uid="{1503E17A-0523-4CD1-9DE9-EA4EDA7FC31E}"/>
    <hyperlink ref="H310" r:id="rId304" display="https://tools.l2.dwh.sb-sys.info/userhelp/data/komoku" xr:uid="{CD1149FB-A0A3-4F34-BAA0-6827D54C27DF}"/>
    <hyperlink ref="H311" r:id="rId305" display="https://tools.l2.dwh.sb-sys.info/userhelp/data/komoku" xr:uid="{21DCD7D4-C945-4E9F-AF34-A9097994DA6F}"/>
    <hyperlink ref="H312" r:id="rId306" display="https://tools.l2.dwh.sb-sys.info/userhelp/data/komoku" xr:uid="{B243B7D5-D877-4230-B638-D0F87AABD1C5}"/>
    <hyperlink ref="H313" r:id="rId307" display="https://tools.l2.dwh.sb-sys.info/userhelp/data/komoku" xr:uid="{E786916C-1184-4037-905A-FCC9218A2EEB}"/>
    <hyperlink ref="H314" r:id="rId308" display="https://tools.l2.dwh.sb-sys.info/userhelp/data/komoku" xr:uid="{BBC3E5CC-7AF3-4E06-A080-3057CC9E767D}"/>
    <hyperlink ref="H315" r:id="rId309" display="https://tools.l2.dwh.sb-sys.info/userhelp/data/komoku" xr:uid="{B56F025E-2A0A-4D41-83C2-08110FE6EB2C}"/>
    <hyperlink ref="H316" r:id="rId310" display="https://tools.l2.dwh.sb-sys.info/userhelp/data/komoku" xr:uid="{CFCE3ABF-8098-461E-A434-515ED32D6994}"/>
    <hyperlink ref="H317" r:id="rId311" display="https://tools.l2.dwh.sb-sys.info/userhelp/data/komoku" xr:uid="{1253B75F-1472-40B8-AE64-DB2DB1C28035}"/>
    <hyperlink ref="H318" r:id="rId312" display="https://tools.l2.dwh.sb-sys.info/userhelp/data/komoku" xr:uid="{AFB44D7B-E409-450A-9AE4-8D0E55A61AFC}"/>
    <hyperlink ref="H319" r:id="rId313" display="https://tools.l2.dwh.sb-sys.info/userhelp/data/komoku" xr:uid="{C794EC78-19E3-4AAE-B469-4C74F3084410}"/>
    <hyperlink ref="H320" r:id="rId314" display="https://tools.l2.dwh.sb-sys.info/userhelp/data/komoku" xr:uid="{4D57B1B4-7EB0-474A-9CC8-D5EDB70B2A34}"/>
    <hyperlink ref="H321" r:id="rId315" display="https://tools.l2.dwh.sb-sys.info/userhelp/data/komoku" xr:uid="{76E444E4-089D-49F6-AAA4-AEB0B38EA1E9}"/>
    <hyperlink ref="H322" r:id="rId316" display="https://tools.l2.dwh.sb-sys.info/userhelp/data/komoku" xr:uid="{FBEC021F-5EDB-4FA2-B6B6-EB0EB31EC323}"/>
    <hyperlink ref="H323" r:id="rId317" display="https://tools.l2.dwh.sb-sys.info/userhelp/data/komoku" xr:uid="{B12762DD-1FC5-4AC6-AE05-B7B832A74961}"/>
    <hyperlink ref="H324" r:id="rId318" display="https://tools.l2.dwh.sb-sys.info/userhelp/data/komoku" xr:uid="{E6050C62-A51A-4ABC-8932-3132D98FA32F}"/>
    <hyperlink ref="H325" r:id="rId319" display="https://tools.l2.dwh.sb-sys.info/userhelp/data/komoku" xr:uid="{79C7C31C-E31F-4732-8F80-51B4C62FAB63}"/>
    <hyperlink ref="H326" r:id="rId320" display="https://tools.l2.dwh.sb-sys.info/userhelp/data/komoku" xr:uid="{ACD79B13-3510-4FA2-B804-AF4CC86A9519}"/>
    <hyperlink ref="H327" r:id="rId321" display="https://tools.l2.dwh.sb-sys.info/userhelp/data/komoku" xr:uid="{BEA516C0-9663-4DE4-A7D9-69CEE848A6B7}"/>
    <hyperlink ref="H328" r:id="rId322" display="https://tools.l2.dwh.sb-sys.info/userhelp/data/komoku" xr:uid="{87CBCA8B-10EE-49C5-89BA-EC3D64759786}"/>
    <hyperlink ref="H329" r:id="rId323" display="https://tools.l2.dwh.sb-sys.info/userhelp/data/komoku" xr:uid="{C0F22C23-62E0-4507-B79A-A013AD967496}"/>
    <hyperlink ref="H330" r:id="rId324" display="https://tools.l2.dwh.sb-sys.info/userhelp/data/komoku" xr:uid="{D0CE53AA-7AFB-4A9D-95A3-934D59BA34F6}"/>
    <hyperlink ref="H331" r:id="rId325" display="https://tools.l2.dwh.sb-sys.info/userhelp/data/komoku" xr:uid="{4E621F1C-0699-4604-BBDE-61A51284F3F1}"/>
    <hyperlink ref="H332" r:id="rId326" display="https://tools.l2.dwh.sb-sys.info/userhelp/data/komoku" xr:uid="{0419306E-CFDE-4923-AD2C-F6CB72D2AC7F}"/>
    <hyperlink ref="H333" r:id="rId327" display="https://tools.l2.dwh.sb-sys.info/userhelp/data/komoku" xr:uid="{A828DD8A-F252-47D2-A615-E716D5CF933D}"/>
    <hyperlink ref="H334" r:id="rId328" display="https://tools.l2.dwh.sb-sys.info/userhelp/data/komoku" xr:uid="{9DA00290-8C9F-4B41-9C82-ECF62F6CC749}"/>
    <hyperlink ref="H335" r:id="rId329" display="https://tools.l2.dwh.sb-sys.info/userhelp/data/komoku" xr:uid="{6047692A-E98A-4037-B9CC-C6511FF4B722}"/>
    <hyperlink ref="H336" r:id="rId330" display="https://tools.l2.dwh.sb-sys.info/userhelp/data/komoku" xr:uid="{626A7959-707A-49CB-9E29-70A4FD8CB3A8}"/>
    <hyperlink ref="H337" r:id="rId331" display="https://tools.l2.dwh.sb-sys.info/userhelp/data/komoku" xr:uid="{20438498-DFFC-4762-B9CC-1CB0836693A8}"/>
    <hyperlink ref="H338" r:id="rId332" display="https://tools.l2.dwh.sb-sys.info/userhelp/data/komoku" xr:uid="{97D3D953-A131-46E0-94B8-5D6B21AC42C0}"/>
    <hyperlink ref="H339" r:id="rId333" display="https://tools.l2.dwh.sb-sys.info/userhelp/data/komoku" xr:uid="{AE5AF245-700E-451B-8791-C57C3D4D5183}"/>
    <hyperlink ref="H340" r:id="rId334" display="https://tools.l2.dwh.sb-sys.info/userhelp/data/komoku" xr:uid="{1DE66A19-828D-467D-810A-012D4B85514B}"/>
    <hyperlink ref="H341" r:id="rId335" display="https://tools.l2.dwh.sb-sys.info/userhelp/data/komoku" xr:uid="{BD774825-6AA5-488E-8517-86AE4780696B}"/>
    <hyperlink ref="H342" r:id="rId336" display="https://tools.l2.dwh.sb-sys.info/userhelp/data/komoku" xr:uid="{84EEFF19-0CCA-41BD-A28D-A7ED0EA94F33}"/>
    <hyperlink ref="H343" r:id="rId337" display="https://tools.l2.dwh.sb-sys.info/userhelp/data/komoku" xr:uid="{29BE433C-516F-4200-A28E-5F6E32FAF010}"/>
    <hyperlink ref="H344" r:id="rId338" display="https://tools.l2.dwh.sb-sys.info/userhelp/data/komoku" xr:uid="{50C3C68B-507A-497C-B13A-88C8B4D88280}"/>
    <hyperlink ref="H345" r:id="rId339" display="https://tools.l2.dwh.sb-sys.info/userhelp/data/komoku" xr:uid="{9334747E-1251-48A0-9F00-5841F071ACDF}"/>
    <hyperlink ref="H346" r:id="rId340" display="https://tools.l2.dwh.sb-sys.info/userhelp/data/komoku" xr:uid="{90BC3CC2-2CAB-46D4-A8A3-FB342C6E1BA0}"/>
    <hyperlink ref="H347" r:id="rId341" display="https://tools.l2.dwh.sb-sys.info/userhelp/data/komoku" xr:uid="{146D02E2-07A2-4896-8198-85D2FEDB1E39}"/>
    <hyperlink ref="H348" r:id="rId342" display="https://tools.l2.dwh.sb-sys.info/userhelp/data/komoku" xr:uid="{6D04D1DE-E2A4-4D85-88F5-702E197A4601}"/>
    <hyperlink ref="H349" r:id="rId343" display="https://tools.l2.dwh.sb-sys.info/userhelp/data/komoku" xr:uid="{B3F38340-E642-46A2-82BA-292AF959C103}"/>
    <hyperlink ref="H350" r:id="rId344" display="https://tools.l2.dwh.sb-sys.info/userhelp/data/komoku" xr:uid="{99A7A21A-6311-4047-B542-9138371FA2FB}"/>
    <hyperlink ref="H351" r:id="rId345" display="https://tools.l2.dwh.sb-sys.info/userhelp/data/komoku" xr:uid="{79269931-373F-408F-B0DB-A37D1A82C3FE}"/>
    <hyperlink ref="H352" r:id="rId346" display="https://tools.l2.dwh.sb-sys.info/userhelp/data/komoku" xr:uid="{ED65E38C-BBA3-4E41-9B99-9009569DC030}"/>
    <hyperlink ref="H353" r:id="rId347" display="https://tools.l2.dwh.sb-sys.info/userhelp/data/komoku" xr:uid="{CDD2F4EC-257A-4F3F-83B0-612E037AE3F2}"/>
    <hyperlink ref="H354" r:id="rId348" display="https://tools.l2.dwh.sb-sys.info/userhelp/data/komoku" xr:uid="{ED65AF35-2FAF-457C-8429-B922C6A8986A}"/>
    <hyperlink ref="H355" r:id="rId349" display="https://tools.l2.dwh.sb-sys.info/userhelp/data/komoku" xr:uid="{CE21D653-D91B-4D1B-A888-5A1164D2F1F6}"/>
    <hyperlink ref="H356" r:id="rId350" display="https://tools.l2.dwh.sb-sys.info/userhelp/data/komoku" xr:uid="{464BEB54-8613-4816-AAD3-EABC6B1D7AF0}"/>
    <hyperlink ref="H357" r:id="rId351" display="https://tools.l2.dwh.sb-sys.info/userhelp/data/komoku" xr:uid="{B7C6EDBB-324F-4AEB-A11B-1676A8E4FD88}"/>
    <hyperlink ref="H358" r:id="rId352" display="https://tools.l2.dwh.sb-sys.info/userhelp/data/komoku" xr:uid="{2FE69509-E4C0-4DB5-B925-FE11AAF425C3}"/>
    <hyperlink ref="H359" r:id="rId353" display="https://tools.l2.dwh.sb-sys.info/userhelp/data/komoku" xr:uid="{00BF196F-C1C8-40F0-BD42-0ACED0B0E5FC}"/>
    <hyperlink ref="H360" r:id="rId354" display="https://tools.l2.dwh.sb-sys.info/userhelp/data/komoku" xr:uid="{3652E0A4-9E9F-43E8-ABC5-7CC09BDDA6B1}"/>
    <hyperlink ref="H361" r:id="rId355" display="https://tools.l2.dwh.sb-sys.info/userhelp/data/komoku" xr:uid="{A609726C-0CCE-498B-A1B3-50D70F7BF914}"/>
    <hyperlink ref="H362" r:id="rId356" display="https://tools.l2.dwh.sb-sys.info/userhelp/data/komoku" xr:uid="{78E6C258-34F7-44CF-9FB3-7E988917DB63}"/>
    <hyperlink ref="H363" r:id="rId357" display="https://tools.l2.dwh.sb-sys.info/userhelp/data/komoku" xr:uid="{F0BA0569-2ED8-4559-A77C-29063C168A07}"/>
    <hyperlink ref="H364" r:id="rId358" display="https://tools.l2.dwh.sb-sys.info/userhelp/data/komoku" xr:uid="{5FCE3BF6-7AD5-4A90-ADFB-CD1C4C96E06D}"/>
    <hyperlink ref="H365" r:id="rId359" display="https://tools.l2.dwh.sb-sys.info/userhelp/data/komoku" xr:uid="{3C7E1F34-C9FD-41F9-9DBA-3F539F8A6ADB}"/>
    <hyperlink ref="H366" r:id="rId360" display="https://tools.l2.dwh.sb-sys.info/userhelp/data/komoku" xr:uid="{BB3F4B22-CB45-45FD-A99F-250DEAE4CF1C}"/>
    <hyperlink ref="H367" r:id="rId361" display="https://tools.l2.dwh.sb-sys.info/userhelp/data/komoku" xr:uid="{A7A9F165-5179-4A36-8EC6-D829912A5580}"/>
    <hyperlink ref="H368" r:id="rId362" display="https://tools.l2.dwh.sb-sys.info/userhelp/data/komoku" xr:uid="{1A7B11A7-5EF4-4745-97F2-FAE6536E8CD5}"/>
    <hyperlink ref="H369" r:id="rId363" display="https://tools.l2.dwh.sb-sys.info/userhelp/data/komoku" xr:uid="{EF805AC7-95CD-49EA-BA3A-BBB06DE44375}"/>
    <hyperlink ref="H370" r:id="rId364" display="https://tools.l2.dwh.sb-sys.info/userhelp/data/komoku" xr:uid="{FA3421ED-9626-4957-A0BF-E72150659D2B}"/>
    <hyperlink ref="H371" r:id="rId365" display="https://tools.l2.dwh.sb-sys.info/userhelp/data/komoku" xr:uid="{093BBE2D-13B9-4142-BFC5-6F9D56B11D16}"/>
    <hyperlink ref="H372" r:id="rId366" display="https://tools.l2.dwh.sb-sys.info/userhelp/data/komoku" xr:uid="{52971B90-713A-41EE-AD3A-34E248F01A1A}"/>
    <hyperlink ref="H373" r:id="rId367" display="https://tools.l2.dwh.sb-sys.info/userhelp/data/komoku" xr:uid="{69F85746-337D-464C-8B0F-07C718860C8D}"/>
    <hyperlink ref="H374" r:id="rId368" display="https://tools.l2.dwh.sb-sys.info/userhelp/data/komoku" xr:uid="{95552563-55E0-4FC2-B5FA-68B231FFB829}"/>
    <hyperlink ref="H375" r:id="rId369" display="https://tools.l2.dwh.sb-sys.info/userhelp/data/komoku" xr:uid="{7FD2EB49-2342-447E-B895-F6CD2BCC0738}"/>
    <hyperlink ref="H376" r:id="rId370" display="https://tools.l2.dwh.sb-sys.info/userhelp/data/komoku" xr:uid="{DD289ECB-03C0-4A4C-981D-69B0D26F9891}"/>
    <hyperlink ref="H377" r:id="rId371" display="https://tools.l2.dwh.sb-sys.info/userhelp/data/komoku" xr:uid="{33F500A6-6428-45A7-A605-C9AF18788A42}"/>
    <hyperlink ref="H378" r:id="rId372" display="https://tools.l2.dwh.sb-sys.info/userhelp/data/komoku" xr:uid="{63D75440-A5B1-421B-AFF8-BE60D6BD9E45}"/>
    <hyperlink ref="H379" r:id="rId373" display="https://tools.l2.dwh.sb-sys.info/userhelp/data/komoku" xr:uid="{A11A16B8-1E42-4449-90BC-2F41D57DD32A}"/>
    <hyperlink ref="H380" r:id="rId374" display="https://tools.l2.dwh.sb-sys.info/userhelp/data/komoku" xr:uid="{2C307CBC-CCCE-4A12-B890-75A7C1B621B8}"/>
    <hyperlink ref="H381" r:id="rId375" display="https://tools.l2.dwh.sb-sys.info/userhelp/data/komoku" xr:uid="{7A63BADC-360B-4005-9E34-D9C0E5887EE5}"/>
    <hyperlink ref="H382" r:id="rId376" display="https://tools.l2.dwh.sb-sys.info/userhelp/data/komoku" xr:uid="{A777BFE3-7D31-4281-8B4F-2589FD7239E8}"/>
    <hyperlink ref="H383" r:id="rId377" display="https://tools.l2.dwh.sb-sys.info/userhelp/data/komoku" xr:uid="{26B5BF6B-5CD8-46D1-81F6-C34A7E0932C4}"/>
    <hyperlink ref="H384" r:id="rId378" display="https://tools.l2.dwh.sb-sys.info/userhelp/data/komoku" xr:uid="{F30EFFD4-3140-4B5C-B20C-78F6390E89F7}"/>
    <hyperlink ref="H385" r:id="rId379" display="https://tools.l2.dwh.sb-sys.info/userhelp/data/komoku" xr:uid="{1174219B-933F-4DFB-96EF-A103D510C8DB}"/>
    <hyperlink ref="H386" r:id="rId380" display="https://tools.l2.dwh.sb-sys.info/userhelp/data/komoku" xr:uid="{839507F0-23E8-4491-B89F-D5C1FB4E3F85}"/>
    <hyperlink ref="H387" r:id="rId381" display="https://tools.l2.dwh.sb-sys.info/userhelp/data/komoku" xr:uid="{C38AE6DE-D830-4918-971D-D1E7804FFCC2}"/>
    <hyperlink ref="H388" r:id="rId382" display="https://tools.l2.dwh.sb-sys.info/userhelp/data/komoku" xr:uid="{C856CDC6-EA78-4D0F-9FD8-80C97AC55256}"/>
    <hyperlink ref="H389" r:id="rId383" display="https://tools.l2.dwh.sb-sys.info/userhelp/data/komoku" xr:uid="{95665266-B6B1-4511-B967-92E60DC65EEE}"/>
    <hyperlink ref="H390" r:id="rId384" display="https://tools.l2.dwh.sb-sys.info/userhelp/data/komoku" xr:uid="{0F3187A9-B7B6-451A-B611-6689E178A71D}"/>
    <hyperlink ref="H391" r:id="rId385" display="https://tools.l2.dwh.sb-sys.info/userhelp/data/komoku" xr:uid="{E4F51CC3-1C16-4DA9-8DB8-E926BEDA4E3F}"/>
    <hyperlink ref="H392" r:id="rId386" display="https://tools.l2.dwh.sb-sys.info/userhelp/data/komoku" xr:uid="{E8B8F93D-8067-421D-A8F5-9AFBF118EE6E}"/>
    <hyperlink ref="H393" r:id="rId387" display="https://tools.l2.dwh.sb-sys.info/userhelp/data/komoku" xr:uid="{A0A2D999-6577-4271-8DE7-633D3785793D}"/>
    <hyperlink ref="H394" r:id="rId388" display="https://tools.l2.dwh.sb-sys.info/userhelp/data/komoku" xr:uid="{D6021C51-A525-4D95-9D35-CF23B2247591}"/>
    <hyperlink ref="H395" r:id="rId389" display="https://tools.l2.dwh.sb-sys.info/userhelp/data/komoku" xr:uid="{9A7FDE2A-BB04-4ABE-A183-6184088FBFDF}"/>
    <hyperlink ref="H396" r:id="rId390" display="https://tools.l2.dwh.sb-sys.info/userhelp/data/komoku" xr:uid="{826CDE17-7927-4A8D-907C-6171CD175126}"/>
    <hyperlink ref="H397" r:id="rId391" display="https://tools.l2.dwh.sb-sys.info/userhelp/data/komoku" xr:uid="{F720B41E-0C4C-45C7-9F81-F11CCF4DB9D0}"/>
    <hyperlink ref="H398" r:id="rId392" display="https://tools.l2.dwh.sb-sys.info/userhelp/data/komoku" xr:uid="{2C9E8AEF-4AF1-4819-B6F3-189B3CCCDAF1}"/>
    <hyperlink ref="H399" r:id="rId393" display="https://tools.l2.dwh.sb-sys.info/userhelp/data/komoku" xr:uid="{49510B3C-E5D7-405A-A2F3-69289CC39C1E}"/>
    <hyperlink ref="H400" r:id="rId394" display="https://tools.l2.dwh.sb-sys.info/userhelp/data/komoku" xr:uid="{DA35C95E-4CF6-44A3-A26B-7C98B3B7C0C4}"/>
    <hyperlink ref="H401" r:id="rId395" display="https://tools.l2.dwh.sb-sys.info/userhelp/data/komoku" xr:uid="{E9C976FD-E5F4-4D3E-8E2F-BBCE3CE2F06E}"/>
    <hyperlink ref="H402" r:id="rId396" display="https://tools.l2.dwh.sb-sys.info/userhelp/data/komoku" xr:uid="{D1645E70-9F91-4A4D-A39B-50E2AD2AC7DF}"/>
    <hyperlink ref="H403" r:id="rId397" display="https://tools.l2.dwh.sb-sys.info/userhelp/data/komoku" xr:uid="{2D88B58D-BE70-431E-8A90-C32A5652EFA1}"/>
    <hyperlink ref="H404" r:id="rId398" display="https://tools.l2.dwh.sb-sys.info/userhelp/data/komoku" xr:uid="{1FB38C66-909B-4979-AA5A-F5FB3805D8C0}"/>
    <hyperlink ref="H405" r:id="rId399" display="https://tools.l2.dwh.sb-sys.info/userhelp/data/komoku" xr:uid="{B6E33DFB-AF88-48A6-BAFD-7D975B368EB4}"/>
    <hyperlink ref="H406" r:id="rId400" display="https://tools.l2.dwh.sb-sys.info/userhelp/data/komoku" xr:uid="{F93ED95B-2A2F-4948-869E-A26F1E863CCB}"/>
    <hyperlink ref="H407" r:id="rId401" display="https://tools.l2.dwh.sb-sys.info/userhelp/data/komoku" xr:uid="{CD79BDB6-44C6-4CF9-8792-BFA9E4BAA39A}"/>
    <hyperlink ref="H408" r:id="rId402" display="https://tools.l2.dwh.sb-sys.info/userhelp/data/komoku" xr:uid="{F8DFEC6E-2749-4B25-B246-B5B1AA253C55}"/>
    <hyperlink ref="H409" r:id="rId403" display="https://tools.l2.dwh.sb-sys.info/userhelp/data/komoku" xr:uid="{7ABB2B11-7292-4091-A48B-499D0D951688}"/>
    <hyperlink ref="H410" r:id="rId404" display="https://tools.l2.dwh.sb-sys.info/userhelp/data/komoku" xr:uid="{02C72E82-E5E9-4D61-A9E9-E72EF425D578}"/>
    <hyperlink ref="H411" r:id="rId405" display="https://tools.l2.dwh.sb-sys.info/userhelp/data/komoku" xr:uid="{AEFFBF4F-C042-49B2-8589-55F1D163BC9C}"/>
    <hyperlink ref="H412" r:id="rId406" display="https://tools.l2.dwh.sb-sys.info/userhelp/data/komoku" xr:uid="{3F456A7C-8173-471B-AD2F-9D90F6AAC698}"/>
    <hyperlink ref="H413" r:id="rId407" display="https://tools.l2.dwh.sb-sys.info/userhelp/data/komoku" xr:uid="{64B5B00E-6489-4F2E-A58F-D8267DF99063}"/>
    <hyperlink ref="H414" r:id="rId408" display="https://tools.l2.dwh.sb-sys.info/userhelp/data/komoku" xr:uid="{E0A900DC-58DD-44AC-9546-DA7FDFC6F15F}"/>
    <hyperlink ref="H415" r:id="rId409" display="https://tools.l2.dwh.sb-sys.info/userhelp/data/komoku" xr:uid="{E4B382AE-F398-48AC-A9CB-F818D66486DB}"/>
    <hyperlink ref="H416" r:id="rId410" display="https://tools.l2.dwh.sb-sys.info/userhelp/data/komoku" xr:uid="{3AF448BE-9DF1-4FF2-AD13-C1A5C08A7021}"/>
    <hyperlink ref="H417" r:id="rId411" display="https://tools.l2.dwh.sb-sys.info/userhelp/data/komoku" xr:uid="{C86606F7-00B3-4739-BB7E-BF73EE4BBBFD}"/>
    <hyperlink ref="H418" r:id="rId412" display="https://tools.l2.dwh.sb-sys.info/userhelp/data/komoku" xr:uid="{BBB6C713-8228-4D4F-A527-4CCE19BE12BA}"/>
    <hyperlink ref="H419" r:id="rId413" display="https://tools.l2.dwh.sb-sys.info/userhelp/data/komoku" xr:uid="{71EEB3E2-C608-4871-ACBD-BA6ED2D5D3FF}"/>
    <hyperlink ref="H420" r:id="rId414" display="https://tools.l2.dwh.sb-sys.info/userhelp/data/komoku" xr:uid="{43682047-D691-4102-8B0E-37FB25858006}"/>
    <hyperlink ref="H421" r:id="rId415" display="https://tools.l2.dwh.sb-sys.info/userhelp/data/komoku" xr:uid="{F6C2BD2E-D829-49F8-8AB4-900C791CB629}"/>
    <hyperlink ref="H422" r:id="rId416" display="https://tools.l2.dwh.sb-sys.info/userhelp/data/komoku" xr:uid="{34BFFA2C-6042-4472-8F82-2E1B1B94ECE8}"/>
    <hyperlink ref="H423" r:id="rId417" display="https://tools.l2.dwh.sb-sys.info/userhelp/data/komoku" xr:uid="{D118F22C-F7ED-45ED-88E7-0FCB0406565A}"/>
    <hyperlink ref="H424" r:id="rId418" display="https://tools.l2.dwh.sb-sys.info/userhelp/data/komoku" xr:uid="{D401F0F0-524F-4CE7-9FC4-439D60922843}"/>
    <hyperlink ref="H425" r:id="rId419" display="https://tools.l2.dwh.sb-sys.info/userhelp/data/komoku" xr:uid="{1701AA0B-7CF0-417A-B2B0-60A63C15A6DE}"/>
    <hyperlink ref="H426" r:id="rId420" display="https://tools.l2.dwh.sb-sys.info/userhelp/data/komoku" xr:uid="{26F6650E-2366-4B88-A7E0-1DDFEF8A7564}"/>
    <hyperlink ref="H427" r:id="rId421" display="https://tools.l2.dwh.sb-sys.info/userhelp/data/komoku" xr:uid="{24E7934F-890C-4F0B-9493-51D1CD62E950}"/>
    <hyperlink ref="H428" r:id="rId422" display="https://tools.l2.dwh.sb-sys.info/userhelp/data/komoku" xr:uid="{014D7077-1B24-482E-9460-D5487E6D9FD4}"/>
    <hyperlink ref="H429" r:id="rId423" display="https://tools.l2.dwh.sb-sys.info/userhelp/data/komoku" xr:uid="{C2AB67FD-DA78-4ADE-B001-91736F609FC9}"/>
    <hyperlink ref="H430" r:id="rId424" display="https://tools.l2.dwh.sb-sys.info/userhelp/data/komoku" xr:uid="{4AAAA747-9959-4A0A-A53E-9F97A1AF5BEB}"/>
    <hyperlink ref="H431" r:id="rId425" display="https://tools.l2.dwh.sb-sys.info/userhelp/data/komoku" xr:uid="{B80505D5-921F-4846-BA64-CB344CCA85F8}"/>
    <hyperlink ref="H432" r:id="rId426" display="https://tools.l2.dwh.sb-sys.info/userhelp/data/komoku" xr:uid="{B9B2F570-4CE5-4F1C-BBFC-E6563E564CFC}"/>
    <hyperlink ref="H433" r:id="rId427" display="https://tools.l2.dwh.sb-sys.info/userhelp/data/komoku" xr:uid="{3D95FADA-7328-4819-B854-14C5DB6006DB}"/>
    <hyperlink ref="H434" r:id="rId428" display="https://tools.l2.dwh.sb-sys.info/userhelp/data/komoku" xr:uid="{DF7FCF8A-22E2-46D2-AFC7-2CCAA9DEC92B}"/>
    <hyperlink ref="H435" r:id="rId429" display="https://tools.l2.dwh.sb-sys.info/userhelp/data/komoku" xr:uid="{41CB7D96-35E9-4E97-8518-C5D25DCE5EE2}"/>
    <hyperlink ref="H436" r:id="rId430" display="https://tools.l2.dwh.sb-sys.info/userhelp/data/komoku" xr:uid="{B3796C88-A059-4876-9C8B-DEF013D57821}"/>
    <hyperlink ref="H437" r:id="rId431" display="https://tools.l2.dwh.sb-sys.info/userhelp/data/komoku" xr:uid="{796EDB80-5C4B-46E9-AD19-DE584B855C1E}"/>
    <hyperlink ref="H438" r:id="rId432" display="https://tools.l2.dwh.sb-sys.info/userhelp/data/komoku" xr:uid="{37C299BE-9570-4280-B191-6191CA02778F}"/>
    <hyperlink ref="H439" r:id="rId433" display="https://tools.l2.dwh.sb-sys.info/userhelp/data/komoku" xr:uid="{2055E894-D340-4CAE-A62A-F00627FA5CBB}"/>
    <hyperlink ref="H440" r:id="rId434" display="https://tools.l2.dwh.sb-sys.info/userhelp/data/komoku" xr:uid="{2BA98348-7739-4B6C-9E87-D06F703363EC}"/>
    <hyperlink ref="H441" r:id="rId435" display="https://tools.l2.dwh.sb-sys.info/userhelp/data/komoku" xr:uid="{B692EEDE-DFD4-4523-BB75-AA38B843B258}"/>
    <hyperlink ref="H442" r:id="rId436" display="https://tools.l2.dwh.sb-sys.info/userhelp/data/komoku" xr:uid="{289D0210-1350-4E0D-B371-93293726FC44}"/>
    <hyperlink ref="H443" r:id="rId437" display="https://tools.l2.dwh.sb-sys.info/userhelp/data/komoku" xr:uid="{9846E821-B3F5-4567-9F9C-5285505A59CD}"/>
    <hyperlink ref="H444" r:id="rId438" display="https://tools.l2.dwh.sb-sys.info/userhelp/data/komoku" xr:uid="{8C2EF727-70FA-4153-8289-B5BD2DF137B3}"/>
    <hyperlink ref="H445" r:id="rId439" display="https://tools.l2.dwh.sb-sys.info/userhelp/data/komoku" xr:uid="{86D51BCE-1824-438B-BB57-0FB6B08A5286}"/>
    <hyperlink ref="H446" r:id="rId440" display="https://tools.l2.dwh.sb-sys.info/userhelp/data/komoku" xr:uid="{DA225E60-399D-4BC8-A0B1-2B4D711CDC32}"/>
    <hyperlink ref="H447" r:id="rId441" display="https://tools.l2.dwh.sb-sys.info/userhelp/data/komoku" xr:uid="{A142CEAA-3D45-4160-A1FA-B91FBA8A58AE}"/>
    <hyperlink ref="H448" r:id="rId442" display="https://tools.l2.dwh.sb-sys.info/userhelp/data/komoku" xr:uid="{7ABA028F-523F-4569-B706-07A5467D8039}"/>
    <hyperlink ref="H449" r:id="rId443" display="https://tools.l2.dwh.sb-sys.info/userhelp/data/komoku" xr:uid="{3D70776B-362F-4C07-B7EC-4FCA56C1E07E}"/>
    <hyperlink ref="H450" r:id="rId444" display="https://tools.l2.dwh.sb-sys.info/userhelp/data/komoku" xr:uid="{B02C00FD-6848-4AC9-89AB-53CAAD474D4D}"/>
    <hyperlink ref="H451" r:id="rId445" display="https://tools.l2.dwh.sb-sys.info/userhelp/data/komoku" xr:uid="{78121003-4010-424E-8672-49A2BD003349}"/>
    <hyperlink ref="H452" r:id="rId446" display="https://tools.l2.dwh.sb-sys.info/userhelp/data/komoku" xr:uid="{4324C4AA-E130-401F-B9AC-450E32659F1D}"/>
    <hyperlink ref="H453" r:id="rId447" display="https://tools.l2.dwh.sb-sys.info/userhelp/data/komoku" xr:uid="{3BCD3355-4813-40A1-9E12-3A0004297237}"/>
    <hyperlink ref="H454" r:id="rId448" display="https://tools.l2.dwh.sb-sys.info/userhelp/data/komoku" xr:uid="{5A8C07FC-5F92-4629-899E-F237ED0D6A9D}"/>
    <hyperlink ref="H455" r:id="rId449" display="https://tools.l2.dwh.sb-sys.info/userhelp/data/komoku" xr:uid="{F7B2031D-FDFA-4513-B621-DBDB118276D7}"/>
    <hyperlink ref="H456" r:id="rId450" display="https://tools.l2.dwh.sb-sys.info/userhelp/data/komoku" xr:uid="{64C65D26-1D0D-41FF-B3E3-14530704F814}"/>
    <hyperlink ref="H457" r:id="rId451" display="https://tools.l2.dwh.sb-sys.info/userhelp/data/komoku" xr:uid="{E66D4F58-83D2-4770-A9D9-79CC557DEC49}"/>
    <hyperlink ref="H458" r:id="rId452" display="https://tools.l2.dwh.sb-sys.info/userhelp/data/komoku" xr:uid="{2D197E90-01CC-4A14-8DF0-BA461367B538}"/>
    <hyperlink ref="H459" r:id="rId453" display="https://tools.l2.dwh.sb-sys.info/userhelp/data/komoku" xr:uid="{F01E92A0-C947-4DB7-9626-EAEBB780CC00}"/>
    <hyperlink ref="H460" r:id="rId454" display="https://tools.l2.dwh.sb-sys.info/userhelp/data/komoku" xr:uid="{3C1F4BAF-711D-456C-A985-D953E999CD8F}"/>
    <hyperlink ref="H461" r:id="rId455" display="https://tools.l2.dwh.sb-sys.info/userhelp/data/komoku" xr:uid="{5707C5B9-47DE-44D5-825E-480A771D6A02}"/>
    <hyperlink ref="H462" r:id="rId456" display="https://tools.l2.dwh.sb-sys.info/userhelp/data/komoku" xr:uid="{87C9F90E-B467-4A0F-BC69-6E7FFEFC3368}"/>
    <hyperlink ref="H463" r:id="rId457" display="https://tools.l2.dwh.sb-sys.info/userhelp/data/komoku" xr:uid="{65690B9C-0C95-4C8C-A392-16416539D33C}"/>
    <hyperlink ref="H464" r:id="rId458" display="https://tools.l2.dwh.sb-sys.info/userhelp/data/komoku" xr:uid="{222DCBD0-7D7C-4596-A961-ED614EE19243}"/>
    <hyperlink ref="H465" r:id="rId459" display="https://tools.l2.dwh.sb-sys.info/userhelp/data/komoku" xr:uid="{BD3BFAB8-1167-4AD0-8BBA-863E4457B692}"/>
    <hyperlink ref="H466" r:id="rId460" display="https://tools.l2.dwh.sb-sys.info/userhelp/data/komoku" xr:uid="{D832781B-D7E9-421F-8499-096B652DDFCE}"/>
    <hyperlink ref="H467" r:id="rId461" display="https://tools.l2.dwh.sb-sys.info/userhelp/data/komoku" xr:uid="{4BC759ED-231F-44DF-BD30-971D9AFB71F2}"/>
    <hyperlink ref="H468" r:id="rId462" display="https://tools.l2.dwh.sb-sys.info/userhelp/data/komoku" xr:uid="{253F4B6B-0A97-40C2-B0FB-74C6C388493B}"/>
    <hyperlink ref="H469" r:id="rId463" display="https://tools.l2.dwh.sb-sys.info/userhelp/data/komoku" xr:uid="{6516D48B-6130-472F-9081-E5867F68AF6B}"/>
    <hyperlink ref="H470" r:id="rId464" display="https://tools.l2.dwh.sb-sys.info/userhelp/data/komoku" xr:uid="{4572042D-F8F1-4A0C-8E94-C8960D71328F}"/>
    <hyperlink ref="H471" r:id="rId465" display="https://tools.l2.dwh.sb-sys.info/userhelp/data/komoku" xr:uid="{E83732F0-99F0-41E6-980C-6DA66BAF2893}"/>
    <hyperlink ref="H472" r:id="rId466" display="https://tools.l2.dwh.sb-sys.info/userhelp/data/komoku" xr:uid="{A8CE4578-2DC8-4E94-A915-F73BAF75B37C}"/>
    <hyperlink ref="H473" r:id="rId467" display="https://tools.l2.dwh.sb-sys.info/userhelp/data/komoku" xr:uid="{3B1F6431-9BB0-4800-AB45-DD026A9345C2}"/>
    <hyperlink ref="H474" r:id="rId468" display="https://tools.l2.dwh.sb-sys.info/userhelp/data/komoku" xr:uid="{1A15A83E-C043-48B2-9DA5-8011948FD8D7}"/>
    <hyperlink ref="H475" r:id="rId469" display="https://tools.l2.dwh.sb-sys.info/userhelp/data/komoku" xr:uid="{E318984C-AB93-4718-9D20-C58DD55E67C4}"/>
    <hyperlink ref="H476" r:id="rId470" display="https://tools.l2.dwh.sb-sys.info/userhelp/data/komoku" xr:uid="{D6DC20AF-6C87-455A-9BE2-C85C2A123CA0}"/>
    <hyperlink ref="H477" r:id="rId471" display="https://tools.l2.dwh.sb-sys.info/userhelp/data/komoku" xr:uid="{12BC9C17-7008-42D4-B6E5-3E6AB8209FA0}"/>
    <hyperlink ref="H478" r:id="rId472" display="https://tools.l2.dwh.sb-sys.info/userhelp/data/komoku" xr:uid="{6DEA56F7-A472-452F-9DF6-D36D30C333AF}"/>
    <hyperlink ref="H479" r:id="rId473" display="https://tools.l2.dwh.sb-sys.info/userhelp/data/komoku" xr:uid="{06557301-F4C9-4ED9-A024-F4065409CB40}"/>
    <hyperlink ref="H480" r:id="rId474" display="https://tools.l2.dwh.sb-sys.info/userhelp/data/komoku" xr:uid="{BC5A7BF6-4C89-40CC-8693-972CA30BCA30}"/>
    <hyperlink ref="H481" r:id="rId475" display="https://tools.l2.dwh.sb-sys.info/userhelp/data/komoku" xr:uid="{F1D70638-C1C0-47A2-91FE-1874FEC64489}"/>
    <hyperlink ref="H482" r:id="rId476" display="https://tools.l2.dwh.sb-sys.info/userhelp/data/komoku" xr:uid="{A64C63DA-975A-45A9-A8DE-48FF9AA82613}"/>
    <hyperlink ref="H483" r:id="rId477" display="https://tools.l2.dwh.sb-sys.info/userhelp/data/komoku" xr:uid="{DB6749A1-6657-4DCE-946F-582C0210FF40}"/>
    <hyperlink ref="H484" r:id="rId478" display="https://tools.l2.dwh.sb-sys.info/userhelp/data/komoku" xr:uid="{ABE274A2-2E12-4602-88E6-DD1DD08E89A2}"/>
    <hyperlink ref="H485" r:id="rId479" display="https://tools.l2.dwh.sb-sys.info/userhelp/data/komoku" xr:uid="{6373BB1F-1581-4FCA-B54A-D4F9970224C7}"/>
    <hyperlink ref="H486" r:id="rId480" display="https://tools.l2.dwh.sb-sys.info/userhelp/data/komoku" xr:uid="{75C540A3-4911-43F0-AD4E-580C41A09F39}"/>
    <hyperlink ref="H487" r:id="rId481" display="https://tools.l2.dwh.sb-sys.info/userhelp/data/komoku" xr:uid="{83CB7ED4-D1A4-486C-ADE3-6662BB362CCD}"/>
    <hyperlink ref="H488" r:id="rId482" display="https://tools.l2.dwh.sb-sys.info/userhelp/data/komoku" xr:uid="{0AA6976A-C768-480A-918C-AB693B18C88B}"/>
    <hyperlink ref="H489" r:id="rId483" display="https://tools.l2.dwh.sb-sys.info/userhelp/data/komoku" xr:uid="{B8ED78B7-C9B2-45E1-854D-2D8E0CA0EE44}"/>
    <hyperlink ref="H490" r:id="rId484" display="https://tools.l2.dwh.sb-sys.info/userhelp/data/komoku" xr:uid="{8C121ED8-621E-4454-87CF-08085F6199E8}"/>
    <hyperlink ref="H491" r:id="rId485" display="https://tools.l2.dwh.sb-sys.info/userhelp/data/komoku" xr:uid="{FB953817-41C7-4D1A-94CE-C45ED49AAB90}"/>
    <hyperlink ref="H492" r:id="rId486" display="https://tools.l2.dwh.sb-sys.info/userhelp/data/komoku" xr:uid="{DCEF3908-B7CD-478D-AE77-94E0D6EC0109}"/>
    <hyperlink ref="H493" r:id="rId487" display="https://tools.l2.dwh.sb-sys.info/userhelp/data/komoku" xr:uid="{A3536375-320B-4738-BB3E-3EA0E9FA82E6}"/>
    <hyperlink ref="H494" r:id="rId488" display="https://tools.l2.dwh.sb-sys.info/userhelp/data/komoku" xr:uid="{A2D15AFA-1507-431E-8FB1-6A1E1DC07E5B}"/>
    <hyperlink ref="H495" r:id="rId489" display="https://tools.l2.dwh.sb-sys.info/userhelp/data/komoku" xr:uid="{71788509-65F6-4178-A286-79AE2B5FCB0B}"/>
    <hyperlink ref="H496" r:id="rId490" display="https://tools.l2.dwh.sb-sys.info/userhelp/data/komoku" xr:uid="{F424730C-257F-4F0F-9C15-02263B7CAB92}"/>
    <hyperlink ref="H497" r:id="rId491" display="https://tools.l2.dwh.sb-sys.info/userhelp/data/komoku" xr:uid="{5CAB6F36-3187-4A32-9DD9-543E0E927F32}"/>
    <hyperlink ref="H498" r:id="rId492" display="https://tools.l2.dwh.sb-sys.info/userhelp/data/komoku" xr:uid="{AB03B51E-596D-4226-9BBE-D624CBBC6510}"/>
    <hyperlink ref="H499" r:id="rId493" display="https://tools.l2.dwh.sb-sys.info/userhelp/data/komoku" xr:uid="{60055175-C4D2-4926-886B-D630D59C1BC4}"/>
    <hyperlink ref="H500" r:id="rId494" display="https://tools.l2.dwh.sb-sys.info/userhelp/data/komoku" xr:uid="{6C87976C-3229-45D4-B2AF-EC921A506CC3}"/>
    <hyperlink ref="H501" r:id="rId495" display="https://tools.l2.dwh.sb-sys.info/userhelp/data/komoku" xr:uid="{729645CF-022C-4662-B05C-E77D84A22784}"/>
    <hyperlink ref="H502" r:id="rId496" display="https://tools.l2.dwh.sb-sys.info/userhelp/data/komoku" xr:uid="{0A6C3B75-98F0-49EE-B78F-BECCD2730084}"/>
    <hyperlink ref="H503" r:id="rId497" display="https://tools.l2.dwh.sb-sys.info/userhelp/data/komoku" xr:uid="{F348F486-0C8B-4D01-A893-40E395C2368A}"/>
    <hyperlink ref="H504" r:id="rId498" display="https://tools.l2.dwh.sb-sys.info/userhelp/data/komoku" xr:uid="{8ADE7537-5F3F-4015-BBF3-5F579250779D}"/>
    <hyperlink ref="H505" r:id="rId499" display="https://tools.l2.dwh.sb-sys.info/userhelp/data/komoku" xr:uid="{87A82341-0CD6-45B6-96FF-EE414ECA5941}"/>
    <hyperlink ref="H506" r:id="rId500" display="https://tools.l2.dwh.sb-sys.info/userhelp/data/komoku" xr:uid="{8D5E44E5-F981-4C80-AB29-D49054EC9306}"/>
    <hyperlink ref="H507" r:id="rId501" display="https://tools.l2.dwh.sb-sys.info/userhelp/data/komoku" xr:uid="{7D6895A8-C6E9-414F-845E-00AB031E3ADB}"/>
    <hyperlink ref="H508" r:id="rId502" display="https://tools.l2.dwh.sb-sys.info/userhelp/data/komoku" xr:uid="{B58345EC-FF30-4D6A-BB79-911763ED8DBA}"/>
    <hyperlink ref="H509" r:id="rId503" display="https://tools.l2.dwh.sb-sys.info/userhelp/data/komoku" xr:uid="{1673F6CE-ECAF-44F4-BB40-747BE4132D48}"/>
    <hyperlink ref="H510" r:id="rId504" display="https://tools.l2.dwh.sb-sys.info/userhelp/data/komoku" xr:uid="{6E1D9200-1BCB-466E-8A24-F4933A5D916F}"/>
  </hyperlinks>
  <pageMargins left="0.7" right="0.7" top="0.75" bottom="0.75" header="0.3" footer="0.3"/>
  <pageSetup paperSize="9" orientation="portrait" r:id="rId5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8EC54-DCC9-4BF1-8E2A-1D07CC1FDD4A}">
  <sheetPr>
    <tabColor rgb="FFFF3300"/>
  </sheetPr>
  <dimension ref="A1:R443"/>
  <sheetViews>
    <sheetView topLeftCell="A59" zoomScale="85" zoomScaleNormal="85" workbookViewId="0">
      <selection activeCell="R59" sqref="R59"/>
    </sheetView>
  </sheetViews>
  <sheetFormatPr defaultRowHeight="18.75"/>
  <cols>
    <col min="1" max="1" width="3.375" bestFit="1" customWidth="1"/>
    <col min="2" max="2" width="4.375" bestFit="1" customWidth="1"/>
    <col min="3" max="3" width="18.875" bestFit="1" customWidth="1"/>
    <col min="4" max="4" width="9.375" bestFit="1" customWidth="1"/>
    <col min="5" max="5" width="5.875" bestFit="1" customWidth="1"/>
    <col min="6" max="6" width="6" bestFit="1" customWidth="1"/>
    <col min="7" max="7" width="18.875" bestFit="1" customWidth="1"/>
    <col min="8" max="8" width="20.5" hidden="1" customWidth="1"/>
    <col min="9" max="9" width="4.5" hidden="1" customWidth="1"/>
    <col min="10" max="10" width="6" hidden="1" customWidth="1"/>
    <col min="11" max="11" width="25.25" customWidth="1"/>
  </cols>
  <sheetData>
    <row r="1" spans="1:18" ht="19.5" thickBot="1"/>
    <row r="2" spans="1:18" ht="45.75" thickBot="1">
      <c r="C2" s="1" t="s">
        <v>41</v>
      </c>
      <c r="D2" s="1" t="s">
        <v>42</v>
      </c>
      <c r="E2" s="1" t="s">
        <v>43</v>
      </c>
      <c r="F2" s="1" t="s">
        <v>44</v>
      </c>
      <c r="G2" s="1" t="s">
        <v>45</v>
      </c>
    </row>
    <row r="3" spans="1:18" ht="45.75" thickBot="1">
      <c r="C3" s="2" t="s">
        <v>46</v>
      </c>
      <c r="D3" s="3" t="s">
        <v>2144</v>
      </c>
      <c r="E3" s="3"/>
      <c r="F3" s="3" t="s">
        <v>2145</v>
      </c>
      <c r="G3" s="3" t="s">
        <v>49</v>
      </c>
      <c r="H3" t="s">
        <v>49</v>
      </c>
      <c r="K3" t="s">
        <v>2146</v>
      </c>
    </row>
    <row r="4" spans="1:18">
      <c r="C4" s="41" t="s">
        <v>51</v>
      </c>
      <c r="D4" s="42"/>
      <c r="E4" s="42"/>
      <c r="F4" s="42"/>
      <c r="G4" s="43"/>
    </row>
    <row r="5" spans="1:18" ht="19.5" thickBot="1">
      <c r="C5" s="44" t="s">
        <v>2147</v>
      </c>
      <c r="D5" s="45"/>
      <c r="E5" s="45"/>
      <c r="F5" s="45"/>
      <c r="G5" s="46"/>
    </row>
    <row r="6" spans="1:18" ht="19.5" thickBot="1">
      <c r="K6" t="str">
        <f>"DROP TABLE IF EXISTS "&amp;K3&amp;" CASCADE;"</f>
        <v>DROP TABLE IF EXISTS bfs_entry_information CASCADE;</v>
      </c>
      <c r="R6" s="33" t="s">
        <v>2148</v>
      </c>
    </row>
    <row r="7" spans="1:18" ht="19.5" thickBot="1">
      <c r="K7" t="str">
        <f>"CREATE TABLE IF NOT EXISTS "&amp;K3&amp;" ("</f>
        <v>CREATE TABLE IF NOT EXISTS bfs_entry_information (</v>
      </c>
      <c r="N7" s="40" t="str">
        <f>"COMMENT ON TABLE "&amp;K3&amp;" IS '"&amp;D3&amp;"';"</f>
        <v>COMMENT ON TABLE bfs_entry_information IS 'b_hjn_bfs_モバイル_エントリ情報';</v>
      </c>
      <c r="R7" s="33" t="s">
        <v>2149</v>
      </c>
    </row>
    <row r="8" spans="1:18" ht="19.5" thickBot="1">
      <c r="A8" s="4" t="s">
        <v>54</v>
      </c>
      <c r="B8" s="4" t="s">
        <v>55</v>
      </c>
      <c r="C8" s="4" t="s">
        <v>56</v>
      </c>
      <c r="D8" s="4" t="s">
        <v>57</v>
      </c>
      <c r="E8" s="4" t="s">
        <v>58</v>
      </c>
      <c r="F8" s="4" t="s">
        <v>59</v>
      </c>
      <c r="G8" s="4" t="s">
        <v>60</v>
      </c>
      <c r="H8" s="4" t="s">
        <v>61</v>
      </c>
      <c r="I8" s="4" t="s">
        <v>62</v>
      </c>
      <c r="J8" s="4" t="s">
        <v>63</v>
      </c>
      <c r="K8" t="s">
        <v>64</v>
      </c>
      <c r="N8" s="38" t="str">
        <f>"COMMENT ON COLUMN "&amp;$K$3&amp;".id IS 'id';"</f>
        <v>COMMENT ON COLUMN bfs_entry_information.id IS 'id';</v>
      </c>
      <c r="R8" s="34" t="s">
        <v>65</v>
      </c>
    </row>
    <row r="9" spans="1:18" ht="19.5" thickBot="1">
      <c r="A9" s="3"/>
      <c r="B9" s="3">
        <v>1</v>
      </c>
      <c r="C9" s="3" t="s">
        <v>165</v>
      </c>
      <c r="D9" s="3" t="s">
        <v>66</v>
      </c>
      <c r="E9" s="3">
        <v>54</v>
      </c>
      <c r="F9" s="2" t="s">
        <v>67</v>
      </c>
      <c r="G9" s="3"/>
      <c r="H9" s="5"/>
      <c r="I9" s="3"/>
      <c r="J9" s="3"/>
      <c r="K9" s="25" t="s">
        <v>68</v>
      </c>
      <c r="L9" t="str">
        <f>D9&amp;"("&amp;E9&amp;"),"</f>
        <v>VARCHAR(54),</v>
      </c>
      <c r="N9" s="38" t="str">
        <f>"COMMENT ON COLUMN "&amp;$K$3&amp;"."&amp;$K9&amp;" IS '"&amp;C9&amp;"';"</f>
        <v>COMMENT ON COLUMN bfs_entry_information.entry_number IS 'エントリ番号';</v>
      </c>
      <c r="R9" s="34" t="s">
        <v>69</v>
      </c>
    </row>
    <row r="10" spans="1:18" ht="19.5" thickBot="1">
      <c r="A10" s="6"/>
      <c r="B10" s="6">
        <v>2</v>
      </c>
      <c r="C10" s="6" t="s">
        <v>2150</v>
      </c>
      <c r="D10" s="6" t="s">
        <v>66</v>
      </c>
      <c r="E10" s="6">
        <v>2304</v>
      </c>
      <c r="F10" s="7" t="s">
        <v>67</v>
      </c>
      <c r="G10" s="6"/>
      <c r="H10" s="8"/>
      <c r="I10" s="6"/>
      <c r="J10" s="6"/>
      <c r="K10" s="25" t="s">
        <v>2151</v>
      </c>
      <c r="L10" t="str">
        <f t="shared" ref="L10:L73" si="0">D10&amp;"("&amp;E10&amp;"),"</f>
        <v>VARCHAR(2304),</v>
      </c>
      <c r="N10" s="38" t="str">
        <f t="shared" ref="N10:N73" si="1">"COMMENT ON COLUMN "&amp;$K$3&amp;"."&amp;$K10&amp;" IS '"&amp;C10&amp;"';"</f>
        <v>COMMENT ON COLUMN bfs_entry_information.subject IS '件名';</v>
      </c>
      <c r="R10" s="34" t="s">
        <v>2152</v>
      </c>
    </row>
    <row r="11" spans="1:18" ht="19.5" thickBot="1">
      <c r="A11" s="3"/>
      <c r="B11" s="3">
        <v>3</v>
      </c>
      <c r="C11" s="3" t="s">
        <v>2153</v>
      </c>
      <c r="D11" s="3" t="s">
        <v>66</v>
      </c>
      <c r="E11" s="3">
        <v>900</v>
      </c>
      <c r="F11" s="2" t="s">
        <v>67</v>
      </c>
      <c r="G11" s="3"/>
      <c r="H11" s="5"/>
      <c r="I11" s="3"/>
      <c r="J11" s="3"/>
      <c r="K11" s="25" t="s">
        <v>2154</v>
      </c>
      <c r="L11" t="str">
        <f t="shared" si="0"/>
        <v>VARCHAR(900),</v>
      </c>
      <c r="N11" s="38" t="str">
        <f t="shared" si="1"/>
        <v>COMMENT ON COLUMN bfs_entry_information.creation_category IS '作成区分';</v>
      </c>
      <c r="R11" s="34" t="s">
        <v>2155</v>
      </c>
    </row>
    <row r="12" spans="1:18" ht="19.5" thickBot="1">
      <c r="A12" s="6"/>
      <c r="B12" s="6">
        <v>4</v>
      </c>
      <c r="C12" s="6" t="s">
        <v>2156</v>
      </c>
      <c r="D12" s="6" t="s">
        <v>66</v>
      </c>
      <c r="E12" s="6">
        <v>900</v>
      </c>
      <c r="F12" s="7" t="s">
        <v>67</v>
      </c>
      <c r="G12" s="6"/>
      <c r="H12" s="8"/>
      <c r="I12" s="6"/>
      <c r="J12" s="6"/>
      <c r="K12" s="25" t="s">
        <v>2157</v>
      </c>
      <c r="L12" t="str">
        <f t="shared" si="0"/>
        <v>VARCHAR(900),</v>
      </c>
      <c r="N12" s="38" t="str">
        <f t="shared" si="1"/>
        <v>COMMENT ON COLUMN bfs_entry_information.order_type IS 'オーダ種別';</v>
      </c>
      <c r="R12" s="34" t="s">
        <v>2158</v>
      </c>
    </row>
    <row r="13" spans="1:18" ht="19.5" thickBot="1">
      <c r="A13" s="3"/>
      <c r="B13" s="3">
        <v>5</v>
      </c>
      <c r="C13" s="3" t="s">
        <v>2159</v>
      </c>
      <c r="D13" s="3" t="s">
        <v>66</v>
      </c>
      <c r="E13" s="3">
        <v>900</v>
      </c>
      <c r="F13" s="2" t="s">
        <v>67</v>
      </c>
      <c r="G13" s="3"/>
      <c r="H13" s="5"/>
      <c r="I13" s="3"/>
      <c r="J13" s="3"/>
      <c r="K13" s="25" t="s">
        <v>2160</v>
      </c>
      <c r="L13" t="str">
        <f t="shared" si="0"/>
        <v>VARCHAR(900),</v>
      </c>
      <c r="N13" s="38" t="str">
        <f t="shared" si="1"/>
        <v>COMMENT ON COLUMN bfs_entry_information.application_form_linkage IS '申込書連携';</v>
      </c>
      <c r="R13" s="34" t="s">
        <v>2161</v>
      </c>
    </row>
    <row r="14" spans="1:18" ht="19.5" thickBot="1">
      <c r="A14" s="6"/>
      <c r="B14" s="6">
        <v>6</v>
      </c>
      <c r="C14" s="6" t="s">
        <v>2162</v>
      </c>
      <c r="D14" s="6" t="s">
        <v>66</v>
      </c>
      <c r="E14" s="6">
        <v>900</v>
      </c>
      <c r="F14" s="7" t="s">
        <v>67</v>
      </c>
      <c r="G14" s="6"/>
      <c r="H14" s="8"/>
      <c r="I14" s="6"/>
      <c r="J14" s="6"/>
      <c r="K14" s="25" t="s">
        <v>2163</v>
      </c>
      <c r="L14" t="str">
        <f t="shared" si="0"/>
        <v>VARCHAR(900),</v>
      </c>
      <c r="N14" s="38" t="str">
        <f t="shared" si="1"/>
        <v>COMMENT ON COLUMN bfs_entry_information.special_contract_separate_output IS '特約分離出力有無';</v>
      </c>
      <c r="R14" s="34" t="s">
        <v>2164</v>
      </c>
    </row>
    <row r="15" spans="1:18" ht="19.5" thickBot="1">
      <c r="A15" s="3"/>
      <c r="B15" s="3">
        <v>7</v>
      </c>
      <c r="C15" s="3" t="s">
        <v>2165</v>
      </c>
      <c r="D15" s="3" t="s">
        <v>66</v>
      </c>
      <c r="E15" s="3">
        <v>900</v>
      </c>
      <c r="F15" s="2" t="s">
        <v>67</v>
      </c>
      <c r="G15" s="3"/>
      <c r="H15" s="5"/>
      <c r="I15" s="3"/>
      <c r="J15" s="3"/>
      <c r="K15" s="25" t="s">
        <v>2166</v>
      </c>
      <c r="L15" t="str">
        <f t="shared" si="0"/>
        <v>VARCHAR(900),</v>
      </c>
      <c r="N15" s="38" t="str">
        <f t="shared" si="1"/>
        <v>COMMENT ON COLUMN bfs_entry_information.notification_target IS '通知書対象';</v>
      </c>
      <c r="R15" s="34" t="s">
        <v>2167</v>
      </c>
    </row>
    <row r="16" spans="1:18" ht="19.5" thickBot="1">
      <c r="A16" s="6"/>
      <c r="B16" s="6">
        <v>8</v>
      </c>
      <c r="C16" s="6" t="s">
        <v>2168</v>
      </c>
      <c r="D16" s="6" t="s">
        <v>66</v>
      </c>
      <c r="E16" s="6">
        <v>900</v>
      </c>
      <c r="F16" s="7" t="s">
        <v>67</v>
      </c>
      <c r="G16" s="6"/>
      <c r="H16" s="8"/>
      <c r="I16" s="6"/>
      <c r="J16" s="6"/>
      <c r="K16" s="25" t="s">
        <v>2169</v>
      </c>
      <c r="L16" t="str">
        <f t="shared" si="0"/>
        <v>VARCHAR(900),</v>
      </c>
      <c r="N16" s="38" t="str">
        <f t="shared" si="1"/>
        <v>COMMENT ON COLUMN bfs_entry_information.activation_status IS '開通済有無';</v>
      </c>
      <c r="R16" s="34" t="s">
        <v>2170</v>
      </c>
    </row>
    <row r="17" spans="1:18" ht="19.5" thickBot="1">
      <c r="A17" s="3"/>
      <c r="B17" s="3">
        <v>9</v>
      </c>
      <c r="C17" s="3" t="s">
        <v>2171</v>
      </c>
      <c r="D17" s="3" t="s">
        <v>66</v>
      </c>
      <c r="E17" s="3">
        <v>60</v>
      </c>
      <c r="F17" s="2" t="s">
        <v>67</v>
      </c>
      <c r="G17" s="3"/>
      <c r="H17" s="5"/>
      <c r="I17" s="3"/>
      <c r="J17" s="3"/>
      <c r="K17" s="25" t="s">
        <v>2172</v>
      </c>
      <c r="L17" t="str">
        <f t="shared" si="0"/>
        <v>VARCHAR(60),</v>
      </c>
      <c r="N17" s="38" t="str">
        <f t="shared" si="1"/>
        <v>COMMENT ON COLUMN bfs_entry_information.activation_date IS '開通日';</v>
      </c>
      <c r="R17" s="34" t="s">
        <v>2173</v>
      </c>
    </row>
    <row r="18" spans="1:18" ht="19.5" thickBot="1">
      <c r="A18" s="6"/>
      <c r="B18" s="6">
        <v>10</v>
      </c>
      <c r="C18" s="6" t="s">
        <v>2174</v>
      </c>
      <c r="D18" s="6" t="s">
        <v>66</v>
      </c>
      <c r="E18" s="6">
        <v>900</v>
      </c>
      <c r="F18" s="7" t="s">
        <v>67</v>
      </c>
      <c r="G18" s="6"/>
      <c r="H18" s="8"/>
      <c r="I18" s="6"/>
      <c r="J18" s="6"/>
      <c r="K18" s="25" t="s">
        <v>2175</v>
      </c>
      <c r="L18" t="str">
        <f t="shared" si="0"/>
        <v>VARCHAR(900),</v>
      </c>
      <c r="N18" s="38" t="str">
        <f t="shared" si="1"/>
        <v>COMMENT ON COLUMN bfs_entry_information.incomplete_request_type IS '非完結依頼種別';</v>
      </c>
      <c r="R18" s="34" t="s">
        <v>2176</v>
      </c>
    </row>
    <row r="19" spans="1:18" ht="19.5" thickBot="1">
      <c r="A19" s="3"/>
      <c r="B19" s="3">
        <v>11</v>
      </c>
      <c r="C19" s="3" t="s">
        <v>2177</v>
      </c>
      <c r="D19" s="3" t="s">
        <v>66</v>
      </c>
      <c r="E19" s="3">
        <v>900</v>
      </c>
      <c r="F19" s="2" t="s">
        <v>67</v>
      </c>
      <c r="G19" s="3"/>
      <c r="H19" s="5"/>
      <c r="I19" s="3"/>
      <c r="J19" s="3"/>
      <c r="K19" s="25" t="s">
        <v>2178</v>
      </c>
      <c r="L19" t="str">
        <f t="shared" si="0"/>
        <v>VARCHAR(900),</v>
      </c>
      <c r="N19" s="38" t="str">
        <f t="shared" si="1"/>
        <v>COMMENT ON COLUMN bfs_entry_information.source_entry_type IS 'コピー元エントリ種別';</v>
      </c>
      <c r="R19" s="34" t="s">
        <v>2179</v>
      </c>
    </row>
    <row r="20" spans="1:18" ht="19.5" thickBot="1">
      <c r="A20" s="6"/>
      <c r="B20" s="6">
        <v>12</v>
      </c>
      <c r="C20" s="6" t="s">
        <v>2180</v>
      </c>
      <c r="D20" s="6" t="s">
        <v>66</v>
      </c>
      <c r="E20" s="6">
        <v>21</v>
      </c>
      <c r="F20" s="7" t="s">
        <v>67</v>
      </c>
      <c r="G20" s="6"/>
      <c r="H20" s="8"/>
      <c r="I20" s="6"/>
      <c r="J20" s="6"/>
      <c r="K20" s="25" t="s">
        <v>2181</v>
      </c>
      <c r="L20" t="str">
        <f t="shared" si="0"/>
        <v>VARCHAR(21),</v>
      </c>
      <c r="N20" s="38" t="str">
        <f t="shared" si="1"/>
        <v>COMMENT ON COLUMN bfs_entry_information.salesperson_code IS '営業担当者コード';</v>
      </c>
      <c r="R20" s="34" t="s">
        <v>2182</v>
      </c>
    </row>
    <row r="21" spans="1:18" ht="19.5" thickBot="1">
      <c r="A21" s="3"/>
      <c r="B21" s="3">
        <v>13</v>
      </c>
      <c r="C21" s="3" t="s">
        <v>2183</v>
      </c>
      <c r="D21" s="3" t="s">
        <v>66</v>
      </c>
      <c r="E21" s="3">
        <v>2295</v>
      </c>
      <c r="F21" s="2" t="s">
        <v>67</v>
      </c>
      <c r="G21" s="3"/>
      <c r="H21" s="5"/>
      <c r="I21" s="3"/>
      <c r="J21" s="3"/>
      <c r="K21" s="25" t="s">
        <v>2184</v>
      </c>
      <c r="L21" t="str">
        <f t="shared" si="0"/>
        <v>VARCHAR(2295),</v>
      </c>
      <c r="N21" s="38" t="str">
        <f t="shared" si="1"/>
        <v>COMMENT ON COLUMN bfs_entry_information.salesperson IS '営業担当者';</v>
      </c>
      <c r="R21" s="34" t="s">
        <v>2185</v>
      </c>
    </row>
    <row r="22" spans="1:18" ht="19.5" thickBot="1">
      <c r="A22" s="6"/>
      <c r="B22" s="6">
        <v>14</v>
      </c>
      <c r="C22" s="6" t="s">
        <v>2186</v>
      </c>
      <c r="D22" s="6" t="s">
        <v>66</v>
      </c>
      <c r="E22" s="6">
        <v>27</v>
      </c>
      <c r="F22" s="7" t="s">
        <v>67</v>
      </c>
      <c r="G22" s="6"/>
      <c r="H22" s="8"/>
      <c r="I22" s="6"/>
      <c r="J22" s="6"/>
      <c r="K22" s="25" t="s">
        <v>2187</v>
      </c>
      <c r="L22" t="str">
        <f t="shared" si="0"/>
        <v>VARCHAR(27),</v>
      </c>
      <c r="N22" s="38" t="str">
        <f t="shared" si="1"/>
        <v>COMMENT ON COLUMN bfs_entry_information.agency_code IS '取次店コード';</v>
      </c>
      <c r="R22" s="34" t="s">
        <v>2188</v>
      </c>
    </row>
    <row r="23" spans="1:18" ht="19.5" thickBot="1">
      <c r="A23" s="3"/>
      <c r="B23" s="3">
        <v>15</v>
      </c>
      <c r="C23" s="3" t="s">
        <v>2189</v>
      </c>
      <c r="D23" s="3" t="s">
        <v>66</v>
      </c>
      <c r="E23" s="3">
        <v>900</v>
      </c>
      <c r="F23" s="2" t="s">
        <v>67</v>
      </c>
      <c r="G23" s="3"/>
      <c r="H23" s="5"/>
      <c r="I23" s="3"/>
      <c r="J23" s="3"/>
      <c r="K23" s="25" t="s">
        <v>2190</v>
      </c>
      <c r="L23" t="str">
        <f t="shared" si="0"/>
        <v>VARCHAR(900),</v>
      </c>
      <c r="N23" s="38" t="str">
        <f t="shared" si="1"/>
        <v>COMMENT ON COLUMN bfs_entry_information.affiliated_agency IS '所属代理店';</v>
      </c>
      <c r="R23" s="34" t="s">
        <v>2191</v>
      </c>
    </row>
    <row r="24" spans="1:18" ht="19.5" thickBot="1">
      <c r="A24" s="6"/>
      <c r="B24" s="6">
        <v>16</v>
      </c>
      <c r="C24" s="6" t="s">
        <v>2192</v>
      </c>
      <c r="D24" s="6" t="s">
        <v>66</v>
      </c>
      <c r="E24" s="6">
        <v>2295</v>
      </c>
      <c r="F24" s="7" t="s">
        <v>67</v>
      </c>
      <c r="G24" s="6"/>
      <c r="H24" s="8"/>
      <c r="I24" s="6"/>
      <c r="J24" s="6"/>
      <c r="K24" s="25" t="s">
        <v>2193</v>
      </c>
      <c r="L24" t="str">
        <f t="shared" si="0"/>
        <v>VARCHAR(2295),</v>
      </c>
      <c r="N24" s="38" t="str">
        <f t="shared" si="1"/>
        <v>COMMENT ON COLUMN bfs_entry_information.carrier_type IS 'キャリア種別';</v>
      </c>
      <c r="R24" s="34" t="s">
        <v>2194</v>
      </c>
    </row>
    <row r="25" spans="1:18" ht="19.5" thickBot="1">
      <c r="A25" s="3"/>
      <c r="B25" s="3">
        <v>17</v>
      </c>
      <c r="C25" s="3" t="s">
        <v>2195</v>
      </c>
      <c r="D25" s="3" t="s">
        <v>66</v>
      </c>
      <c r="E25" s="3">
        <v>2295</v>
      </c>
      <c r="F25" s="2" t="s">
        <v>67</v>
      </c>
      <c r="G25" s="3"/>
      <c r="H25" s="5"/>
      <c r="I25" s="3"/>
      <c r="J25" s="3"/>
      <c r="K25" s="25" t="s">
        <v>2196</v>
      </c>
      <c r="L25" t="str">
        <f t="shared" si="0"/>
        <v>VARCHAR(2295),</v>
      </c>
      <c r="N25" s="38" t="str">
        <f t="shared" si="1"/>
        <v>COMMENT ON COLUMN bfs_entry_information.business_operator_category IS '事業者区分';</v>
      </c>
      <c r="R25" s="34" t="s">
        <v>2197</v>
      </c>
    </row>
    <row r="26" spans="1:18" ht="19.5" thickBot="1">
      <c r="A26" s="6"/>
      <c r="B26" s="6">
        <v>18</v>
      </c>
      <c r="C26" s="6" t="s">
        <v>2198</v>
      </c>
      <c r="D26" s="6" t="s">
        <v>66</v>
      </c>
      <c r="E26" s="6">
        <v>54</v>
      </c>
      <c r="F26" s="7" t="s">
        <v>67</v>
      </c>
      <c r="G26" s="6"/>
      <c r="H26" s="8"/>
      <c r="I26" s="6"/>
      <c r="J26" s="6"/>
      <c r="K26" s="25" t="s">
        <v>2199</v>
      </c>
      <c r="L26" t="str">
        <f t="shared" si="0"/>
        <v>VARCHAR(54),</v>
      </c>
      <c r="N26" s="38" t="str">
        <f t="shared" si="1"/>
        <v>COMMENT ON COLUMN bfs_entry_information.application_form_number IS '申込書番号';</v>
      </c>
      <c r="R26" s="34" t="s">
        <v>2200</v>
      </c>
    </row>
    <row r="27" spans="1:18" ht="19.5" thickBot="1">
      <c r="A27" s="3"/>
      <c r="B27" s="3">
        <v>19</v>
      </c>
      <c r="C27" s="3" t="s">
        <v>2201</v>
      </c>
      <c r="D27" s="3" t="s">
        <v>66</v>
      </c>
      <c r="E27" s="3">
        <v>900</v>
      </c>
      <c r="F27" s="2" t="s">
        <v>67</v>
      </c>
      <c r="G27" s="3"/>
      <c r="H27" s="5"/>
      <c r="I27" s="3"/>
      <c r="J27" s="3"/>
      <c r="K27" s="25" t="s">
        <v>2202</v>
      </c>
      <c r="L27" t="str">
        <f t="shared" si="0"/>
        <v>VARCHAR(900),</v>
      </c>
      <c r="N27" s="38" t="str">
        <f t="shared" si="1"/>
        <v>COMMENT ON COLUMN bfs_entry_information.contract_type IS '契約種別';</v>
      </c>
      <c r="R27" s="34" t="s">
        <v>2203</v>
      </c>
    </row>
    <row r="28" spans="1:18" ht="19.5" thickBot="1">
      <c r="A28" s="6"/>
      <c r="B28" s="6">
        <v>20</v>
      </c>
      <c r="C28" s="6" t="s">
        <v>2204</v>
      </c>
      <c r="D28" s="6" t="s">
        <v>66</v>
      </c>
      <c r="E28" s="6">
        <v>60</v>
      </c>
      <c r="F28" s="7" t="s">
        <v>67</v>
      </c>
      <c r="G28" s="6"/>
      <c r="H28" s="8"/>
      <c r="I28" s="6"/>
      <c r="J28" s="6"/>
      <c r="K28" s="25" t="s">
        <v>2205</v>
      </c>
      <c r="L28" t="str">
        <f t="shared" si="0"/>
        <v>VARCHAR(60),</v>
      </c>
      <c r="N28" s="38" t="str">
        <f t="shared" si="1"/>
        <v>COMMENT ON COLUMN bfs_entry_information.expected_delivery_date IS '納品予定日';</v>
      </c>
      <c r="R28" s="34" t="s">
        <v>2206</v>
      </c>
    </row>
    <row r="29" spans="1:18" ht="19.5" thickBot="1">
      <c r="A29" s="3"/>
      <c r="B29" s="3">
        <v>21</v>
      </c>
      <c r="C29" s="3" t="s">
        <v>2207</v>
      </c>
      <c r="D29" s="3" t="s">
        <v>66</v>
      </c>
      <c r="E29" s="3">
        <v>60</v>
      </c>
      <c r="F29" s="2" t="s">
        <v>67</v>
      </c>
      <c r="G29" s="3"/>
      <c r="H29" s="5"/>
      <c r="I29" s="3"/>
      <c r="J29" s="3"/>
      <c r="K29" s="25" t="s">
        <v>2208</v>
      </c>
      <c r="L29" t="str">
        <f t="shared" si="0"/>
        <v>VARCHAR(60),</v>
      </c>
      <c r="N29" s="38" t="str">
        <f t="shared" si="1"/>
        <v>COMMENT ON COLUMN bfs_entry_information.application_date IS '申込日';</v>
      </c>
      <c r="R29" s="34" t="s">
        <v>2209</v>
      </c>
    </row>
    <row r="30" spans="1:18" ht="19.5" thickBot="1">
      <c r="A30" s="6"/>
      <c r="B30" s="6">
        <v>22</v>
      </c>
      <c r="C30" s="6" t="s">
        <v>2210</v>
      </c>
      <c r="D30" s="6" t="s">
        <v>66</v>
      </c>
      <c r="E30" s="6">
        <v>900</v>
      </c>
      <c r="F30" s="7" t="s">
        <v>67</v>
      </c>
      <c r="G30" s="6"/>
      <c r="H30" s="8"/>
      <c r="I30" s="6"/>
      <c r="J30" s="6"/>
      <c r="K30" s="25" t="s">
        <v>2211</v>
      </c>
      <c r="L30" t="str">
        <f t="shared" si="0"/>
        <v>VARCHAR(900),</v>
      </c>
      <c r="N30" s="38" t="str">
        <f t="shared" si="1"/>
        <v>COMMENT ON COLUMN bfs_entry_information.ipad_customer_type IS 'ipad顧客種別';</v>
      </c>
      <c r="R30" s="34" t="s">
        <v>2212</v>
      </c>
    </row>
    <row r="31" spans="1:18" ht="19.5" thickBot="1">
      <c r="A31" s="3"/>
      <c r="B31" s="3">
        <v>23</v>
      </c>
      <c r="C31" s="3" t="s">
        <v>2213</v>
      </c>
      <c r="D31" s="3" t="s">
        <v>66</v>
      </c>
      <c r="E31" s="3">
        <v>900</v>
      </c>
      <c r="F31" s="2" t="s">
        <v>67</v>
      </c>
      <c r="G31" s="3"/>
      <c r="H31" s="5"/>
      <c r="I31" s="3"/>
      <c r="J31" s="3"/>
      <c r="K31" s="25" t="s">
        <v>2214</v>
      </c>
      <c r="L31" t="str">
        <f t="shared" si="0"/>
        <v>VARCHAR(900),</v>
      </c>
      <c r="N31" s="38" t="str">
        <f t="shared" si="1"/>
        <v>COMMENT ON COLUMN bfs_entry_information.billing_method IS '請求方法';</v>
      </c>
      <c r="R31" s="34" t="s">
        <v>2215</v>
      </c>
    </row>
    <row r="32" spans="1:18" ht="19.5" thickBot="1">
      <c r="A32" s="6"/>
      <c r="B32" s="6">
        <v>24</v>
      </c>
      <c r="C32" s="6" t="s">
        <v>2216</v>
      </c>
      <c r="D32" s="6" t="s">
        <v>66</v>
      </c>
      <c r="E32" s="6">
        <v>90</v>
      </c>
      <c r="F32" s="7" t="s">
        <v>67</v>
      </c>
      <c r="G32" s="6"/>
      <c r="H32" s="8"/>
      <c r="I32" s="6"/>
      <c r="J32" s="6"/>
      <c r="K32" s="25" t="s">
        <v>2217</v>
      </c>
      <c r="L32" t="str">
        <f t="shared" si="0"/>
        <v>VARCHAR(90),</v>
      </c>
      <c r="N32" s="38" t="str">
        <f t="shared" si="1"/>
        <v>COMMENT ON COLUMN bfs_entry_information.number_of_payments IS '支払回数';</v>
      </c>
      <c r="R32" s="34" t="s">
        <v>2218</v>
      </c>
    </row>
    <row r="33" spans="1:18" ht="19.5" thickBot="1">
      <c r="A33" s="3"/>
      <c r="B33" s="3">
        <v>25</v>
      </c>
      <c r="C33" s="3" t="s">
        <v>2219</v>
      </c>
      <c r="D33" s="3" t="s">
        <v>66</v>
      </c>
      <c r="E33" s="3">
        <v>900</v>
      </c>
      <c r="F33" s="2" t="s">
        <v>67</v>
      </c>
      <c r="G33" s="3"/>
      <c r="H33" s="5"/>
      <c r="I33" s="3"/>
      <c r="J33" s="3"/>
      <c r="K33" s="25" t="s">
        <v>2220</v>
      </c>
      <c r="L33" t="str">
        <f t="shared" si="0"/>
        <v>VARCHAR(900),</v>
      </c>
      <c r="N33" s="38" t="str">
        <f t="shared" si="1"/>
        <v>COMMENT ON COLUMN bfs_entry_information.billing_category IS '請求区分';</v>
      </c>
      <c r="R33" s="34" t="s">
        <v>2221</v>
      </c>
    </row>
    <row r="34" spans="1:18" ht="19.5" thickBot="1">
      <c r="A34" s="6"/>
      <c r="B34" s="6">
        <v>26</v>
      </c>
      <c r="C34" s="6" t="s">
        <v>2222</v>
      </c>
      <c r="D34" s="6" t="s">
        <v>66</v>
      </c>
      <c r="E34" s="6">
        <v>900</v>
      </c>
      <c r="F34" s="7" t="s">
        <v>67</v>
      </c>
      <c r="G34" s="6"/>
      <c r="H34" s="8"/>
      <c r="I34" s="6"/>
      <c r="J34" s="6"/>
      <c r="K34" s="25" t="s">
        <v>2223</v>
      </c>
      <c r="L34" t="str">
        <f t="shared" si="0"/>
        <v>VARCHAR(900),</v>
      </c>
      <c r="N34" s="38" t="str">
        <f t="shared" si="1"/>
        <v>COMMENT ON COLUMN bfs_entry_information.call_charge_combined_type IS '通話料合算種別';</v>
      </c>
      <c r="R34" s="34" t="s">
        <v>2224</v>
      </c>
    </row>
    <row r="35" spans="1:18" ht="19.5" thickBot="1">
      <c r="A35" s="3"/>
      <c r="B35" s="3">
        <v>27</v>
      </c>
      <c r="C35" s="3" t="s">
        <v>2225</v>
      </c>
      <c r="D35" s="3" t="s">
        <v>66</v>
      </c>
      <c r="E35" s="3">
        <v>2295</v>
      </c>
      <c r="F35" s="2" t="s">
        <v>67</v>
      </c>
      <c r="G35" s="3"/>
      <c r="H35" s="5"/>
      <c r="I35" s="3"/>
      <c r="J35" s="3"/>
      <c r="K35" s="25" t="s">
        <v>2226</v>
      </c>
      <c r="L35" t="str">
        <f t="shared" si="0"/>
        <v>VARCHAR(2295),</v>
      </c>
      <c r="N35" s="38" t="str">
        <f t="shared" si="1"/>
        <v>COMMENT ON COLUMN bfs_entry_information.accessory_purchase IS '付属品購入';</v>
      </c>
      <c r="R35" s="34" t="s">
        <v>2227</v>
      </c>
    </row>
    <row r="36" spans="1:18" ht="19.5" thickBot="1">
      <c r="A36" s="6"/>
      <c r="B36" s="6">
        <v>28</v>
      </c>
      <c r="C36" s="6" t="s">
        <v>2228</v>
      </c>
      <c r="D36" s="6" t="s">
        <v>66</v>
      </c>
      <c r="E36" s="6">
        <v>900</v>
      </c>
      <c r="F36" s="7" t="s">
        <v>67</v>
      </c>
      <c r="G36" s="6"/>
      <c r="H36" s="8"/>
      <c r="I36" s="6"/>
      <c r="J36" s="6"/>
      <c r="K36" s="25" t="s">
        <v>2229</v>
      </c>
      <c r="L36" t="str">
        <f t="shared" si="0"/>
        <v>VARCHAR(900),</v>
      </c>
      <c r="N36" s="38" t="str">
        <f t="shared" si="1"/>
        <v>COMMENT ON COLUMN bfs_entry_information.accessory_fee_payment_method IS '付属品代金支払い方法';</v>
      </c>
      <c r="R36" s="34" t="s">
        <v>2230</v>
      </c>
    </row>
    <row r="37" spans="1:18" ht="19.5" thickBot="1">
      <c r="A37" s="3"/>
      <c r="B37" s="3">
        <v>29</v>
      </c>
      <c r="C37" s="3" t="s">
        <v>2231</v>
      </c>
      <c r="D37" s="3" t="s">
        <v>66</v>
      </c>
      <c r="E37" s="3">
        <v>900</v>
      </c>
      <c r="F37" s="2" t="s">
        <v>67</v>
      </c>
      <c r="G37" s="3"/>
      <c r="H37" s="5"/>
      <c r="I37" s="3"/>
      <c r="J37" s="3"/>
      <c r="K37" s="25" t="s">
        <v>2232</v>
      </c>
      <c r="L37" t="str">
        <f t="shared" si="0"/>
        <v>VARCHAR(900),</v>
      </c>
      <c r="N37" s="38" t="str">
        <f t="shared" si="1"/>
        <v>COMMENT ON COLUMN bfs_entry_information.accessory_fee_billing_category IS '付属品代金請求区分';</v>
      </c>
      <c r="R37" s="34" t="s">
        <v>2233</v>
      </c>
    </row>
    <row r="38" spans="1:18" ht="19.5" thickBot="1">
      <c r="A38" s="6"/>
      <c r="B38" s="6">
        <v>30</v>
      </c>
      <c r="C38" s="6" t="s">
        <v>2234</v>
      </c>
      <c r="D38" s="6" t="s">
        <v>66</v>
      </c>
      <c r="E38" s="6">
        <v>900</v>
      </c>
      <c r="F38" s="7" t="s">
        <v>67</v>
      </c>
      <c r="G38" s="6"/>
      <c r="H38" s="8"/>
      <c r="I38" s="6"/>
      <c r="J38" s="6"/>
      <c r="K38" s="25" t="s">
        <v>2235</v>
      </c>
      <c r="L38" t="str">
        <f t="shared" si="0"/>
        <v>VARCHAR(900),</v>
      </c>
      <c r="N38" s="38" t="str">
        <f t="shared" si="1"/>
        <v>COMMENT ON COLUMN bfs_entry_information.accessory_fee_combined_type IS '付属品通話料合算種別';</v>
      </c>
      <c r="R38" s="34" t="s">
        <v>2236</v>
      </c>
    </row>
    <row r="39" spans="1:18" ht="19.5" thickBot="1">
      <c r="A39" s="3"/>
      <c r="B39" s="3">
        <v>31</v>
      </c>
      <c r="C39" s="3" t="s">
        <v>2237</v>
      </c>
      <c r="D39" s="3" t="s">
        <v>66</v>
      </c>
      <c r="E39" s="3">
        <v>900</v>
      </c>
      <c r="F39" s="2" t="s">
        <v>67</v>
      </c>
      <c r="G39" s="3"/>
      <c r="H39" s="5"/>
      <c r="I39" s="3"/>
      <c r="J39" s="3"/>
      <c r="K39" s="25" t="s">
        <v>2238</v>
      </c>
      <c r="L39" t="str">
        <f t="shared" si="0"/>
        <v>VARCHAR(900),</v>
      </c>
      <c r="N39" s="38" t="str">
        <f t="shared" si="1"/>
        <v>COMMENT ON COLUMN bfs_entry_information.change_target IS '変更対象';</v>
      </c>
      <c r="R39" s="34" t="s">
        <v>2239</v>
      </c>
    </row>
    <row r="40" spans="1:18" ht="19.5" thickBot="1">
      <c r="A40" s="6"/>
      <c r="B40" s="6">
        <v>32</v>
      </c>
      <c r="C40" s="6" t="s">
        <v>2240</v>
      </c>
      <c r="D40" s="6" t="s">
        <v>66</v>
      </c>
      <c r="E40" s="6">
        <v>900</v>
      </c>
      <c r="F40" s="7" t="s">
        <v>67</v>
      </c>
      <c r="G40" s="6"/>
      <c r="H40" s="8"/>
      <c r="I40" s="6"/>
      <c r="J40" s="6"/>
      <c r="K40" s="25" t="s">
        <v>2241</v>
      </c>
      <c r="L40" t="str">
        <f t="shared" si="0"/>
        <v>VARCHAR(900),</v>
      </c>
      <c r="N40" s="38" t="str">
        <f t="shared" si="1"/>
        <v>COMMENT ON COLUMN bfs_entry_information.reception_category IS '受付区分';</v>
      </c>
      <c r="R40" s="34" t="s">
        <v>2242</v>
      </c>
    </row>
    <row r="41" spans="1:18" ht="19.5" thickBot="1">
      <c r="A41" s="3"/>
      <c r="B41" s="3">
        <v>33</v>
      </c>
      <c r="C41" s="3" t="s">
        <v>2243</v>
      </c>
      <c r="D41" s="3" t="s">
        <v>66</v>
      </c>
      <c r="E41" s="3">
        <v>33</v>
      </c>
      <c r="F41" s="2" t="s">
        <v>67</v>
      </c>
      <c r="G41" s="3"/>
      <c r="H41" s="5"/>
      <c r="I41" s="3"/>
      <c r="J41" s="3"/>
      <c r="K41" s="25" t="s">
        <v>2244</v>
      </c>
      <c r="L41" t="str">
        <f t="shared" si="0"/>
        <v>VARCHAR(33),</v>
      </c>
      <c r="N41" s="38" t="str">
        <f t="shared" si="1"/>
        <v>COMMENT ON COLUMN bfs_entry_information.web_order_number IS 'webオーダ番号';</v>
      </c>
      <c r="R41" s="34" t="s">
        <v>2245</v>
      </c>
    </row>
    <row r="42" spans="1:18" ht="19.5" thickBot="1">
      <c r="A42" s="6"/>
      <c r="B42" s="6">
        <v>34</v>
      </c>
      <c r="C42" s="6" t="s">
        <v>2246</v>
      </c>
      <c r="D42" s="6" t="s">
        <v>66</v>
      </c>
      <c r="E42" s="6">
        <v>2295</v>
      </c>
      <c r="F42" s="7" t="s">
        <v>67</v>
      </c>
      <c r="G42" s="6"/>
      <c r="H42" s="8"/>
      <c r="I42" s="6"/>
      <c r="J42" s="6"/>
      <c r="K42" s="25" t="s">
        <v>2247</v>
      </c>
      <c r="L42" t="str">
        <f t="shared" si="0"/>
        <v>VARCHAR(2295),</v>
      </c>
      <c r="N42" s="38" t="str">
        <f t="shared" si="1"/>
        <v>COMMENT ON COLUMN bfs_entry_information.billing_discount_change IS '請求先割引変更';</v>
      </c>
      <c r="R42" s="34" t="s">
        <v>2248</v>
      </c>
    </row>
    <row r="43" spans="1:18" ht="19.5" thickBot="1">
      <c r="A43" s="3"/>
      <c r="B43" s="3">
        <v>35</v>
      </c>
      <c r="C43" s="3" t="s">
        <v>2249</v>
      </c>
      <c r="D43" s="3" t="s">
        <v>66</v>
      </c>
      <c r="E43" s="3">
        <v>60</v>
      </c>
      <c r="F43" s="2" t="s">
        <v>67</v>
      </c>
      <c r="G43" s="3"/>
      <c r="H43" s="5"/>
      <c r="I43" s="3"/>
      <c r="J43" s="3"/>
      <c r="K43" s="25" t="s">
        <v>2250</v>
      </c>
      <c r="L43" t="str">
        <f t="shared" si="0"/>
        <v>VARCHAR(60),</v>
      </c>
      <c r="N43" s="38" t="str">
        <f t="shared" si="1"/>
        <v>COMMENT ON COLUMN bfs_entry_information.entry_creator_id IS 'エントリ作成者id';</v>
      </c>
      <c r="R43" s="34" t="s">
        <v>2251</v>
      </c>
    </row>
    <row r="44" spans="1:18" ht="19.5" thickBot="1">
      <c r="A44" s="6"/>
      <c r="B44" s="6">
        <v>36</v>
      </c>
      <c r="C44" s="6" t="s">
        <v>2252</v>
      </c>
      <c r="D44" s="6" t="s">
        <v>66</v>
      </c>
      <c r="E44" s="6">
        <v>78</v>
      </c>
      <c r="F44" s="7" t="s">
        <v>67</v>
      </c>
      <c r="G44" s="6"/>
      <c r="H44" s="8"/>
      <c r="I44" s="6"/>
      <c r="J44" s="6"/>
      <c r="K44" s="25" t="s">
        <v>2253</v>
      </c>
      <c r="L44" t="str">
        <f t="shared" si="0"/>
        <v>VARCHAR(78),</v>
      </c>
      <c r="N44" s="38" t="str">
        <f t="shared" si="1"/>
        <v>COMMENT ON COLUMN bfs_entry_information.entry_creation_date_and_time IS 'エントリ作成日時';</v>
      </c>
      <c r="R44" s="34" t="s">
        <v>2254</v>
      </c>
    </row>
    <row r="45" spans="1:18" ht="19.5" thickBot="1">
      <c r="A45" s="3"/>
      <c r="B45" s="3">
        <v>37</v>
      </c>
      <c r="C45" s="3" t="s">
        <v>2255</v>
      </c>
      <c r="D45" s="3" t="s">
        <v>66</v>
      </c>
      <c r="E45" s="3">
        <v>60</v>
      </c>
      <c r="F45" s="2" t="s">
        <v>67</v>
      </c>
      <c r="G45" s="3"/>
      <c r="H45" s="5"/>
      <c r="I45" s="3"/>
      <c r="J45" s="3"/>
      <c r="K45" s="25" t="s">
        <v>2256</v>
      </c>
      <c r="L45" t="str">
        <f t="shared" si="0"/>
        <v>VARCHAR(60),</v>
      </c>
      <c r="N45" s="38" t="str">
        <f t="shared" si="1"/>
        <v>COMMENT ON COLUMN bfs_entry_information.entry_updater_id IS 'エントリ更新担当者id';</v>
      </c>
      <c r="R45" s="34" t="s">
        <v>2257</v>
      </c>
    </row>
    <row r="46" spans="1:18" ht="19.5" thickBot="1">
      <c r="A46" s="6"/>
      <c r="B46" s="6">
        <v>38</v>
      </c>
      <c r="C46" s="6" t="s">
        <v>2258</v>
      </c>
      <c r="D46" s="6" t="s">
        <v>66</v>
      </c>
      <c r="E46" s="6">
        <v>78</v>
      </c>
      <c r="F46" s="7" t="s">
        <v>67</v>
      </c>
      <c r="G46" s="6"/>
      <c r="H46" s="8"/>
      <c r="I46" s="6"/>
      <c r="J46" s="6"/>
      <c r="K46" s="25" t="s">
        <v>2259</v>
      </c>
      <c r="L46" t="str">
        <f t="shared" si="0"/>
        <v>VARCHAR(78),</v>
      </c>
      <c r="N46" s="38" t="str">
        <f t="shared" si="1"/>
        <v>COMMENT ON COLUMN bfs_entry_information.entry_update_date_and_time IS 'エントリ更新日時';</v>
      </c>
      <c r="R46" s="34" t="s">
        <v>2260</v>
      </c>
    </row>
    <row r="47" spans="1:18" ht="19.5" thickBot="1">
      <c r="A47" s="3"/>
      <c r="B47" s="3">
        <v>39</v>
      </c>
      <c r="C47" s="3" t="s">
        <v>2261</v>
      </c>
      <c r="D47" s="3" t="s">
        <v>66</v>
      </c>
      <c r="E47" s="3">
        <v>2295</v>
      </c>
      <c r="F47" s="2" t="s">
        <v>67</v>
      </c>
      <c r="G47" s="3"/>
      <c r="H47" s="5"/>
      <c r="I47" s="3"/>
      <c r="J47" s="3"/>
      <c r="K47" s="25" t="s">
        <v>2262</v>
      </c>
      <c r="L47" t="str">
        <f t="shared" si="0"/>
        <v>VARCHAR(2295),</v>
      </c>
      <c r="N47" s="38" t="str">
        <f t="shared" si="1"/>
        <v>COMMENT ON COLUMN bfs_entry_information.stakeholder_1 IS '関係者1';</v>
      </c>
      <c r="R47" s="34" t="s">
        <v>2263</v>
      </c>
    </row>
    <row r="48" spans="1:18" ht="19.5" thickBot="1">
      <c r="A48" s="6"/>
      <c r="B48" s="6">
        <v>40</v>
      </c>
      <c r="C48" s="6" t="s">
        <v>2264</v>
      </c>
      <c r="D48" s="6" t="s">
        <v>66</v>
      </c>
      <c r="E48" s="6">
        <v>2295</v>
      </c>
      <c r="F48" s="7" t="s">
        <v>67</v>
      </c>
      <c r="G48" s="6"/>
      <c r="H48" s="8"/>
      <c r="I48" s="6"/>
      <c r="J48" s="6"/>
      <c r="K48" s="25" t="s">
        <v>2265</v>
      </c>
      <c r="L48" t="str">
        <f t="shared" si="0"/>
        <v>VARCHAR(2295),</v>
      </c>
      <c r="N48" s="38" t="str">
        <f t="shared" si="1"/>
        <v>COMMENT ON COLUMN bfs_entry_information.stakeholder_2 IS '関係者2';</v>
      </c>
      <c r="R48" s="34" t="s">
        <v>2266</v>
      </c>
    </row>
    <row r="49" spans="1:18" ht="19.5" thickBot="1">
      <c r="A49" s="3"/>
      <c r="B49" s="3">
        <v>41</v>
      </c>
      <c r="C49" s="3" t="s">
        <v>2267</v>
      </c>
      <c r="D49" s="3" t="s">
        <v>66</v>
      </c>
      <c r="E49" s="3">
        <v>2295</v>
      </c>
      <c r="F49" s="2" t="s">
        <v>67</v>
      </c>
      <c r="G49" s="3"/>
      <c r="H49" s="5"/>
      <c r="I49" s="3"/>
      <c r="J49" s="3"/>
      <c r="K49" s="25" t="s">
        <v>2268</v>
      </c>
      <c r="L49" t="str">
        <f t="shared" si="0"/>
        <v>VARCHAR(2295),</v>
      </c>
      <c r="N49" s="38" t="str">
        <f t="shared" si="1"/>
        <v>COMMENT ON COLUMN bfs_entry_information.stakeholder_3 IS '関係者3';</v>
      </c>
      <c r="R49" s="34" t="s">
        <v>2269</v>
      </c>
    </row>
    <row r="50" spans="1:18" ht="19.5" thickBot="1">
      <c r="A50" s="6"/>
      <c r="B50" s="6">
        <v>42</v>
      </c>
      <c r="C50" s="6" t="s">
        <v>2270</v>
      </c>
      <c r="D50" s="6" t="s">
        <v>66</v>
      </c>
      <c r="E50" s="6">
        <v>2295</v>
      </c>
      <c r="F50" s="7" t="s">
        <v>67</v>
      </c>
      <c r="G50" s="6"/>
      <c r="H50" s="8"/>
      <c r="I50" s="6"/>
      <c r="J50" s="6"/>
      <c r="K50" s="25" t="s">
        <v>2271</v>
      </c>
      <c r="L50" t="str">
        <f t="shared" si="0"/>
        <v>VARCHAR(2295),</v>
      </c>
      <c r="N50" s="38" t="str">
        <f t="shared" si="1"/>
        <v>COMMENT ON COLUMN bfs_entry_information.stakeholder_4 IS '関係者4';</v>
      </c>
      <c r="R50" s="34" t="s">
        <v>2272</v>
      </c>
    </row>
    <row r="51" spans="1:18" ht="19.5" thickBot="1">
      <c r="A51" s="3"/>
      <c r="B51" s="3">
        <v>43</v>
      </c>
      <c r="C51" s="3" t="s">
        <v>2273</v>
      </c>
      <c r="D51" s="3" t="s">
        <v>66</v>
      </c>
      <c r="E51" s="3">
        <v>2295</v>
      </c>
      <c r="F51" s="2" t="s">
        <v>67</v>
      </c>
      <c r="G51" s="3"/>
      <c r="H51" s="5"/>
      <c r="I51" s="3"/>
      <c r="J51" s="3"/>
      <c r="K51" s="25" t="s">
        <v>2274</v>
      </c>
      <c r="L51" t="str">
        <f t="shared" si="0"/>
        <v>VARCHAR(2295),</v>
      </c>
      <c r="N51" s="38" t="str">
        <f t="shared" si="1"/>
        <v>COMMENT ON COLUMN bfs_entry_information.stakeholder_5 IS '関係者5';</v>
      </c>
      <c r="R51" s="34" t="s">
        <v>2275</v>
      </c>
    </row>
    <row r="52" spans="1:18" ht="19.5" thickBot="1">
      <c r="A52" s="6"/>
      <c r="B52" s="6">
        <v>44</v>
      </c>
      <c r="C52" s="6" t="s">
        <v>2276</v>
      </c>
      <c r="D52" s="6" t="s">
        <v>66</v>
      </c>
      <c r="E52" s="6">
        <v>2295</v>
      </c>
      <c r="F52" s="7" t="s">
        <v>67</v>
      </c>
      <c r="G52" s="6"/>
      <c r="H52" s="8"/>
      <c r="I52" s="6"/>
      <c r="J52" s="6"/>
      <c r="K52" s="25" t="s">
        <v>2277</v>
      </c>
      <c r="L52" t="str">
        <f t="shared" si="0"/>
        <v>VARCHAR(2295),</v>
      </c>
      <c r="N52" s="38" t="str">
        <f t="shared" si="1"/>
        <v>COMMENT ON COLUMN bfs_entry_information.stakeholder_6 IS '関係者6';</v>
      </c>
      <c r="R52" s="34" t="s">
        <v>2278</v>
      </c>
    </row>
    <row r="53" spans="1:18" ht="19.5" thickBot="1">
      <c r="A53" s="3"/>
      <c r="B53" s="3">
        <v>45</v>
      </c>
      <c r="C53" s="3" t="s">
        <v>2279</v>
      </c>
      <c r="D53" s="3" t="s">
        <v>66</v>
      </c>
      <c r="E53" s="3">
        <v>2295</v>
      </c>
      <c r="F53" s="2" t="s">
        <v>67</v>
      </c>
      <c r="G53" s="3"/>
      <c r="H53" s="5"/>
      <c r="I53" s="3"/>
      <c r="J53" s="3"/>
      <c r="K53" s="25" t="s">
        <v>2280</v>
      </c>
      <c r="L53" t="str">
        <f t="shared" si="0"/>
        <v>VARCHAR(2295),</v>
      </c>
      <c r="N53" s="38" t="str">
        <f t="shared" si="1"/>
        <v>COMMENT ON COLUMN bfs_entry_information.stakeholder_7 IS '関係者7';</v>
      </c>
      <c r="R53" s="34" t="s">
        <v>2281</v>
      </c>
    </row>
    <row r="54" spans="1:18" ht="19.5" thickBot="1">
      <c r="A54" s="6"/>
      <c r="B54" s="6">
        <v>46</v>
      </c>
      <c r="C54" s="6" t="s">
        <v>2282</v>
      </c>
      <c r="D54" s="6" t="s">
        <v>66</v>
      </c>
      <c r="E54" s="6">
        <v>2295</v>
      </c>
      <c r="F54" s="7" t="s">
        <v>67</v>
      </c>
      <c r="G54" s="6"/>
      <c r="H54" s="8"/>
      <c r="I54" s="6"/>
      <c r="J54" s="6"/>
      <c r="K54" s="25" t="s">
        <v>2283</v>
      </c>
      <c r="L54" t="str">
        <f t="shared" si="0"/>
        <v>VARCHAR(2295),</v>
      </c>
      <c r="N54" s="38" t="str">
        <f t="shared" si="1"/>
        <v>COMMENT ON COLUMN bfs_entry_information.stakeholder_8 IS '関係者8';</v>
      </c>
      <c r="R54" s="34" t="s">
        <v>2284</v>
      </c>
    </row>
    <row r="55" spans="1:18" ht="19.5" thickBot="1">
      <c r="A55" s="3"/>
      <c r="B55" s="3">
        <v>47</v>
      </c>
      <c r="C55" s="3" t="s">
        <v>2285</v>
      </c>
      <c r="D55" s="3" t="s">
        <v>66</v>
      </c>
      <c r="E55" s="3">
        <v>2295</v>
      </c>
      <c r="F55" s="2" t="s">
        <v>67</v>
      </c>
      <c r="G55" s="3"/>
      <c r="H55" s="5"/>
      <c r="I55" s="3"/>
      <c r="J55" s="3"/>
      <c r="K55" s="25" t="s">
        <v>2286</v>
      </c>
      <c r="L55" t="str">
        <f t="shared" si="0"/>
        <v>VARCHAR(2295),</v>
      </c>
      <c r="N55" s="38" t="str">
        <f t="shared" si="1"/>
        <v>COMMENT ON COLUMN bfs_entry_information.stakeholder_9 IS '関係者9';</v>
      </c>
      <c r="R55" s="34" t="s">
        <v>2287</v>
      </c>
    </row>
    <row r="56" spans="1:18" ht="19.5" thickBot="1">
      <c r="A56" s="6"/>
      <c r="B56" s="6">
        <v>48</v>
      </c>
      <c r="C56" s="6" t="s">
        <v>2288</v>
      </c>
      <c r="D56" s="6" t="s">
        <v>66</v>
      </c>
      <c r="E56" s="6">
        <v>2295</v>
      </c>
      <c r="F56" s="7" t="s">
        <v>67</v>
      </c>
      <c r="G56" s="6"/>
      <c r="H56" s="8"/>
      <c r="I56" s="6"/>
      <c r="J56" s="6"/>
      <c r="K56" s="25" t="s">
        <v>2289</v>
      </c>
      <c r="L56" t="str">
        <f t="shared" si="0"/>
        <v>VARCHAR(2295),</v>
      </c>
      <c r="N56" s="38" t="str">
        <f t="shared" si="1"/>
        <v>COMMENT ON COLUMN bfs_entry_information.stakeholder_10 IS '関係者10';</v>
      </c>
      <c r="R56" s="34" t="s">
        <v>2290</v>
      </c>
    </row>
    <row r="57" spans="1:18" ht="19.5" thickBot="1">
      <c r="A57" s="3"/>
      <c r="B57" s="3">
        <v>49</v>
      </c>
      <c r="C57" s="3" t="s">
        <v>2291</v>
      </c>
      <c r="D57" s="3" t="s">
        <v>66</v>
      </c>
      <c r="E57" s="3">
        <v>108</v>
      </c>
      <c r="F57" s="2" t="s">
        <v>67</v>
      </c>
      <c r="G57" s="3"/>
      <c r="H57" s="5"/>
      <c r="I57" s="3"/>
      <c r="J57" s="3"/>
      <c r="K57" s="25" t="s">
        <v>2292</v>
      </c>
      <c r="L57" t="str">
        <f t="shared" si="0"/>
        <v>VARCHAR(108),</v>
      </c>
      <c r="N57" s="38" t="str">
        <f t="shared" si="1"/>
        <v>COMMENT ON COLUMN bfs_entry_information.sfa_number IS 'sfa番号';</v>
      </c>
      <c r="R57" s="34" t="s">
        <v>2293</v>
      </c>
    </row>
    <row r="58" spans="1:18" ht="19.5" thickBot="1">
      <c r="A58" s="6"/>
      <c r="B58" s="6">
        <v>50</v>
      </c>
      <c r="C58" s="6" t="s">
        <v>2294</v>
      </c>
      <c r="D58" s="6" t="s">
        <v>66</v>
      </c>
      <c r="E58" s="6">
        <v>765</v>
      </c>
      <c r="F58" s="7" t="s">
        <v>67</v>
      </c>
      <c r="G58" s="6"/>
      <c r="H58" s="8"/>
      <c r="I58" s="6"/>
      <c r="J58" s="6"/>
      <c r="K58" s="25" t="s">
        <v>2295</v>
      </c>
      <c r="L58" t="str">
        <f t="shared" si="0"/>
        <v>VARCHAR(765),</v>
      </c>
      <c r="N58" s="38" t="str">
        <f t="shared" si="1"/>
        <v>COMMENT ON COLUMN bfs_entry_information.sfa_project_name IS 'sfa案件名';</v>
      </c>
      <c r="R58" s="34" t="s">
        <v>2296</v>
      </c>
    </row>
    <row r="59" spans="1:18" ht="19.5" thickBot="1">
      <c r="A59" s="3"/>
      <c r="B59" s="3">
        <v>51</v>
      </c>
      <c r="C59" s="3" t="s">
        <v>5</v>
      </c>
      <c r="D59" s="3" t="s">
        <v>66</v>
      </c>
      <c r="E59" s="3">
        <v>18</v>
      </c>
      <c r="F59" s="2" t="s">
        <v>67</v>
      </c>
      <c r="G59" s="3"/>
      <c r="H59" s="5"/>
      <c r="I59" s="3"/>
      <c r="J59" s="3"/>
      <c r="K59" s="25" t="s">
        <v>2297</v>
      </c>
      <c r="L59" t="str">
        <f t="shared" si="0"/>
        <v>VARCHAR(18),</v>
      </c>
      <c r="N59" s="38" t="str">
        <f t="shared" si="1"/>
        <v>COMMENT ON COLUMN bfs_entry_information.unified_company_code IS '統一企業コード';</v>
      </c>
      <c r="R59" s="34" t="s">
        <v>2298</v>
      </c>
    </row>
    <row r="60" spans="1:18" ht="19.5" thickBot="1">
      <c r="A60" s="6"/>
      <c r="B60" s="6">
        <v>52</v>
      </c>
      <c r="C60" s="6" t="s">
        <v>2299</v>
      </c>
      <c r="D60" s="6" t="s">
        <v>66</v>
      </c>
      <c r="E60" s="6">
        <v>900</v>
      </c>
      <c r="F60" s="7" t="s">
        <v>67</v>
      </c>
      <c r="G60" s="6"/>
      <c r="H60" s="8"/>
      <c r="I60" s="6"/>
      <c r="J60" s="6"/>
      <c r="K60" s="25" t="s">
        <v>2300</v>
      </c>
      <c r="L60" t="str">
        <f t="shared" si="0"/>
        <v>VARCHAR(900),</v>
      </c>
      <c r="N60" s="38" t="str">
        <f t="shared" si="1"/>
        <v>COMMENT ON COLUMN bfs_entry_information.company_name IS '企業名';</v>
      </c>
      <c r="R60" s="34" t="s">
        <v>2301</v>
      </c>
    </row>
    <row r="61" spans="1:18" ht="19.5" thickBot="1">
      <c r="A61" s="3"/>
      <c r="B61" s="3">
        <v>53</v>
      </c>
      <c r="C61" s="3" t="s">
        <v>2302</v>
      </c>
      <c r="D61" s="3" t="s">
        <v>66</v>
      </c>
      <c r="E61" s="3">
        <v>2304</v>
      </c>
      <c r="F61" s="2" t="s">
        <v>67</v>
      </c>
      <c r="G61" s="3"/>
      <c r="H61" s="5"/>
      <c r="I61" s="3"/>
      <c r="J61" s="3"/>
      <c r="K61" s="25" t="s">
        <v>2303</v>
      </c>
      <c r="L61" t="str">
        <f t="shared" si="0"/>
        <v>VARCHAR(2304),</v>
      </c>
      <c r="N61" s="38" t="str">
        <f t="shared" si="1"/>
        <v>COMMENT ON COLUMN bfs_entry_information.sales_approval_subject IS '営業決裁件名';</v>
      </c>
      <c r="R61" s="34" t="s">
        <v>2304</v>
      </c>
    </row>
    <row r="62" spans="1:18" ht="19.5" thickBot="1">
      <c r="A62" s="6"/>
      <c r="B62" s="6">
        <v>54</v>
      </c>
      <c r="C62" s="6" t="s">
        <v>2305</v>
      </c>
      <c r="D62" s="6" t="s">
        <v>66</v>
      </c>
      <c r="E62" s="6">
        <v>108</v>
      </c>
      <c r="F62" s="7" t="s">
        <v>67</v>
      </c>
      <c r="G62" s="6"/>
      <c r="H62" s="8"/>
      <c r="I62" s="6"/>
      <c r="J62" s="6"/>
      <c r="K62" s="25" t="s">
        <v>2306</v>
      </c>
      <c r="L62" t="str">
        <f t="shared" si="0"/>
        <v>VARCHAR(108),</v>
      </c>
      <c r="N62" s="38" t="str">
        <f t="shared" si="1"/>
        <v>COMMENT ON COLUMN bfs_entry_information.sales_approval_number IS '営業決裁番号';</v>
      </c>
      <c r="R62" s="34" t="s">
        <v>2307</v>
      </c>
    </row>
    <row r="63" spans="1:18" ht="19.5" thickBot="1">
      <c r="A63" s="3"/>
      <c r="B63" s="3">
        <v>55</v>
      </c>
      <c r="C63" s="3" t="s">
        <v>2308</v>
      </c>
      <c r="D63" s="3" t="s">
        <v>66</v>
      </c>
      <c r="E63" s="3">
        <v>27</v>
      </c>
      <c r="F63" s="2" t="s">
        <v>67</v>
      </c>
      <c r="G63" s="3"/>
      <c r="H63" s="5"/>
      <c r="I63" s="3"/>
      <c r="J63" s="3"/>
      <c r="K63" s="31" t="s">
        <v>2309</v>
      </c>
      <c r="L63" t="str">
        <f t="shared" si="0"/>
        <v>VARCHAR(27),</v>
      </c>
      <c r="N63" s="38" t="str">
        <f t="shared" si="1"/>
        <v>COMMENT ON COLUMN bfs_entry_information.distributor_code IS '代理店コード';</v>
      </c>
      <c r="R63" s="34" t="s">
        <v>2310</v>
      </c>
    </row>
    <row r="64" spans="1:18" ht="19.5" thickBot="1">
      <c r="A64" s="6"/>
      <c r="B64" s="6">
        <v>56</v>
      </c>
      <c r="C64" s="6" t="s">
        <v>2311</v>
      </c>
      <c r="D64" s="6" t="s">
        <v>66</v>
      </c>
      <c r="E64" s="6">
        <v>42</v>
      </c>
      <c r="F64" s="7" t="s">
        <v>67</v>
      </c>
      <c r="G64" s="6"/>
      <c r="H64" s="8"/>
      <c r="I64" s="6"/>
      <c r="J64" s="6"/>
      <c r="K64" s="25" t="s">
        <v>2312</v>
      </c>
      <c r="L64" t="str">
        <f t="shared" si="0"/>
        <v>VARCHAR(42),</v>
      </c>
      <c r="N64" s="38" t="str">
        <f t="shared" si="1"/>
        <v>COMMENT ON COLUMN bfs_entry_information.consolidated_book_number IS '集約ブック番号';</v>
      </c>
      <c r="R64" s="34" t="s">
        <v>2313</v>
      </c>
    </row>
    <row r="65" spans="1:18" ht="19.5" thickBot="1">
      <c r="A65" s="3"/>
      <c r="B65" s="3">
        <v>57</v>
      </c>
      <c r="C65" s="3" t="s">
        <v>2314</v>
      </c>
      <c r="D65" s="3" t="s">
        <v>66</v>
      </c>
      <c r="E65" s="3">
        <v>54</v>
      </c>
      <c r="F65" s="2" t="s">
        <v>67</v>
      </c>
      <c r="G65" s="3"/>
      <c r="H65" s="5"/>
      <c r="I65" s="3"/>
      <c r="J65" s="3"/>
      <c r="K65" s="25" t="s">
        <v>2315</v>
      </c>
      <c r="L65" t="str">
        <f t="shared" si="0"/>
        <v>VARCHAR(54),</v>
      </c>
      <c r="N65" s="38" t="str">
        <f t="shared" si="1"/>
        <v>COMMENT ON COLUMN bfs_entry_information.estimate_book_number IS '試算ブック番号';</v>
      </c>
      <c r="R65" s="34" t="s">
        <v>2316</v>
      </c>
    </row>
    <row r="66" spans="1:18" ht="19.5" thickBot="1">
      <c r="A66" s="6"/>
      <c r="B66" s="6">
        <v>58</v>
      </c>
      <c r="C66" s="6" t="s">
        <v>2317</v>
      </c>
      <c r="D66" s="6" t="s">
        <v>66</v>
      </c>
      <c r="E66" s="6">
        <v>60</v>
      </c>
      <c r="F66" s="7" t="s">
        <v>67</v>
      </c>
      <c r="G66" s="6"/>
      <c r="H66" s="8"/>
      <c r="I66" s="6"/>
      <c r="J66" s="6"/>
      <c r="K66" s="25" t="s">
        <v>2318</v>
      </c>
      <c r="L66" t="str">
        <f t="shared" si="0"/>
        <v>VARCHAR(60),</v>
      </c>
      <c r="N66" s="38" t="str">
        <f t="shared" si="1"/>
        <v>COMMENT ON COLUMN bfs_entry_information.easy_estimate_number IS 'かんたん見積番号';</v>
      </c>
      <c r="R66" s="34" t="s">
        <v>2319</v>
      </c>
    </row>
    <row r="67" spans="1:18" ht="19.5" thickBot="1">
      <c r="A67" s="3"/>
      <c r="B67" s="3">
        <v>59</v>
      </c>
      <c r="C67" s="3" t="s">
        <v>2320</v>
      </c>
      <c r="D67" s="3" t="s">
        <v>66</v>
      </c>
      <c r="E67" s="3">
        <v>108</v>
      </c>
      <c r="F67" s="2" t="s">
        <v>67</v>
      </c>
      <c r="G67" s="3"/>
      <c r="H67" s="5"/>
      <c r="I67" s="3"/>
      <c r="J67" s="3"/>
      <c r="K67" s="25" t="s">
        <v>2321</v>
      </c>
      <c r="L67" t="str">
        <f t="shared" si="0"/>
        <v>VARCHAR(108),</v>
      </c>
      <c r="N67" s="38" t="str">
        <f t="shared" si="1"/>
        <v>COMMENT ON COLUMN bfs_entry_information.relative_contract_management_number IS '相対契約管理番号';</v>
      </c>
      <c r="R67" s="34" t="s">
        <v>2322</v>
      </c>
    </row>
    <row r="68" spans="1:18" ht="19.5" thickBot="1">
      <c r="A68" s="6"/>
      <c r="B68" s="6">
        <v>60</v>
      </c>
      <c r="C68" s="6" t="s">
        <v>2323</v>
      </c>
      <c r="D68" s="6" t="s">
        <v>66</v>
      </c>
      <c r="E68" s="6">
        <v>90</v>
      </c>
      <c r="F68" s="7" t="s">
        <v>67</v>
      </c>
      <c r="G68" s="6"/>
      <c r="H68" s="8"/>
      <c r="I68" s="6"/>
      <c r="J68" s="6"/>
      <c r="K68" s="25" t="s">
        <v>2324</v>
      </c>
      <c r="L68" t="str">
        <f t="shared" si="0"/>
        <v>VARCHAR(90),</v>
      </c>
      <c r="N68" s="38" t="str">
        <f t="shared" si="1"/>
        <v>COMMENT ON COLUMN bfs_entry_information.approval_number_1 IS '決裁番号1';</v>
      </c>
      <c r="R68" s="34" t="s">
        <v>2325</v>
      </c>
    </row>
    <row r="69" spans="1:18" ht="19.5" thickBot="1">
      <c r="A69" s="3"/>
      <c r="B69" s="3">
        <v>61</v>
      </c>
      <c r="C69" s="3" t="s">
        <v>2326</v>
      </c>
      <c r="D69" s="3" t="s">
        <v>66</v>
      </c>
      <c r="E69" s="3">
        <v>90</v>
      </c>
      <c r="F69" s="2" t="s">
        <v>67</v>
      </c>
      <c r="G69" s="3"/>
      <c r="H69" s="5"/>
      <c r="I69" s="3"/>
      <c r="J69" s="3"/>
      <c r="K69" s="25" t="s">
        <v>2327</v>
      </c>
      <c r="L69" t="str">
        <f t="shared" si="0"/>
        <v>VARCHAR(90),</v>
      </c>
      <c r="N69" s="38" t="str">
        <f t="shared" si="1"/>
        <v>COMMENT ON COLUMN bfs_entry_information.approval_number_2 IS '決裁番号2';</v>
      </c>
      <c r="R69" s="34" t="s">
        <v>2328</v>
      </c>
    </row>
    <row r="70" spans="1:18" ht="19.5" thickBot="1">
      <c r="A70" s="6"/>
      <c r="B70" s="6">
        <v>62</v>
      </c>
      <c r="C70" s="6" t="s">
        <v>2329</v>
      </c>
      <c r="D70" s="6" t="s">
        <v>66</v>
      </c>
      <c r="E70" s="6">
        <v>90</v>
      </c>
      <c r="F70" s="7" t="s">
        <v>67</v>
      </c>
      <c r="G70" s="6"/>
      <c r="H70" s="8"/>
      <c r="I70" s="6"/>
      <c r="J70" s="6"/>
      <c r="K70" s="25" t="s">
        <v>2330</v>
      </c>
      <c r="L70" t="str">
        <f t="shared" si="0"/>
        <v>VARCHAR(90),</v>
      </c>
      <c r="N70" s="38" t="str">
        <f t="shared" si="1"/>
        <v>COMMENT ON COLUMN bfs_entry_information.approval_number_3 IS '決裁番号3';</v>
      </c>
      <c r="R70" s="34" t="s">
        <v>2331</v>
      </c>
    </row>
    <row r="71" spans="1:18" ht="19.5" thickBot="1">
      <c r="A71" s="3"/>
      <c r="B71" s="3">
        <v>63</v>
      </c>
      <c r="C71" s="3" t="s">
        <v>2332</v>
      </c>
      <c r="D71" s="3" t="s">
        <v>66</v>
      </c>
      <c r="E71" s="3">
        <v>90</v>
      </c>
      <c r="F71" s="2" t="s">
        <v>67</v>
      </c>
      <c r="G71" s="3"/>
      <c r="H71" s="5"/>
      <c r="I71" s="3"/>
      <c r="J71" s="3"/>
      <c r="K71" s="25" t="s">
        <v>2333</v>
      </c>
      <c r="L71" t="str">
        <f t="shared" si="0"/>
        <v>VARCHAR(90),</v>
      </c>
      <c r="N71" s="38" t="str">
        <f t="shared" si="1"/>
        <v>COMMENT ON COLUMN bfs_entry_information.approval_number_4 IS '決裁番号4';</v>
      </c>
      <c r="R71" s="34" t="s">
        <v>2334</v>
      </c>
    </row>
    <row r="72" spans="1:18" ht="19.5" thickBot="1">
      <c r="A72" s="6"/>
      <c r="B72" s="6">
        <v>64</v>
      </c>
      <c r="C72" s="6" t="s">
        <v>2335</v>
      </c>
      <c r="D72" s="6" t="s">
        <v>66</v>
      </c>
      <c r="E72" s="6">
        <v>90</v>
      </c>
      <c r="F72" s="7" t="s">
        <v>67</v>
      </c>
      <c r="G72" s="6"/>
      <c r="H72" s="8"/>
      <c r="I72" s="6"/>
      <c r="J72" s="6"/>
      <c r="K72" s="25" t="s">
        <v>2336</v>
      </c>
      <c r="L72" t="str">
        <f t="shared" si="0"/>
        <v>VARCHAR(90),</v>
      </c>
      <c r="N72" s="38" t="str">
        <f t="shared" si="1"/>
        <v>COMMENT ON COLUMN bfs_entry_information.approval_number_5 IS '決裁番号5';</v>
      </c>
      <c r="R72" s="34" t="s">
        <v>2337</v>
      </c>
    </row>
    <row r="73" spans="1:18" ht="19.5" thickBot="1">
      <c r="A73" s="3"/>
      <c r="B73" s="3">
        <v>65</v>
      </c>
      <c r="C73" s="3" t="s">
        <v>2338</v>
      </c>
      <c r="D73" s="3" t="s">
        <v>66</v>
      </c>
      <c r="E73" s="3">
        <v>54</v>
      </c>
      <c r="F73" s="2" t="s">
        <v>67</v>
      </c>
      <c r="G73" s="3"/>
      <c r="H73" s="5"/>
      <c r="I73" s="3"/>
      <c r="J73" s="3"/>
      <c r="K73" s="25" t="s">
        <v>2339</v>
      </c>
      <c r="L73" t="str">
        <f t="shared" si="0"/>
        <v>VARCHAR(54),</v>
      </c>
      <c r="N73" s="38" t="str">
        <f t="shared" si="1"/>
        <v>COMMENT ON COLUMN bfs_entry_information.agency_code_1 IS '取次店コード1';</v>
      </c>
      <c r="R73" s="34" t="s">
        <v>2340</v>
      </c>
    </row>
    <row r="74" spans="1:18" ht="19.5" thickBot="1">
      <c r="A74" s="6"/>
      <c r="B74" s="6">
        <v>66</v>
      </c>
      <c r="C74" s="6" t="s">
        <v>2341</v>
      </c>
      <c r="D74" s="6" t="s">
        <v>66</v>
      </c>
      <c r="E74" s="6">
        <v>2295</v>
      </c>
      <c r="F74" s="7" t="s">
        <v>67</v>
      </c>
      <c r="G74" s="6"/>
      <c r="H74" s="8"/>
      <c r="I74" s="6"/>
      <c r="J74" s="6"/>
      <c r="K74" s="25" t="s">
        <v>2342</v>
      </c>
      <c r="L74" t="str">
        <f t="shared" ref="L74:L137" si="2">D74&amp;"("&amp;E74&amp;"),"</f>
        <v>VARCHAR(2295),</v>
      </c>
      <c r="N74" s="38" t="str">
        <f t="shared" ref="N74:N137" si="3">"COMMENT ON COLUMN "&amp;$K$3&amp;"."&amp;$K74&amp;" IS '"&amp;C74&amp;"';"</f>
        <v>COMMENT ON COLUMN bfs_entry_information.agency_name IS '取次店名';</v>
      </c>
      <c r="R74" s="34" t="s">
        <v>2343</v>
      </c>
    </row>
    <row r="75" spans="1:18" ht="19.5" thickBot="1">
      <c r="A75" s="3"/>
      <c r="B75" s="3">
        <v>67</v>
      </c>
      <c r="C75" s="3" t="s">
        <v>2344</v>
      </c>
      <c r="D75" s="3" t="s">
        <v>66</v>
      </c>
      <c r="E75" s="3">
        <v>2295</v>
      </c>
      <c r="F75" s="2" t="s">
        <v>67</v>
      </c>
      <c r="G75" s="3"/>
      <c r="H75" s="5"/>
      <c r="I75" s="3"/>
      <c r="J75" s="3"/>
      <c r="K75" s="25" t="s">
        <v>2345</v>
      </c>
      <c r="L75" t="str">
        <f t="shared" si="2"/>
        <v>VARCHAR(2295),</v>
      </c>
      <c r="N75" s="38" t="str">
        <f t="shared" si="3"/>
        <v>COMMENT ON COLUMN bfs_entry_information.sales_representative_1 IS '営業担当者1';</v>
      </c>
      <c r="R75" s="34" t="s">
        <v>2346</v>
      </c>
    </row>
    <row r="76" spans="1:18" ht="19.5" thickBot="1">
      <c r="A76" s="6"/>
      <c r="B76" s="6">
        <v>68</v>
      </c>
      <c r="C76" s="6" t="s">
        <v>2347</v>
      </c>
      <c r="D76" s="6" t="s">
        <v>66</v>
      </c>
      <c r="E76" s="6">
        <v>39</v>
      </c>
      <c r="F76" s="7" t="s">
        <v>67</v>
      </c>
      <c r="G76" s="6"/>
      <c r="H76" s="8"/>
      <c r="I76" s="6"/>
      <c r="J76" s="6"/>
      <c r="K76" s="25" t="s">
        <v>2348</v>
      </c>
      <c r="L76" t="str">
        <f t="shared" si="2"/>
        <v>VARCHAR(39),</v>
      </c>
      <c r="N76" s="38" t="str">
        <f t="shared" si="3"/>
        <v>COMMENT ON COLUMN bfs_entry_information.telephone_number IS '電話番号';</v>
      </c>
      <c r="R76" s="34" t="s">
        <v>2349</v>
      </c>
    </row>
    <row r="77" spans="1:18" ht="19.5" thickBot="1">
      <c r="A77" s="3"/>
      <c r="B77" s="3">
        <v>69</v>
      </c>
      <c r="C77" s="3" t="s">
        <v>2350</v>
      </c>
      <c r="D77" s="3" t="s">
        <v>66</v>
      </c>
      <c r="E77" s="3">
        <v>2133</v>
      </c>
      <c r="F77" s="2" t="s">
        <v>67</v>
      </c>
      <c r="G77" s="3"/>
      <c r="H77" s="5"/>
      <c r="I77" s="3"/>
      <c r="J77" s="3"/>
      <c r="K77" s="25" t="s">
        <v>2351</v>
      </c>
      <c r="L77" t="str">
        <f t="shared" si="2"/>
        <v>VARCHAR(2133),</v>
      </c>
      <c r="N77" s="38" t="str">
        <f t="shared" si="3"/>
        <v>COMMENT ON COLUMN bfs_entry_information.department_name IS '部署名';</v>
      </c>
      <c r="R77" s="34" t="s">
        <v>2352</v>
      </c>
    </row>
    <row r="78" spans="1:18" ht="19.5" thickBot="1">
      <c r="A78" s="6"/>
      <c r="B78" s="6">
        <v>70</v>
      </c>
      <c r="C78" s="6" t="s">
        <v>2353</v>
      </c>
      <c r="D78" s="6" t="s">
        <v>66</v>
      </c>
      <c r="E78" s="6">
        <v>30</v>
      </c>
      <c r="F78" s="7" t="s">
        <v>67</v>
      </c>
      <c r="G78" s="6"/>
      <c r="H78" s="8"/>
      <c r="I78" s="6"/>
      <c r="J78" s="6"/>
      <c r="K78" s="25" t="s">
        <v>2354</v>
      </c>
      <c r="L78" t="str">
        <f t="shared" si="2"/>
        <v>VARCHAR(30),</v>
      </c>
      <c r="N78" s="38" t="str">
        <f t="shared" si="3"/>
        <v>COMMENT ON COLUMN bfs_entry_information.identity_verification_implementer_code IS '本人確認実施者コード';</v>
      </c>
      <c r="R78" s="34" t="s">
        <v>2355</v>
      </c>
    </row>
    <row r="79" spans="1:18" ht="19.5" thickBot="1">
      <c r="A79" s="3"/>
      <c r="B79" s="3">
        <v>71</v>
      </c>
      <c r="C79" s="3" t="s">
        <v>2356</v>
      </c>
      <c r="D79" s="3" t="s">
        <v>66</v>
      </c>
      <c r="E79" s="3">
        <v>30</v>
      </c>
      <c r="F79" s="2" t="s">
        <v>67</v>
      </c>
      <c r="G79" s="3"/>
      <c r="H79" s="5"/>
      <c r="I79" s="3"/>
      <c r="J79" s="3"/>
      <c r="K79" s="25" t="s">
        <v>2357</v>
      </c>
      <c r="L79" t="str">
        <f t="shared" si="2"/>
        <v>VARCHAR(30),</v>
      </c>
      <c r="N79" s="38" t="str">
        <f t="shared" si="3"/>
        <v>COMMENT ON COLUMN bfs_entry_information.receptionist_code IS '受付担当者コード';</v>
      </c>
      <c r="R79" s="34" t="s">
        <v>2358</v>
      </c>
    </row>
    <row r="80" spans="1:18" ht="19.5" thickBot="1">
      <c r="A80" s="6"/>
      <c r="B80" s="6">
        <v>72</v>
      </c>
      <c r="C80" s="6" t="s">
        <v>2359</v>
      </c>
      <c r="D80" s="6" t="s">
        <v>66</v>
      </c>
      <c r="E80" s="6">
        <v>900</v>
      </c>
      <c r="F80" s="7" t="s">
        <v>67</v>
      </c>
      <c r="G80" s="6"/>
      <c r="H80" s="8"/>
      <c r="I80" s="6"/>
      <c r="J80" s="6"/>
      <c r="K80" s="25" t="s">
        <v>2360</v>
      </c>
      <c r="L80" t="str">
        <f t="shared" si="2"/>
        <v>VARCHAR(900),</v>
      </c>
      <c r="N80" s="38" t="str">
        <f t="shared" si="3"/>
        <v>COMMENT ON COLUMN bfs_entry_information.applicant_name IS '申請者名';</v>
      </c>
      <c r="R80" s="34" t="s">
        <v>2361</v>
      </c>
    </row>
    <row r="81" spans="1:18" ht="19.5" thickBot="1">
      <c r="A81" s="3"/>
      <c r="B81" s="3">
        <v>73</v>
      </c>
      <c r="C81" s="3" t="s">
        <v>2362</v>
      </c>
      <c r="D81" s="3" t="s">
        <v>66</v>
      </c>
      <c r="E81" s="3">
        <v>2295</v>
      </c>
      <c r="F81" s="2" t="s">
        <v>67</v>
      </c>
      <c r="G81" s="3"/>
      <c r="H81" s="5"/>
      <c r="I81" s="3"/>
      <c r="J81" s="3"/>
      <c r="K81" s="25" t="s">
        <v>2363</v>
      </c>
      <c r="L81" t="str">
        <f t="shared" si="2"/>
        <v>VARCHAR(2295),</v>
      </c>
      <c r="N81" s="38" t="str">
        <f t="shared" si="3"/>
        <v>COMMENT ON COLUMN bfs_entry_information.department_name_1 IS '部署名1';</v>
      </c>
      <c r="R81" s="34" t="s">
        <v>2364</v>
      </c>
    </row>
    <row r="82" spans="1:18" ht="19.5" thickBot="1">
      <c r="A82" s="6"/>
      <c r="B82" s="6">
        <v>74</v>
      </c>
      <c r="C82" s="6" t="s">
        <v>2365</v>
      </c>
      <c r="D82" s="6" t="s">
        <v>66</v>
      </c>
      <c r="E82" s="6">
        <v>21</v>
      </c>
      <c r="F82" s="7" t="s">
        <v>67</v>
      </c>
      <c r="G82" s="6"/>
      <c r="H82" s="8"/>
      <c r="I82" s="6"/>
      <c r="J82" s="6"/>
      <c r="K82" s="25" t="s">
        <v>2366</v>
      </c>
      <c r="L82" t="str">
        <f t="shared" si="2"/>
        <v>VARCHAR(21),</v>
      </c>
      <c r="N82" s="38" t="str">
        <f t="shared" si="3"/>
        <v>COMMENT ON COLUMN bfs_entry_information.common_employee_number IS '共通社員番号';</v>
      </c>
      <c r="R82" s="34" t="s">
        <v>2367</v>
      </c>
    </row>
    <row r="83" spans="1:18" ht="19.5" thickBot="1">
      <c r="A83" s="3"/>
      <c r="B83" s="3">
        <v>75</v>
      </c>
      <c r="C83" s="3" t="s">
        <v>2368</v>
      </c>
      <c r="D83" s="3" t="s">
        <v>66</v>
      </c>
      <c r="E83" s="3">
        <v>48</v>
      </c>
      <c r="F83" s="2" t="s">
        <v>67</v>
      </c>
      <c r="G83" s="3"/>
      <c r="H83" s="5"/>
      <c r="I83" s="3"/>
      <c r="J83" s="3"/>
      <c r="K83" s="25" t="s">
        <v>2369</v>
      </c>
      <c r="L83" t="str">
        <f t="shared" si="2"/>
        <v>VARCHAR(48),</v>
      </c>
      <c r="N83" s="38" t="str">
        <f t="shared" si="3"/>
        <v>COMMENT ON COLUMN bfs_entry_information.credit_application_number IS '与信申請番号';</v>
      </c>
      <c r="R83" s="34" t="s">
        <v>2370</v>
      </c>
    </row>
    <row r="84" spans="1:18" ht="19.5" thickBot="1">
      <c r="A84" s="6"/>
      <c r="B84" s="6">
        <v>76</v>
      </c>
      <c r="C84" s="6" t="s">
        <v>2371</v>
      </c>
      <c r="D84" s="6" t="s">
        <v>66</v>
      </c>
      <c r="E84" s="6">
        <v>51</v>
      </c>
      <c r="F84" s="7" t="s">
        <v>67</v>
      </c>
      <c r="G84" s="6"/>
      <c r="H84" s="8"/>
      <c r="I84" s="6"/>
      <c r="J84" s="6"/>
      <c r="K84" s="25" t="s">
        <v>2372</v>
      </c>
      <c r="L84" t="str">
        <f t="shared" si="2"/>
        <v>VARCHAR(51),</v>
      </c>
      <c r="N84" s="38" t="str">
        <f t="shared" si="3"/>
        <v>COMMENT ON COLUMN bfs_entry_information.credit_response_number IS '与信回答番号';</v>
      </c>
      <c r="R84" s="34" t="s">
        <v>2373</v>
      </c>
    </row>
    <row r="85" spans="1:18" ht="19.5" thickBot="1">
      <c r="A85" s="3"/>
      <c r="B85" s="3">
        <v>77</v>
      </c>
      <c r="C85" s="3" t="s">
        <v>2374</v>
      </c>
      <c r="D85" s="3" t="s">
        <v>66</v>
      </c>
      <c r="E85" s="3">
        <v>36</v>
      </c>
      <c r="F85" s="2" t="s">
        <v>67</v>
      </c>
      <c r="G85" s="3"/>
      <c r="H85" s="5"/>
      <c r="I85" s="3"/>
      <c r="J85" s="3"/>
      <c r="K85" s="25" t="s">
        <v>2375</v>
      </c>
      <c r="L85" t="str">
        <f t="shared" si="2"/>
        <v>VARCHAR(36),</v>
      </c>
      <c r="N85" s="38" t="str">
        <f t="shared" si="3"/>
        <v>COMMENT ON COLUMN bfs_entry_information.contractor_number IS '契約者番号';</v>
      </c>
      <c r="R85" s="34" t="s">
        <v>2376</v>
      </c>
    </row>
    <row r="86" spans="1:18" ht="19.5" thickBot="1">
      <c r="A86" s="6"/>
      <c r="B86" s="6">
        <v>78</v>
      </c>
      <c r="C86" s="6" t="s">
        <v>2377</v>
      </c>
      <c r="D86" s="6" t="s">
        <v>66</v>
      </c>
      <c r="E86" s="6">
        <v>2295</v>
      </c>
      <c r="F86" s="7" t="s">
        <v>67</v>
      </c>
      <c r="G86" s="6"/>
      <c r="H86" s="8"/>
      <c r="I86" s="6"/>
      <c r="J86" s="6"/>
      <c r="K86" s="25" t="s">
        <v>2378</v>
      </c>
      <c r="L86" t="str">
        <f t="shared" si="2"/>
        <v>VARCHAR(2295),</v>
      </c>
      <c r="N86" s="38" t="str">
        <f t="shared" si="3"/>
        <v>COMMENT ON COLUMN bfs_entry_information.contractor_type IS '契約者タイプ';</v>
      </c>
      <c r="R86" s="34" t="s">
        <v>2379</v>
      </c>
    </row>
    <row r="87" spans="1:18" ht="19.5" thickBot="1">
      <c r="A87" s="3"/>
      <c r="B87" s="3">
        <v>79</v>
      </c>
      <c r="C87" s="3" t="s">
        <v>2380</v>
      </c>
      <c r="D87" s="3" t="s">
        <v>66</v>
      </c>
      <c r="E87" s="3">
        <v>2295</v>
      </c>
      <c r="F87" s="2" t="s">
        <v>67</v>
      </c>
      <c r="G87" s="3"/>
      <c r="H87" s="5"/>
      <c r="I87" s="3"/>
      <c r="J87" s="3"/>
      <c r="K87" s="31" t="s">
        <v>2381</v>
      </c>
      <c r="L87" t="str">
        <f t="shared" si="2"/>
        <v>VARCHAR(2295),</v>
      </c>
      <c r="N87" s="38" t="str">
        <f t="shared" si="3"/>
        <v>COMMENT ON COLUMN bfs_entry_information.corporate_status_position IS '法人格位置';</v>
      </c>
      <c r="R87" s="34" t="s">
        <v>2382</v>
      </c>
    </row>
    <row r="88" spans="1:18" ht="19.5" thickBot="1">
      <c r="A88" s="6"/>
      <c r="B88" s="6">
        <v>80</v>
      </c>
      <c r="C88" s="6" t="s">
        <v>2383</v>
      </c>
      <c r="D88" s="6" t="s">
        <v>66</v>
      </c>
      <c r="E88" s="6">
        <v>2295</v>
      </c>
      <c r="F88" s="7" t="s">
        <v>67</v>
      </c>
      <c r="G88" s="6"/>
      <c r="H88" s="8"/>
      <c r="I88" s="6"/>
      <c r="J88" s="6"/>
      <c r="K88" s="32" t="s">
        <v>2384</v>
      </c>
      <c r="L88" t="str">
        <f t="shared" si="2"/>
        <v>VARCHAR(2295),</v>
      </c>
      <c r="N88" s="38" t="str">
        <f t="shared" si="3"/>
        <v>COMMENT ON COLUMN bfs_entry_information.corporate_status IS '法人格';</v>
      </c>
      <c r="R88" s="34" t="s">
        <v>2385</v>
      </c>
    </row>
    <row r="89" spans="1:18" ht="19.5" thickBot="1">
      <c r="A89" s="3"/>
      <c r="B89" s="3">
        <v>81</v>
      </c>
      <c r="C89" s="3" t="s">
        <v>2386</v>
      </c>
      <c r="D89" s="3" t="s">
        <v>66</v>
      </c>
      <c r="E89" s="3">
        <v>2295</v>
      </c>
      <c r="F89" s="2" t="s">
        <v>67</v>
      </c>
      <c r="G89" s="3"/>
      <c r="H89" s="5"/>
      <c r="I89" s="3"/>
      <c r="J89" s="3"/>
      <c r="K89" s="25" t="s">
        <v>2387</v>
      </c>
      <c r="L89" t="str">
        <f t="shared" si="2"/>
        <v>VARCHAR(2295),</v>
      </c>
      <c r="N89" s="38" t="str">
        <f t="shared" si="3"/>
        <v>COMMENT ON COLUMN bfs_entry_information.contractor_name IS '契約者名';</v>
      </c>
      <c r="R89" s="34" t="s">
        <v>2388</v>
      </c>
    </row>
    <row r="90" spans="1:18" ht="19.5" thickBot="1">
      <c r="A90" s="6"/>
      <c r="B90" s="6">
        <v>82</v>
      </c>
      <c r="C90" s="6" t="s">
        <v>2389</v>
      </c>
      <c r="D90" s="6" t="s">
        <v>66</v>
      </c>
      <c r="E90" s="6">
        <v>2295</v>
      </c>
      <c r="F90" s="7" t="s">
        <v>67</v>
      </c>
      <c r="G90" s="6"/>
      <c r="H90" s="8"/>
      <c r="I90" s="6"/>
      <c r="J90" s="6"/>
      <c r="K90" s="25" t="s">
        <v>2390</v>
      </c>
      <c r="L90" t="str">
        <f t="shared" si="2"/>
        <v>VARCHAR(2295),</v>
      </c>
      <c r="N90" s="38" t="str">
        <f t="shared" si="3"/>
        <v>COMMENT ON COLUMN bfs_entry_information.contractor_name_katakana IS '契約者名カナ';</v>
      </c>
      <c r="R90" s="34" t="s">
        <v>2391</v>
      </c>
    </row>
    <row r="91" spans="1:18" ht="19.5" thickBot="1">
      <c r="A91" s="3"/>
      <c r="B91" s="3">
        <v>83</v>
      </c>
      <c r="C91" s="3" t="s">
        <v>2392</v>
      </c>
      <c r="D91" s="3" t="s">
        <v>66</v>
      </c>
      <c r="E91" s="3">
        <v>2295</v>
      </c>
      <c r="F91" s="2" t="s">
        <v>67</v>
      </c>
      <c r="G91" s="3"/>
      <c r="H91" s="5"/>
      <c r="I91" s="3"/>
      <c r="J91" s="3"/>
      <c r="K91" s="25" t="s">
        <v>2393</v>
      </c>
      <c r="L91" t="str">
        <f t="shared" si="2"/>
        <v>VARCHAR(2295),</v>
      </c>
      <c r="N91" s="38" t="str">
        <f t="shared" si="3"/>
        <v>COMMENT ON COLUMN bfs_entry_information.corporate_type IS '法人タイプ';</v>
      </c>
      <c r="R91" s="34" t="s">
        <v>2394</v>
      </c>
    </row>
    <row r="92" spans="1:18" ht="19.5" thickBot="1">
      <c r="A92" s="6"/>
      <c r="B92" s="6">
        <v>84</v>
      </c>
      <c r="C92" s="6" t="s">
        <v>2395</v>
      </c>
      <c r="D92" s="6" t="s">
        <v>66</v>
      </c>
      <c r="E92" s="6">
        <v>765</v>
      </c>
      <c r="F92" s="7" t="s">
        <v>67</v>
      </c>
      <c r="G92" s="6"/>
      <c r="H92" s="8"/>
      <c r="I92" s="6"/>
      <c r="J92" s="6"/>
      <c r="K92" s="25" t="s">
        <v>2396</v>
      </c>
      <c r="L92" t="str">
        <f t="shared" si="2"/>
        <v>VARCHAR(765),</v>
      </c>
      <c r="N92" s="38" t="str">
        <f t="shared" si="3"/>
        <v>COMMENT ON COLUMN bfs_entry_information.deemed_corporate_approval_number IS 'みなし法人用決裁番号';</v>
      </c>
      <c r="R92" s="34" t="s">
        <v>2397</v>
      </c>
    </row>
    <row r="93" spans="1:18" ht="19.5" thickBot="1">
      <c r="A93" s="3"/>
      <c r="B93" s="3">
        <v>85</v>
      </c>
      <c r="C93" s="3" t="s">
        <v>2398</v>
      </c>
      <c r="D93" s="3" t="s">
        <v>66</v>
      </c>
      <c r="E93" s="3">
        <v>270</v>
      </c>
      <c r="F93" s="2" t="s">
        <v>67</v>
      </c>
      <c r="G93" s="3"/>
      <c r="H93" s="5"/>
      <c r="I93" s="3"/>
      <c r="J93" s="3"/>
      <c r="K93" s="25" t="s">
        <v>2399</v>
      </c>
      <c r="L93" t="str">
        <f t="shared" si="2"/>
        <v>VARCHAR(270),</v>
      </c>
      <c r="N93" s="38" t="str">
        <f t="shared" si="3"/>
        <v>COMMENT ON COLUMN bfs_entry_information.contact_person_name IS '担当者名';</v>
      </c>
      <c r="R93" s="34" t="s">
        <v>2400</v>
      </c>
    </row>
    <row r="94" spans="1:18" ht="19.5" thickBot="1">
      <c r="A94" s="6"/>
      <c r="B94" s="6">
        <v>86</v>
      </c>
      <c r="C94" s="6" t="s">
        <v>2401</v>
      </c>
      <c r="D94" s="6" t="s">
        <v>66</v>
      </c>
      <c r="E94" s="6">
        <v>540</v>
      </c>
      <c r="F94" s="7" t="s">
        <v>67</v>
      </c>
      <c r="G94" s="6"/>
      <c r="H94" s="8"/>
      <c r="I94" s="6"/>
      <c r="J94" s="6"/>
      <c r="K94" s="25" t="s">
        <v>2402</v>
      </c>
      <c r="L94" t="str">
        <f t="shared" si="2"/>
        <v>VARCHAR(540),</v>
      </c>
      <c r="N94" s="38" t="str">
        <f t="shared" si="3"/>
        <v>COMMENT ON COLUMN bfs_entry_information.contact_person_name_katakana IS '担当者名カナ';</v>
      </c>
      <c r="R94" s="34" t="s">
        <v>2403</v>
      </c>
    </row>
    <row r="95" spans="1:18" ht="19.5" thickBot="1">
      <c r="A95" s="3"/>
      <c r="B95" s="3">
        <v>87</v>
      </c>
      <c r="C95" s="3" t="s">
        <v>2404</v>
      </c>
      <c r="D95" s="3" t="s">
        <v>66</v>
      </c>
      <c r="E95" s="3">
        <v>2295</v>
      </c>
      <c r="F95" s="2" t="s">
        <v>67</v>
      </c>
      <c r="G95" s="3"/>
      <c r="H95" s="5"/>
      <c r="I95" s="3"/>
      <c r="J95" s="3"/>
      <c r="K95" s="25" t="s">
        <v>2405</v>
      </c>
      <c r="L95" t="str">
        <f t="shared" si="2"/>
        <v>VARCHAR(2295),</v>
      </c>
      <c r="N95" s="38" t="str">
        <f t="shared" si="3"/>
        <v>COMMENT ON COLUMN bfs_entry_information.contact_person_department IS '担当者部署';</v>
      </c>
      <c r="R95" s="34" t="s">
        <v>2406</v>
      </c>
    </row>
    <row r="96" spans="1:18" ht="19.5" thickBot="1">
      <c r="A96" s="6"/>
      <c r="B96" s="6">
        <v>88</v>
      </c>
      <c r="C96" s="6" t="s">
        <v>2407</v>
      </c>
      <c r="D96" s="6" t="s">
        <v>66</v>
      </c>
      <c r="E96" s="6">
        <v>900</v>
      </c>
      <c r="F96" s="7" t="s">
        <v>67</v>
      </c>
      <c r="G96" s="6"/>
      <c r="H96" s="8"/>
      <c r="I96" s="6"/>
      <c r="J96" s="6"/>
      <c r="K96" s="25" t="s">
        <v>2408</v>
      </c>
      <c r="L96" t="str">
        <f t="shared" si="2"/>
        <v>VARCHAR(900),</v>
      </c>
      <c r="N96" s="38" t="str">
        <f t="shared" si="3"/>
        <v>COMMENT ON COLUMN bfs_entry_information.contract_change_confirmation_check IS '契変更確認チェック';</v>
      </c>
      <c r="R96" s="34" t="s">
        <v>2409</v>
      </c>
    </row>
    <row r="97" spans="1:18" ht="19.5" thickBot="1">
      <c r="A97" s="3"/>
      <c r="B97" s="3">
        <v>89</v>
      </c>
      <c r="C97" s="3" t="s">
        <v>2410</v>
      </c>
      <c r="D97" s="3" t="s">
        <v>66</v>
      </c>
      <c r="E97" s="3">
        <v>2295</v>
      </c>
      <c r="F97" s="2" t="s">
        <v>67</v>
      </c>
      <c r="G97" s="3"/>
      <c r="H97" s="5"/>
      <c r="I97" s="3"/>
      <c r="J97" s="3"/>
      <c r="K97" s="25" t="s">
        <v>2411</v>
      </c>
      <c r="L97" t="str">
        <f t="shared" si="2"/>
        <v>VARCHAR(2295),</v>
      </c>
      <c r="N97" s="38" t="str">
        <f t="shared" si="3"/>
        <v>COMMENT ON COLUMN bfs_entry_information.contractor_name_change_comment IS '契約者名変更コメント';</v>
      </c>
      <c r="R97" s="34" t="s">
        <v>2412</v>
      </c>
    </row>
    <row r="98" spans="1:18" ht="19.5" thickBot="1">
      <c r="A98" s="6"/>
      <c r="B98" s="6">
        <v>90</v>
      </c>
      <c r="C98" s="6" t="s">
        <v>2413</v>
      </c>
      <c r="D98" s="6" t="s">
        <v>66</v>
      </c>
      <c r="E98" s="6">
        <v>36</v>
      </c>
      <c r="F98" s="7" t="s">
        <v>67</v>
      </c>
      <c r="G98" s="6"/>
      <c r="H98" s="8"/>
      <c r="I98" s="6"/>
      <c r="J98" s="6"/>
      <c r="K98" s="25" t="s">
        <v>2414</v>
      </c>
      <c r="L98" t="str">
        <f t="shared" si="2"/>
        <v>VARCHAR(36),</v>
      </c>
      <c r="N98" s="38" t="str">
        <f t="shared" si="3"/>
        <v>COMMENT ON COLUMN bfs_entry_information.billing_number IS '請求先番号';</v>
      </c>
      <c r="R98" s="34" t="s">
        <v>2415</v>
      </c>
    </row>
    <row r="99" spans="1:18" ht="19.5" thickBot="1">
      <c r="A99" s="3"/>
      <c r="B99" s="3">
        <v>91</v>
      </c>
      <c r="C99" s="3" t="s">
        <v>2416</v>
      </c>
      <c r="D99" s="3" t="s">
        <v>66</v>
      </c>
      <c r="E99" s="3">
        <v>2295</v>
      </c>
      <c r="F99" s="2" t="s">
        <v>67</v>
      </c>
      <c r="G99" s="3"/>
      <c r="H99" s="5"/>
      <c r="I99" s="3"/>
      <c r="J99" s="3"/>
      <c r="K99" s="25" t="s">
        <v>2417</v>
      </c>
      <c r="L99" t="str">
        <f t="shared" si="2"/>
        <v>VARCHAR(2295),</v>
      </c>
      <c r="N99" s="38" t="str">
        <f t="shared" si="3"/>
        <v>COMMENT ON COLUMN bfs_entry_information.corporate_entity_position_1 IS '法人格位置1';</v>
      </c>
      <c r="R99" s="34" t="s">
        <v>2418</v>
      </c>
    </row>
    <row r="100" spans="1:18" ht="19.5" thickBot="1">
      <c r="A100" s="6"/>
      <c r="B100" s="6">
        <v>92</v>
      </c>
      <c r="C100" s="6" t="s">
        <v>2419</v>
      </c>
      <c r="D100" s="6" t="s">
        <v>66</v>
      </c>
      <c r="E100" s="6">
        <v>2295</v>
      </c>
      <c r="F100" s="7" t="s">
        <v>67</v>
      </c>
      <c r="G100" s="6"/>
      <c r="H100" s="8"/>
      <c r="I100" s="6"/>
      <c r="J100" s="6"/>
      <c r="K100" s="25" t="s">
        <v>2420</v>
      </c>
      <c r="L100" t="str">
        <f t="shared" si="2"/>
        <v>VARCHAR(2295),</v>
      </c>
      <c r="N100" s="38" t="str">
        <f t="shared" si="3"/>
        <v>COMMENT ON COLUMN bfs_entry_information.corporate_entity_1 IS '法人格1';</v>
      </c>
      <c r="R100" s="34" t="s">
        <v>2421</v>
      </c>
    </row>
    <row r="101" spans="1:18" ht="19.5" thickBot="1">
      <c r="A101" s="3"/>
      <c r="B101" s="3">
        <v>93</v>
      </c>
      <c r="C101" s="3" t="s">
        <v>2422</v>
      </c>
      <c r="D101" s="3" t="s">
        <v>66</v>
      </c>
      <c r="E101" s="3">
        <v>2295</v>
      </c>
      <c r="F101" s="2" t="s">
        <v>67</v>
      </c>
      <c r="G101" s="3"/>
      <c r="H101" s="5"/>
      <c r="I101" s="3"/>
      <c r="J101" s="3"/>
      <c r="K101" s="25" t="s">
        <v>2423</v>
      </c>
      <c r="L101" t="str">
        <f t="shared" si="2"/>
        <v>VARCHAR(2295),</v>
      </c>
      <c r="N101" s="38" t="str">
        <f t="shared" si="3"/>
        <v>COMMENT ON COLUMN bfs_entry_information.billing_name IS '請求先名';</v>
      </c>
      <c r="R101" s="34" t="s">
        <v>2424</v>
      </c>
    </row>
    <row r="102" spans="1:18" ht="19.5" thickBot="1">
      <c r="A102" s="6"/>
      <c r="B102" s="6">
        <v>94</v>
      </c>
      <c r="C102" s="6" t="s">
        <v>2425</v>
      </c>
      <c r="D102" s="6" t="s">
        <v>66</v>
      </c>
      <c r="E102" s="6">
        <v>2295</v>
      </c>
      <c r="F102" s="7" t="s">
        <v>67</v>
      </c>
      <c r="G102" s="6"/>
      <c r="H102" s="8"/>
      <c r="I102" s="6"/>
      <c r="J102" s="6"/>
      <c r="K102" s="25" t="s">
        <v>2426</v>
      </c>
      <c r="L102" t="str">
        <f t="shared" si="2"/>
        <v>VARCHAR(2295),</v>
      </c>
      <c r="N102" s="38" t="str">
        <f t="shared" si="3"/>
        <v>COMMENT ON COLUMN bfs_entry_information.billing_name_katakana IS '請求先名カナ';</v>
      </c>
      <c r="R102" s="34" t="s">
        <v>2427</v>
      </c>
    </row>
    <row r="103" spans="1:18" ht="19.5" thickBot="1">
      <c r="A103" s="3"/>
      <c r="B103" s="3">
        <v>95</v>
      </c>
      <c r="C103" s="3" t="s">
        <v>2428</v>
      </c>
      <c r="D103" s="3" t="s">
        <v>66</v>
      </c>
      <c r="E103" s="3">
        <v>2304</v>
      </c>
      <c r="F103" s="2" t="s">
        <v>67</v>
      </c>
      <c r="G103" s="3"/>
      <c r="H103" s="5"/>
      <c r="I103" s="3"/>
      <c r="J103" s="3"/>
      <c r="K103" s="31" t="s">
        <v>2429</v>
      </c>
      <c r="L103" t="str">
        <f t="shared" si="2"/>
        <v>VARCHAR(2304),</v>
      </c>
      <c r="N103" s="38" t="str">
        <f t="shared" si="3"/>
        <v>COMMENT ON COLUMN bfs_entry_information.billing_department_name IS '部門名';</v>
      </c>
      <c r="R103" s="34" t="s">
        <v>2430</v>
      </c>
    </row>
    <row r="104" spans="1:18" ht="19.5" thickBot="1">
      <c r="A104" s="6"/>
      <c r="B104" s="6">
        <v>96</v>
      </c>
      <c r="C104" s="6" t="s">
        <v>2431</v>
      </c>
      <c r="D104" s="6" t="s">
        <v>66</v>
      </c>
      <c r="E104" s="6">
        <v>270</v>
      </c>
      <c r="F104" s="7" t="s">
        <v>67</v>
      </c>
      <c r="G104" s="6"/>
      <c r="H104" s="8"/>
      <c r="I104" s="6"/>
      <c r="J104" s="6"/>
      <c r="K104" s="25" t="s">
        <v>2432</v>
      </c>
      <c r="L104" t="str">
        <f t="shared" si="2"/>
        <v>VARCHAR(270),</v>
      </c>
      <c r="N104" s="38" t="str">
        <f t="shared" si="3"/>
        <v>COMMENT ON COLUMN bfs_entry_information.contact_person IS '担当者';</v>
      </c>
      <c r="R104" s="34" t="s">
        <v>2433</v>
      </c>
    </row>
    <row r="105" spans="1:18" ht="19.5" thickBot="1">
      <c r="A105" s="3"/>
      <c r="B105" s="3">
        <v>97</v>
      </c>
      <c r="C105" s="3" t="s">
        <v>2434</v>
      </c>
      <c r="D105" s="3" t="s">
        <v>66</v>
      </c>
      <c r="E105" s="3">
        <v>1536</v>
      </c>
      <c r="F105" s="2" t="s">
        <v>67</v>
      </c>
      <c r="G105" s="3"/>
      <c r="H105" s="5"/>
      <c r="I105" s="3"/>
      <c r="J105" s="3"/>
      <c r="K105" s="25" t="s">
        <v>2435</v>
      </c>
      <c r="L105" t="str">
        <f t="shared" si="2"/>
        <v>VARCHAR(1536),</v>
      </c>
      <c r="N105" s="38" t="str">
        <f t="shared" si="3"/>
        <v>COMMENT ON COLUMN bfs_entry_information.payment_method IS '支払方法';</v>
      </c>
      <c r="R105" s="34" t="s">
        <v>2436</v>
      </c>
    </row>
    <row r="106" spans="1:18" ht="19.5" thickBot="1">
      <c r="A106" s="6"/>
      <c r="B106" s="6">
        <v>98</v>
      </c>
      <c r="C106" s="6" t="s">
        <v>2437</v>
      </c>
      <c r="D106" s="6" t="s">
        <v>66</v>
      </c>
      <c r="E106" s="6">
        <v>1536</v>
      </c>
      <c r="F106" s="7" t="s">
        <v>67</v>
      </c>
      <c r="G106" s="6"/>
      <c r="H106" s="8"/>
      <c r="I106" s="6"/>
      <c r="J106" s="6"/>
      <c r="K106" s="25" t="s">
        <v>2438</v>
      </c>
      <c r="L106" t="str">
        <f t="shared" si="2"/>
        <v>VARCHAR(1536),</v>
      </c>
      <c r="N106" s="38" t="str">
        <f t="shared" si="3"/>
        <v>COMMENT ON COLUMN bfs_entry_information.invoice_type IS '請求書タイプ';</v>
      </c>
      <c r="R106" s="34" t="s">
        <v>2439</v>
      </c>
    </row>
    <row r="107" spans="1:18" ht="19.5" thickBot="1">
      <c r="A107" s="3"/>
      <c r="B107" s="3">
        <v>99</v>
      </c>
      <c r="C107" s="3" t="s">
        <v>2440</v>
      </c>
      <c r="D107" s="3" t="s">
        <v>66</v>
      </c>
      <c r="E107" s="3">
        <v>1536</v>
      </c>
      <c r="F107" s="2" t="s">
        <v>67</v>
      </c>
      <c r="G107" s="3"/>
      <c r="H107" s="5"/>
      <c r="I107" s="3"/>
      <c r="J107" s="3"/>
      <c r="K107" s="25" t="s">
        <v>2441</v>
      </c>
      <c r="L107" t="str">
        <f t="shared" si="2"/>
        <v>VARCHAR(1536),</v>
      </c>
      <c r="N107" s="38" t="str">
        <f t="shared" si="3"/>
        <v>COMMENT ON COLUMN bfs_entry_information.invoice_delivery IS '請求書送付';</v>
      </c>
      <c r="R107" s="34" t="s">
        <v>2442</v>
      </c>
    </row>
    <row r="108" spans="1:18" ht="19.5" thickBot="1">
      <c r="A108" s="6"/>
      <c r="B108" s="6">
        <v>100</v>
      </c>
      <c r="C108" s="6" t="s">
        <v>2443</v>
      </c>
      <c r="D108" s="6" t="s">
        <v>66</v>
      </c>
      <c r="E108" s="6">
        <v>1536</v>
      </c>
      <c r="F108" s="7" t="s">
        <v>67</v>
      </c>
      <c r="G108" s="6"/>
      <c r="H108" s="8"/>
      <c r="I108" s="6"/>
      <c r="J108" s="6"/>
      <c r="K108" s="25" t="s">
        <v>2444</v>
      </c>
      <c r="L108" t="str">
        <f t="shared" si="2"/>
        <v>VARCHAR(1536),</v>
      </c>
      <c r="N108" s="38" t="str">
        <f t="shared" si="3"/>
        <v>COMMENT ON COLUMN bfs_entry_information.last_4_digits IS '下4桁表示';</v>
      </c>
      <c r="R108" s="34" t="s">
        <v>2445</v>
      </c>
    </row>
    <row r="109" spans="1:18" ht="19.5" thickBot="1">
      <c r="A109" s="3"/>
      <c r="B109" s="3">
        <v>101</v>
      </c>
      <c r="C109" s="3" t="s">
        <v>2446</v>
      </c>
      <c r="D109" s="3" t="s">
        <v>66</v>
      </c>
      <c r="E109" s="3">
        <v>1536</v>
      </c>
      <c r="F109" s="2" t="s">
        <v>67</v>
      </c>
      <c r="G109" s="3"/>
      <c r="H109" s="5"/>
      <c r="I109" s="3"/>
      <c r="J109" s="3"/>
      <c r="K109" s="25" t="s">
        <v>2447</v>
      </c>
      <c r="L109" t="str">
        <f t="shared" si="2"/>
        <v>VARCHAR(1536),</v>
      </c>
      <c r="N109" s="38" t="str">
        <f t="shared" si="3"/>
        <v>COMMENT ON COLUMN bfs_entry_information.billing_group_information IS '請求群情報';</v>
      </c>
      <c r="R109" s="34" t="s">
        <v>2448</v>
      </c>
    </row>
    <row r="110" spans="1:18" ht="19.5" thickBot="1">
      <c r="A110" s="6"/>
      <c r="B110" s="6">
        <v>102</v>
      </c>
      <c r="C110" s="6" t="s">
        <v>2449</v>
      </c>
      <c r="D110" s="6" t="s">
        <v>66</v>
      </c>
      <c r="E110" s="6">
        <v>60</v>
      </c>
      <c r="F110" s="7" t="s">
        <v>67</v>
      </c>
      <c r="G110" s="6"/>
      <c r="H110" s="8"/>
      <c r="I110" s="6"/>
      <c r="J110" s="6"/>
      <c r="K110" s="25" t="s">
        <v>2450</v>
      </c>
      <c r="L110" t="str">
        <f t="shared" si="2"/>
        <v>VARCHAR(60),</v>
      </c>
      <c r="N110" s="38" t="str">
        <f t="shared" si="3"/>
        <v>COMMENT ON COLUMN bfs_entry_information.installment_payment_allowance_number IS '割賦許容番号';</v>
      </c>
      <c r="R110" s="34" t="s">
        <v>2451</v>
      </c>
    </row>
    <row r="111" spans="1:18" ht="19.5" thickBot="1">
      <c r="A111" s="3"/>
      <c r="B111" s="3">
        <v>103</v>
      </c>
      <c r="C111" s="3" t="s">
        <v>2452</v>
      </c>
      <c r="D111" s="3" t="s">
        <v>66</v>
      </c>
      <c r="E111" s="3">
        <v>1536</v>
      </c>
      <c r="F111" s="2" t="s">
        <v>67</v>
      </c>
      <c r="G111" s="3"/>
      <c r="H111" s="5"/>
      <c r="I111" s="3"/>
      <c r="J111" s="3"/>
      <c r="K111" s="25" t="s">
        <v>2453</v>
      </c>
      <c r="L111" t="str">
        <f t="shared" si="2"/>
        <v>VARCHAR(1536),</v>
      </c>
      <c r="N111" s="38" t="str">
        <f t="shared" si="3"/>
        <v>COMMENT ON COLUMN bfs_entry_information.agency IS '代行業者';</v>
      </c>
      <c r="R111" s="34" t="s">
        <v>2454</v>
      </c>
    </row>
    <row r="112" spans="1:18" ht="19.5" thickBot="1">
      <c r="A112" s="6"/>
      <c r="B112" s="6">
        <v>104</v>
      </c>
      <c r="C112" s="6" t="s">
        <v>2455</v>
      </c>
      <c r="D112" s="6" t="s">
        <v>66</v>
      </c>
      <c r="E112" s="6">
        <v>300</v>
      </c>
      <c r="F112" s="7" t="s">
        <v>67</v>
      </c>
      <c r="G112" s="6"/>
      <c r="H112" s="8"/>
      <c r="I112" s="6"/>
      <c r="J112" s="6"/>
      <c r="K112" s="25" t="s">
        <v>2456</v>
      </c>
      <c r="L112" t="str">
        <f t="shared" si="2"/>
        <v>VARCHAR(300),</v>
      </c>
      <c r="N112" s="38" t="str">
        <f t="shared" si="3"/>
        <v>COMMENT ON COLUMN bfs_entry_information.corporate_multiple_line_discount IS '法人複数回線割引';</v>
      </c>
      <c r="R112" s="34" t="s">
        <v>2457</v>
      </c>
    </row>
    <row r="113" spans="1:18" ht="19.5" thickBot="1">
      <c r="A113" s="3"/>
      <c r="B113" s="3">
        <v>105</v>
      </c>
      <c r="C113" s="3" t="s">
        <v>2458</v>
      </c>
      <c r="D113" s="3" t="s">
        <v>66</v>
      </c>
      <c r="E113" s="3">
        <v>18</v>
      </c>
      <c r="F113" s="2" t="s">
        <v>67</v>
      </c>
      <c r="G113" s="3"/>
      <c r="H113" s="5"/>
      <c r="I113" s="3"/>
      <c r="J113" s="3"/>
      <c r="K113" s="25" t="s">
        <v>2459</v>
      </c>
      <c r="L113" t="str">
        <f t="shared" si="2"/>
        <v>VARCHAR(18),</v>
      </c>
      <c r="N113" s="38" t="str">
        <f t="shared" si="3"/>
        <v>COMMENT ON COLUMN bfs_entry_information.discount_rate IS '割引率';</v>
      </c>
      <c r="R113" s="34" t="s">
        <v>2460</v>
      </c>
    </row>
    <row r="114" spans="1:18" ht="19.5" thickBot="1">
      <c r="A114" s="6"/>
      <c r="B114" s="6">
        <v>106</v>
      </c>
      <c r="C114" s="6" t="s">
        <v>2461</v>
      </c>
      <c r="D114" s="6" t="s">
        <v>66</v>
      </c>
      <c r="E114" s="6">
        <v>24</v>
      </c>
      <c r="F114" s="7" t="s">
        <v>67</v>
      </c>
      <c r="G114" s="6"/>
      <c r="H114" s="8"/>
      <c r="I114" s="6"/>
      <c r="J114" s="6"/>
      <c r="K114" s="25" t="s">
        <v>2462</v>
      </c>
      <c r="L114" t="str">
        <f t="shared" si="2"/>
        <v>VARCHAR(24),</v>
      </c>
      <c r="N114" s="38" t="str">
        <f t="shared" si="3"/>
        <v>COMMENT ON COLUMN bfs_entry_information.discount_amount IS '割引額';</v>
      </c>
      <c r="R114" s="34" t="s">
        <v>2463</v>
      </c>
    </row>
    <row r="115" spans="1:18" ht="19.5" thickBot="1">
      <c r="A115" s="3"/>
      <c r="B115" s="3">
        <v>107</v>
      </c>
      <c r="C115" s="3" t="s">
        <v>2464</v>
      </c>
      <c r="D115" s="3" t="s">
        <v>66</v>
      </c>
      <c r="E115" s="3">
        <v>300</v>
      </c>
      <c r="F115" s="2" t="s">
        <v>67</v>
      </c>
      <c r="G115" s="3"/>
      <c r="H115" s="5"/>
      <c r="I115" s="3"/>
      <c r="J115" s="3"/>
      <c r="K115" s="25" t="s">
        <v>2465</v>
      </c>
      <c r="L115" t="str">
        <f t="shared" si="2"/>
        <v>VARCHAR(300),</v>
      </c>
      <c r="N115" s="38" t="str">
        <f t="shared" si="3"/>
        <v>COMMENT ON COLUMN bfs_entry_information.number_of_discount_months IS '割引月数';</v>
      </c>
      <c r="R115" s="34" t="s">
        <v>2466</v>
      </c>
    </row>
    <row r="116" spans="1:18" ht="19.5" thickBot="1">
      <c r="A116" s="6"/>
      <c r="B116" s="6">
        <v>108</v>
      </c>
      <c r="C116" s="6" t="s">
        <v>2467</v>
      </c>
      <c r="D116" s="6" t="s">
        <v>66</v>
      </c>
      <c r="E116" s="6">
        <v>3</v>
      </c>
      <c r="F116" s="7" t="s">
        <v>67</v>
      </c>
      <c r="G116" s="6"/>
      <c r="H116" s="8"/>
      <c r="I116" s="6"/>
      <c r="J116" s="6"/>
      <c r="K116" s="25" t="s">
        <v>2468</v>
      </c>
      <c r="L116" t="str">
        <f t="shared" si="2"/>
        <v>VARCHAR(3),</v>
      </c>
      <c r="N116" s="38" t="str">
        <f t="shared" si="3"/>
        <v>COMMENT ON COLUMN bfs_entry_information.fee_type IS '手数料種別';</v>
      </c>
      <c r="R116" s="34" t="s">
        <v>2469</v>
      </c>
    </row>
    <row r="117" spans="1:18" ht="19.5" thickBot="1">
      <c r="A117" s="3"/>
      <c r="B117" s="3">
        <v>109</v>
      </c>
      <c r="C117" s="3" t="s">
        <v>1414</v>
      </c>
      <c r="D117" s="3" t="s">
        <v>66</v>
      </c>
      <c r="E117" s="3">
        <v>300</v>
      </c>
      <c r="F117" s="2" t="s">
        <v>67</v>
      </c>
      <c r="G117" s="3"/>
      <c r="H117" s="5"/>
      <c r="I117" s="3"/>
      <c r="J117" s="3"/>
      <c r="K117" s="25" t="s">
        <v>1415</v>
      </c>
      <c r="L117" t="str">
        <f t="shared" si="2"/>
        <v>VARCHAR(300),</v>
      </c>
      <c r="N117" s="38" t="str">
        <f t="shared" si="3"/>
        <v>COMMENT ON COLUMN bfs_entry_information.bulk_invoice_discount IS '請求書一括割引';</v>
      </c>
      <c r="R117" s="34" t="s">
        <v>2470</v>
      </c>
    </row>
    <row r="118" spans="1:18" ht="19.5" thickBot="1">
      <c r="A118" s="6"/>
      <c r="B118" s="6">
        <v>110</v>
      </c>
      <c r="C118" s="6" t="s">
        <v>2471</v>
      </c>
      <c r="D118" s="6" t="s">
        <v>66</v>
      </c>
      <c r="E118" s="6">
        <v>18</v>
      </c>
      <c r="F118" s="7" t="s">
        <v>67</v>
      </c>
      <c r="G118" s="6"/>
      <c r="H118" s="8"/>
      <c r="I118" s="6"/>
      <c r="J118" s="6"/>
      <c r="K118" s="25" t="s">
        <v>2472</v>
      </c>
      <c r="L118" t="str">
        <f t="shared" si="2"/>
        <v>VARCHAR(18),</v>
      </c>
      <c r="N118" s="38" t="str">
        <f t="shared" si="3"/>
        <v>COMMENT ON COLUMN bfs_entry_information.discount_rate_1 IS '割引率1';</v>
      </c>
      <c r="R118" s="34" t="s">
        <v>2473</v>
      </c>
    </row>
    <row r="119" spans="1:18" ht="19.5" thickBot="1">
      <c r="A119" s="3"/>
      <c r="B119" s="3">
        <v>111</v>
      </c>
      <c r="C119" s="3" t="s">
        <v>2474</v>
      </c>
      <c r="D119" s="3" t="s">
        <v>66</v>
      </c>
      <c r="E119" s="3">
        <v>24</v>
      </c>
      <c r="F119" s="2" t="s">
        <v>67</v>
      </c>
      <c r="G119" s="3"/>
      <c r="H119" s="5"/>
      <c r="I119" s="3"/>
      <c r="J119" s="3"/>
      <c r="K119" s="25" t="s">
        <v>2475</v>
      </c>
      <c r="L119" t="str">
        <f t="shared" si="2"/>
        <v>VARCHAR(24),</v>
      </c>
      <c r="N119" s="38" t="str">
        <f t="shared" si="3"/>
        <v>COMMENT ON COLUMN bfs_entry_information.discount_amount_1 IS '割引額1';</v>
      </c>
      <c r="R119" s="34" t="s">
        <v>2476</v>
      </c>
    </row>
    <row r="120" spans="1:18" ht="19.5" thickBot="1">
      <c r="A120" s="6"/>
      <c r="B120" s="6">
        <v>112</v>
      </c>
      <c r="C120" s="6" t="s">
        <v>2477</v>
      </c>
      <c r="D120" s="6" t="s">
        <v>66</v>
      </c>
      <c r="E120" s="6">
        <v>300</v>
      </c>
      <c r="F120" s="7" t="s">
        <v>67</v>
      </c>
      <c r="G120" s="6"/>
      <c r="H120" s="8"/>
      <c r="I120" s="6"/>
      <c r="J120" s="6"/>
      <c r="K120" s="25" t="s">
        <v>2478</v>
      </c>
      <c r="L120" t="str">
        <f t="shared" si="2"/>
        <v>VARCHAR(300),</v>
      </c>
      <c r="N120" s="38" t="str">
        <f t="shared" si="3"/>
        <v>COMMENT ON COLUMN bfs_entry_information.number_of_discount_months_1 IS '割引月数1';</v>
      </c>
      <c r="R120" s="34" t="s">
        <v>2479</v>
      </c>
    </row>
    <row r="121" spans="1:18" ht="19.5" thickBot="1">
      <c r="A121" s="3"/>
      <c r="B121" s="3">
        <v>113</v>
      </c>
      <c r="C121" s="3" t="s">
        <v>2480</v>
      </c>
      <c r="D121" s="3" t="s">
        <v>66</v>
      </c>
      <c r="E121" s="3">
        <v>3</v>
      </c>
      <c r="F121" s="2" t="s">
        <v>67</v>
      </c>
      <c r="G121" s="3"/>
      <c r="H121" s="5"/>
      <c r="I121" s="3"/>
      <c r="J121" s="3"/>
      <c r="K121" s="25" t="s">
        <v>2481</v>
      </c>
      <c r="L121" t="str">
        <f t="shared" si="2"/>
        <v>VARCHAR(3),</v>
      </c>
      <c r="N121" s="38" t="str">
        <f t="shared" si="3"/>
        <v>COMMENT ON COLUMN bfs_entry_information.fee_type_1 IS '手数料種別1';</v>
      </c>
      <c r="R121" s="34" t="s">
        <v>2482</v>
      </c>
    </row>
    <row r="122" spans="1:18" ht="19.5" thickBot="1">
      <c r="A122" s="6"/>
      <c r="B122" s="6">
        <v>114</v>
      </c>
      <c r="C122" s="6" t="s">
        <v>2483</v>
      </c>
      <c r="D122" s="6" t="s">
        <v>66</v>
      </c>
      <c r="E122" s="6">
        <v>300</v>
      </c>
      <c r="F122" s="7" t="s">
        <v>67</v>
      </c>
      <c r="G122" s="6"/>
      <c r="H122" s="8"/>
      <c r="I122" s="6"/>
      <c r="J122" s="6"/>
      <c r="K122" s="25" t="s">
        <v>2484</v>
      </c>
      <c r="L122" t="str">
        <f t="shared" si="2"/>
        <v>VARCHAR(300),</v>
      </c>
      <c r="N122" s="38" t="str">
        <f t="shared" si="3"/>
        <v>COMMENT ON COLUMN bfs_entry_information.number_s_corporate_multiple_line_discount IS 's番法人複数回線割引';</v>
      </c>
      <c r="R122" s="34" t="s">
        <v>2485</v>
      </c>
    </row>
    <row r="123" spans="1:18" ht="19.5" thickBot="1">
      <c r="A123" s="3"/>
      <c r="B123" s="3">
        <v>115</v>
      </c>
      <c r="C123" s="3" t="s">
        <v>2486</v>
      </c>
      <c r="D123" s="3" t="s">
        <v>66</v>
      </c>
      <c r="E123" s="3">
        <v>18</v>
      </c>
      <c r="F123" s="2" t="s">
        <v>67</v>
      </c>
      <c r="G123" s="3"/>
      <c r="H123" s="5"/>
      <c r="I123" s="3"/>
      <c r="J123" s="3"/>
      <c r="K123" s="25" t="s">
        <v>2487</v>
      </c>
      <c r="L123" t="str">
        <f t="shared" si="2"/>
        <v>VARCHAR(18),</v>
      </c>
      <c r="N123" s="38" t="str">
        <f t="shared" si="3"/>
        <v>COMMENT ON COLUMN bfs_entry_information.discount_rate_2 IS '割引率2';</v>
      </c>
      <c r="R123" s="34" t="s">
        <v>2488</v>
      </c>
    </row>
    <row r="124" spans="1:18" ht="19.5" thickBot="1">
      <c r="A124" s="6"/>
      <c r="B124" s="6">
        <v>116</v>
      </c>
      <c r="C124" s="6" t="s">
        <v>2489</v>
      </c>
      <c r="D124" s="6" t="s">
        <v>66</v>
      </c>
      <c r="E124" s="6">
        <v>24</v>
      </c>
      <c r="F124" s="7" t="s">
        <v>67</v>
      </c>
      <c r="G124" s="6"/>
      <c r="H124" s="8"/>
      <c r="I124" s="6"/>
      <c r="J124" s="6"/>
      <c r="K124" s="25" t="s">
        <v>2490</v>
      </c>
      <c r="L124" t="str">
        <f t="shared" si="2"/>
        <v>VARCHAR(24),</v>
      </c>
      <c r="N124" s="38" t="str">
        <f t="shared" si="3"/>
        <v>COMMENT ON COLUMN bfs_entry_information.discount_amount_2 IS '割引額2';</v>
      </c>
      <c r="R124" s="34" t="s">
        <v>2491</v>
      </c>
    </row>
    <row r="125" spans="1:18" ht="19.5" thickBot="1">
      <c r="A125" s="3"/>
      <c r="B125" s="3">
        <v>117</v>
      </c>
      <c r="C125" s="3" t="s">
        <v>2492</v>
      </c>
      <c r="D125" s="3" t="s">
        <v>66</v>
      </c>
      <c r="E125" s="3">
        <v>300</v>
      </c>
      <c r="F125" s="2" t="s">
        <v>67</v>
      </c>
      <c r="G125" s="3"/>
      <c r="H125" s="5"/>
      <c r="I125" s="3"/>
      <c r="J125" s="3"/>
      <c r="K125" s="25" t="s">
        <v>2493</v>
      </c>
      <c r="L125" t="str">
        <f t="shared" si="2"/>
        <v>VARCHAR(300),</v>
      </c>
      <c r="N125" s="38" t="str">
        <f t="shared" si="3"/>
        <v>COMMENT ON COLUMN bfs_entry_information.number_of_discount_months_2 IS '割引月数2';</v>
      </c>
      <c r="R125" s="34" t="s">
        <v>2494</v>
      </c>
    </row>
    <row r="126" spans="1:18" ht="19.5" thickBot="1">
      <c r="A126" s="6"/>
      <c r="B126" s="6">
        <v>118</v>
      </c>
      <c r="C126" s="6" t="s">
        <v>2495</v>
      </c>
      <c r="D126" s="6" t="s">
        <v>66</v>
      </c>
      <c r="E126" s="6">
        <v>3</v>
      </c>
      <c r="F126" s="7" t="s">
        <v>67</v>
      </c>
      <c r="G126" s="6"/>
      <c r="H126" s="8"/>
      <c r="I126" s="6"/>
      <c r="J126" s="6"/>
      <c r="K126" s="25" t="s">
        <v>2496</v>
      </c>
      <c r="L126" t="str">
        <f t="shared" si="2"/>
        <v>VARCHAR(3),</v>
      </c>
      <c r="N126" s="38" t="str">
        <f t="shared" si="3"/>
        <v>COMMENT ON COLUMN bfs_entry_information.fee_type_2 IS '手数料種別2';</v>
      </c>
      <c r="R126" s="34" t="s">
        <v>2497</v>
      </c>
    </row>
    <row r="127" spans="1:18" ht="19.5" thickBot="1">
      <c r="A127" s="3"/>
      <c r="B127" s="3">
        <v>119</v>
      </c>
      <c r="C127" s="3" t="s">
        <v>2498</v>
      </c>
      <c r="D127" s="3" t="s">
        <v>66</v>
      </c>
      <c r="E127" s="3">
        <v>300</v>
      </c>
      <c r="F127" s="2" t="s">
        <v>67</v>
      </c>
      <c r="G127" s="3"/>
      <c r="H127" s="5"/>
      <c r="I127" s="3"/>
      <c r="J127" s="3"/>
      <c r="K127" s="25" t="s">
        <v>2499</v>
      </c>
      <c r="L127" t="str">
        <f t="shared" si="2"/>
        <v>VARCHAR(300),</v>
      </c>
      <c r="N127" s="38" t="str">
        <f t="shared" si="3"/>
        <v>COMMENT ON COLUMN bfs_entry_information.s_number_large_call_discount IS 's番大口通話料割引';</v>
      </c>
      <c r="R127" s="34" t="s">
        <v>2500</v>
      </c>
    </row>
    <row r="128" spans="1:18" ht="19.5" thickBot="1">
      <c r="A128" s="6"/>
      <c r="B128" s="6">
        <v>120</v>
      </c>
      <c r="C128" s="6" t="s">
        <v>2501</v>
      </c>
      <c r="D128" s="6" t="s">
        <v>66</v>
      </c>
      <c r="E128" s="6">
        <v>18</v>
      </c>
      <c r="F128" s="7" t="s">
        <v>67</v>
      </c>
      <c r="G128" s="6"/>
      <c r="H128" s="8"/>
      <c r="I128" s="6"/>
      <c r="J128" s="6"/>
      <c r="K128" s="25" t="s">
        <v>2502</v>
      </c>
      <c r="L128" t="str">
        <f t="shared" si="2"/>
        <v>VARCHAR(18),</v>
      </c>
      <c r="N128" s="38" t="str">
        <f t="shared" si="3"/>
        <v>COMMENT ON COLUMN bfs_entry_information.discount_rate_3 IS '割引率3';</v>
      </c>
      <c r="R128" s="34" t="s">
        <v>2503</v>
      </c>
    </row>
    <row r="129" spans="1:18" ht="19.5" thickBot="1">
      <c r="A129" s="3"/>
      <c r="B129" s="3">
        <v>121</v>
      </c>
      <c r="C129" s="3" t="s">
        <v>2504</v>
      </c>
      <c r="D129" s="3" t="s">
        <v>66</v>
      </c>
      <c r="E129" s="3">
        <v>24</v>
      </c>
      <c r="F129" s="2" t="s">
        <v>67</v>
      </c>
      <c r="G129" s="3"/>
      <c r="H129" s="5"/>
      <c r="I129" s="3"/>
      <c r="J129" s="3"/>
      <c r="K129" s="25" t="s">
        <v>2505</v>
      </c>
      <c r="L129" t="str">
        <f t="shared" si="2"/>
        <v>VARCHAR(24),</v>
      </c>
      <c r="N129" s="38" t="str">
        <f t="shared" si="3"/>
        <v>COMMENT ON COLUMN bfs_entry_information.discount_amount_3 IS '割引額3';</v>
      </c>
      <c r="R129" s="34" t="s">
        <v>2506</v>
      </c>
    </row>
    <row r="130" spans="1:18" ht="19.5" thickBot="1">
      <c r="A130" s="6"/>
      <c r="B130" s="6">
        <v>122</v>
      </c>
      <c r="C130" s="6" t="s">
        <v>2507</v>
      </c>
      <c r="D130" s="6" t="s">
        <v>66</v>
      </c>
      <c r="E130" s="6">
        <v>300</v>
      </c>
      <c r="F130" s="7" t="s">
        <v>67</v>
      </c>
      <c r="G130" s="6"/>
      <c r="H130" s="8"/>
      <c r="I130" s="6"/>
      <c r="J130" s="6"/>
      <c r="K130" s="25" t="s">
        <v>2508</v>
      </c>
      <c r="L130" t="str">
        <f t="shared" si="2"/>
        <v>VARCHAR(300),</v>
      </c>
      <c r="N130" s="38" t="str">
        <f t="shared" si="3"/>
        <v>COMMENT ON COLUMN bfs_entry_information.number_of_discount_months_3 IS '割引月数3';</v>
      </c>
      <c r="R130" s="34" t="s">
        <v>2509</v>
      </c>
    </row>
    <row r="131" spans="1:18" ht="19.5" thickBot="1">
      <c r="A131" s="3"/>
      <c r="B131" s="3">
        <v>123</v>
      </c>
      <c r="C131" s="3" t="s">
        <v>2510</v>
      </c>
      <c r="D131" s="3" t="s">
        <v>66</v>
      </c>
      <c r="E131" s="3">
        <v>3</v>
      </c>
      <c r="F131" s="2" t="s">
        <v>67</v>
      </c>
      <c r="G131" s="3"/>
      <c r="H131" s="5"/>
      <c r="I131" s="3"/>
      <c r="J131" s="3"/>
      <c r="K131" s="25" t="s">
        <v>2511</v>
      </c>
      <c r="L131" t="str">
        <f t="shared" si="2"/>
        <v>VARCHAR(3),</v>
      </c>
      <c r="N131" s="38" t="str">
        <f t="shared" si="3"/>
        <v>COMMENT ON COLUMN bfs_entry_information.fee_type_3 IS '手数料種別3';</v>
      </c>
      <c r="R131" s="34" t="s">
        <v>2512</v>
      </c>
    </row>
    <row r="132" spans="1:18" ht="19.5" thickBot="1">
      <c r="A132" s="6"/>
      <c r="B132" s="6">
        <v>124</v>
      </c>
      <c r="C132" s="6" t="s">
        <v>2513</v>
      </c>
      <c r="D132" s="6" t="s">
        <v>66</v>
      </c>
      <c r="E132" s="6">
        <v>300</v>
      </c>
      <c r="F132" s="7" t="s">
        <v>67</v>
      </c>
      <c r="G132" s="6"/>
      <c r="H132" s="8"/>
      <c r="I132" s="6"/>
      <c r="J132" s="6"/>
      <c r="K132" s="25" t="s">
        <v>2514</v>
      </c>
      <c r="L132" t="str">
        <f t="shared" si="2"/>
        <v>VARCHAR(300),</v>
      </c>
      <c r="N132" s="38" t="str">
        <f t="shared" si="3"/>
        <v>COMMENT ON COLUMN bfs_entry_information.share IS 'シェア';</v>
      </c>
      <c r="R132" s="34" t="s">
        <v>2515</v>
      </c>
    </row>
    <row r="133" spans="1:18" ht="19.5" thickBot="1">
      <c r="A133" s="3"/>
      <c r="B133" s="3">
        <v>125</v>
      </c>
      <c r="C133" s="3" t="s">
        <v>2516</v>
      </c>
      <c r="D133" s="3" t="s">
        <v>66</v>
      </c>
      <c r="E133" s="3">
        <v>18</v>
      </c>
      <c r="F133" s="2" t="s">
        <v>67</v>
      </c>
      <c r="G133" s="3"/>
      <c r="H133" s="5"/>
      <c r="I133" s="3"/>
      <c r="J133" s="3"/>
      <c r="K133" s="25" t="s">
        <v>2517</v>
      </c>
      <c r="L133" t="str">
        <f t="shared" si="2"/>
        <v>VARCHAR(18),</v>
      </c>
      <c r="N133" s="38" t="str">
        <f t="shared" si="3"/>
        <v>COMMENT ON COLUMN bfs_entry_information.discount_rate_4 IS '割引率4';</v>
      </c>
      <c r="R133" s="34" t="s">
        <v>2518</v>
      </c>
    </row>
    <row r="134" spans="1:18" ht="19.5" thickBot="1">
      <c r="A134" s="6"/>
      <c r="B134" s="6">
        <v>126</v>
      </c>
      <c r="C134" s="6" t="s">
        <v>2519</v>
      </c>
      <c r="D134" s="6" t="s">
        <v>66</v>
      </c>
      <c r="E134" s="6">
        <v>24</v>
      </c>
      <c r="F134" s="7" t="s">
        <v>67</v>
      </c>
      <c r="G134" s="6"/>
      <c r="H134" s="8"/>
      <c r="I134" s="6"/>
      <c r="J134" s="6"/>
      <c r="K134" s="25" t="s">
        <v>2520</v>
      </c>
      <c r="L134" t="str">
        <f t="shared" si="2"/>
        <v>VARCHAR(24),</v>
      </c>
      <c r="N134" s="38" t="str">
        <f t="shared" si="3"/>
        <v>COMMENT ON COLUMN bfs_entry_information.discount_amount_4 IS '割引額4';</v>
      </c>
      <c r="R134" s="34" t="s">
        <v>2521</v>
      </c>
    </row>
    <row r="135" spans="1:18" ht="19.5" thickBot="1">
      <c r="A135" s="3"/>
      <c r="B135" s="3">
        <v>127</v>
      </c>
      <c r="C135" s="3" t="s">
        <v>2522</v>
      </c>
      <c r="D135" s="3" t="s">
        <v>66</v>
      </c>
      <c r="E135" s="3">
        <v>300</v>
      </c>
      <c r="F135" s="2" t="s">
        <v>67</v>
      </c>
      <c r="G135" s="3"/>
      <c r="H135" s="5"/>
      <c r="I135" s="3"/>
      <c r="J135" s="3"/>
      <c r="K135" s="25" t="s">
        <v>2523</v>
      </c>
      <c r="L135" t="str">
        <f t="shared" si="2"/>
        <v>VARCHAR(300),</v>
      </c>
      <c r="N135" s="38" t="str">
        <f t="shared" si="3"/>
        <v>COMMENT ON COLUMN bfs_entry_information.number_of_discount_months_4 IS '割引月数4';</v>
      </c>
      <c r="R135" s="34" t="s">
        <v>2524</v>
      </c>
    </row>
    <row r="136" spans="1:18" ht="19.5" thickBot="1">
      <c r="A136" s="6"/>
      <c r="B136" s="6">
        <v>128</v>
      </c>
      <c r="C136" s="6" t="s">
        <v>2525</v>
      </c>
      <c r="D136" s="6" t="s">
        <v>66</v>
      </c>
      <c r="E136" s="6">
        <v>3</v>
      </c>
      <c r="F136" s="7" t="s">
        <v>67</v>
      </c>
      <c r="G136" s="6"/>
      <c r="H136" s="8"/>
      <c r="I136" s="6"/>
      <c r="J136" s="6"/>
      <c r="K136" s="25" t="s">
        <v>2526</v>
      </c>
      <c r="L136" t="str">
        <f t="shared" si="2"/>
        <v>VARCHAR(3),</v>
      </c>
      <c r="N136" s="38" t="str">
        <f t="shared" si="3"/>
        <v>COMMENT ON COLUMN bfs_entry_information.fee_type_4 IS '手数料種別4';</v>
      </c>
      <c r="R136" s="34" t="s">
        <v>2527</v>
      </c>
    </row>
    <row r="137" spans="1:18" ht="19.5" thickBot="1">
      <c r="A137" s="3"/>
      <c r="B137" s="3">
        <v>129</v>
      </c>
      <c r="C137" s="3" t="s">
        <v>2528</v>
      </c>
      <c r="D137" s="3" t="s">
        <v>66</v>
      </c>
      <c r="E137" s="3">
        <v>1536</v>
      </c>
      <c r="F137" s="2" t="s">
        <v>67</v>
      </c>
      <c r="G137" s="3"/>
      <c r="H137" s="5"/>
      <c r="I137" s="3"/>
      <c r="J137" s="3"/>
      <c r="K137" s="31" t="s">
        <v>2529</v>
      </c>
      <c r="L137" t="str">
        <f t="shared" si="2"/>
        <v>VARCHAR(1536),</v>
      </c>
      <c r="N137" s="38" t="str">
        <f t="shared" si="3"/>
        <v>COMMENT ON COLUMN bfs_entry_information.billing_address_shipping_address_category IS '請求先送付先区分';</v>
      </c>
      <c r="R137" s="34" t="s">
        <v>2530</v>
      </c>
    </row>
    <row r="138" spans="1:18" ht="19.5" thickBot="1">
      <c r="A138" s="6"/>
      <c r="B138" s="6">
        <v>130</v>
      </c>
      <c r="C138" s="6" t="s">
        <v>2531</v>
      </c>
      <c r="D138" s="6" t="s">
        <v>66</v>
      </c>
      <c r="E138" s="6">
        <v>2295</v>
      </c>
      <c r="F138" s="7" t="s">
        <v>67</v>
      </c>
      <c r="G138" s="6"/>
      <c r="H138" s="8"/>
      <c r="I138" s="6"/>
      <c r="J138" s="6"/>
      <c r="K138" s="25" t="s">
        <v>2532</v>
      </c>
      <c r="L138" t="str">
        <f t="shared" ref="L138:L201" si="4">D138&amp;"("&amp;E138&amp;"),"</f>
        <v>VARCHAR(2295),</v>
      </c>
      <c r="N138" s="38" t="str">
        <f t="shared" ref="N138:N201" si="5">"COMMENT ON COLUMN "&amp;$K$3&amp;"."&amp;$K138&amp;" IS '"&amp;C138&amp;"';"</f>
        <v>COMMENT ON COLUMN bfs_entry_information.shipping_address IS '送付先宛名';</v>
      </c>
      <c r="R138" s="34" t="s">
        <v>2533</v>
      </c>
    </row>
    <row r="139" spans="1:18" ht="19.5" thickBot="1">
      <c r="A139" s="3"/>
      <c r="B139" s="3">
        <v>131</v>
      </c>
      <c r="C139" s="3" t="s">
        <v>2534</v>
      </c>
      <c r="D139" s="3" t="s">
        <v>66</v>
      </c>
      <c r="E139" s="3">
        <v>2304</v>
      </c>
      <c r="F139" s="2" t="s">
        <v>67</v>
      </c>
      <c r="G139" s="3"/>
      <c r="H139" s="5"/>
      <c r="I139" s="3"/>
      <c r="J139" s="3"/>
      <c r="K139" s="25" t="s">
        <v>2535</v>
      </c>
      <c r="L139" t="str">
        <f t="shared" si="4"/>
        <v>VARCHAR(2304),</v>
      </c>
      <c r="N139" s="38" t="str">
        <f t="shared" si="5"/>
        <v>COMMENT ON COLUMN bfs_entry_information.invoice_customization IS '請求書カスタマイズ';</v>
      </c>
      <c r="R139" s="34" t="s">
        <v>2536</v>
      </c>
    </row>
    <row r="140" spans="1:18" ht="19.5" thickBot="1">
      <c r="A140" s="6"/>
      <c r="B140" s="6">
        <v>132</v>
      </c>
      <c r="C140" s="6" t="s">
        <v>2537</v>
      </c>
      <c r="D140" s="6" t="s">
        <v>66</v>
      </c>
      <c r="E140" s="6">
        <v>1536</v>
      </c>
      <c r="F140" s="7" t="s">
        <v>67</v>
      </c>
      <c r="G140" s="6"/>
      <c r="H140" s="8"/>
      <c r="I140" s="6"/>
      <c r="J140" s="6"/>
      <c r="K140" s="31" t="s">
        <v>2538</v>
      </c>
      <c r="L140" t="str">
        <f t="shared" si="4"/>
        <v>VARCHAR(1536),</v>
      </c>
      <c r="N140" s="38" t="str">
        <f t="shared" si="5"/>
        <v>COMMENT ON COLUMN bfs_entry_information.billing_address_category IS '請求書送付区分';</v>
      </c>
      <c r="R140" s="34" t="s">
        <v>2539</v>
      </c>
    </row>
    <row r="141" spans="1:18" ht="19.5" thickBot="1">
      <c r="A141" s="3"/>
      <c r="B141" s="3">
        <v>133</v>
      </c>
      <c r="C141" s="3" t="s">
        <v>2540</v>
      </c>
      <c r="D141" s="3" t="s">
        <v>66</v>
      </c>
      <c r="E141" s="3">
        <v>2295</v>
      </c>
      <c r="F141" s="2" t="s">
        <v>67</v>
      </c>
      <c r="G141" s="3"/>
      <c r="H141" s="5"/>
      <c r="I141" s="3"/>
      <c r="J141" s="3"/>
      <c r="K141" s="25" t="s">
        <v>2541</v>
      </c>
      <c r="L141" t="str">
        <f t="shared" si="4"/>
        <v>VARCHAR(2295),</v>
      </c>
      <c r="N141" s="38" t="str">
        <f t="shared" si="5"/>
        <v>COMMENT ON COLUMN bfs_entry_information.shipping_address_1 IS '送付先宛名1';</v>
      </c>
      <c r="R141" s="34" t="s">
        <v>2542</v>
      </c>
    </row>
    <row r="142" spans="1:18" ht="19.5" thickBot="1">
      <c r="A142" s="6"/>
      <c r="B142" s="6">
        <v>134</v>
      </c>
      <c r="C142" s="6" t="s">
        <v>2543</v>
      </c>
      <c r="D142" s="6" t="s">
        <v>66</v>
      </c>
      <c r="E142" s="6">
        <v>2304</v>
      </c>
      <c r="F142" s="7" t="s">
        <v>67</v>
      </c>
      <c r="G142" s="6"/>
      <c r="H142" s="8"/>
      <c r="I142" s="6"/>
      <c r="J142" s="6"/>
      <c r="K142" s="25" t="s">
        <v>2544</v>
      </c>
      <c r="L142" t="str">
        <f t="shared" si="4"/>
        <v>VARCHAR(2304),</v>
      </c>
      <c r="N142" s="38" t="str">
        <f t="shared" si="5"/>
        <v>COMMENT ON COLUMN bfs_entry_information.invoice_customization_1 IS '請求書カスタマイズ1';</v>
      </c>
      <c r="R142" s="34" t="s">
        <v>2545</v>
      </c>
    </row>
    <row r="143" spans="1:18" ht="19.5" thickBot="1">
      <c r="A143" s="3"/>
      <c r="B143" s="3">
        <v>135</v>
      </c>
      <c r="C143" s="3" t="s">
        <v>2546</v>
      </c>
      <c r="D143" s="3" t="s">
        <v>66</v>
      </c>
      <c r="E143" s="3">
        <v>60</v>
      </c>
      <c r="F143" s="2" t="s">
        <v>67</v>
      </c>
      <c r="G143" s="3"/>
      <c r="H143" s="5"/>
      <c r="I143" s="3"/>
      <c r="J143" s="3"/>
      <c r="K143" s="25" t="s">
        <v>2547</v>
      </c>
      <c r="L143" t="str">
        <f t="shared" si="4"/>
        <v>VARCHAR(60),</v>
      </c>
      <c r="N143" s="38" t="str">
        <f t="shared" si="5"/>
        <v>COMMENT ON COLUMN bfs_entry_information.special_agreement_start_date IS '特約開始年月日';</v>
      </c>
      <c r="R143" s="34" t="s">
        <v>2548</v>
      </c>
    </row>
    <row r="144" spans="1:18" ht="19.5" thickBot="1">
      <c r="A144" s="6"/>
      <c r="B144" s="6">
        <v>136</v>
      </c>
      <c r="C144" s="6" t="s">
        <v>2549</v>
      </c>
      <c r="D144" s="6" t="s">
        <v>66</v>
      </c>
      <c r="E144" s="6">
        <v>900</v>
      </c>
      <c r="F144" s="7" t="s">
        <v>67</v>
      </c>
      <c r="G144" s="6"/>
      <c r="H144" s="8"/>
      <c r="I144" s="6"/>
      <c r="J144" s="6"/>
      <c r="K144" s="25" t="s">
        <v>2550</v>
      </c>
      <c r="L144" t="str">
        <f t="shared" si="4"/>
        <v>VARCHAR(900),</v>
      </c>
      <c r="N144" s="38" t="str">
        <f t="shared" si="5"/>
        <v>COMMENT ON COLUMN bfs_entry_information.special_agreement_period IS '特約期間';</v>
      </c>
      <c r="R144" s="34" t="s">
        <v>2551</v>
      </c>
    </row>
    <row r="145" spans="1:18" ht="19.5" thickBot="1">
      <c r="A145" s="3"/>
      <c r="B145" s="3">
        <v>137</v>
      </c>
      <c r="C145" s="3" t="s">
        <v>2552</v>
      </c>
      <c r="D145" s="3" t="s">
        <v>66</v>
      </c>
      <c r="E145" s="3">
        <v>6</v>
      </c>
      <c r="F145" s="2" t="s">
        <v>67</v>
      </c>
      <c r="G145" s="3"/>
      <c r="H145" s="5"/>
      <c r="I145" s="3"/>
      <c r="J145" s="3"/>
      <c r="K145" s="25" t="s">
        <v>2553</v>
      </c>
      <c r="L145" t="str">
        <f t="shared" si="4"/>
        <v>VARCHAR(6),</v>
      </c>
      <c r="N145" s="38" t="str">
        <f t="shared" si="5"/>
        <v>COMMENT ON COLUMN bfs_entry_information.contract_period_in_months IS '契約期間月数';</v>
      </c>
      <c r="R145" s="34" t="s">
        <v>2554</v>
      </c>
    </row>
    <row r="146" spans="1:18" ht="19.5" thickBot="1">
      <c r="A146" s="6"/>
      <c r="B146" s="6">
        <v>138</v>
      </c>
      <c r="C146" s="6" t="s">
        <v>2555</v>
      </c>
      <c r="D146" s="6" t="s">
        <v>66</v>
      </c>
      <c r="E146" s="6">
        <v>900</v>
      </c>
      <c r="F146" s="7" t="s">
        <v>67</v>
      </c>
      <c r="G146" s="6"/>
      <c r="H146" s="8"/>
      <c r="I146" s="6"/>
      <c r="J146" s="6"/>
      <c r="K146" s="25" t="s">
        <v>2556</v>
      </c>
      <c r="L146" t="str">
        <f t="shared" si="4"/>
        <v>VARCHAR(900),</v>
      </c>
      <c r="N146" s="38" t="str">
        <f t="shared" si="5"/>
        <v>COMMENT ON COLUMN bfs_entry_information.period_after_automatic_renewal IS '自動更新後の期間';</v>
      </c>
      <c r="R146" s="34" t="s">
        <v>2557</v>
      </c>
    </row>
    <row r="147" spans="1:18" ht="19.5" thickBot="1">
      <c r="A147" s="3"/>
      <c r="B147" s="3">
        <v>139</v>
      </c>
      <c r="C147" s="3" t="s">
        <v>2558</v>
      </c>
      <c r="D147" s="3" t="s">
        <v>66</v>
      </c>
      <c r="E147" s="3">
        <v>900</v>
      </c>
      <c r="F147" s="2" t="s">
        <v>67</v>
      </c>
      <c r="G147" s="3"/>
      <c r="H147" s="5"/>
      <c r="I147" s="3"/>
      <c r="J147" s="3"/>
      <c r="K147" s="25" t="s">
        <v>2559</v>
      </c>
      <c r="L147" t="str">
        <f t="shared" si="4"/>
        <v>VARCHAR(900),</v>
      </c>
      <c r="N147" s="38" t="str">
        <f t="shared" si="5"/>
        <v>COMMENT ON COLUMN bfs_entry_information.initial_rental_period IS '初期レンタル期間';</v>
      </c>
      <c r="R147" s="34" t="s">
        <v>2560</v>
      </c>
    </row>
    <row r="148" spans="1:18" ht="19.5" thickBot="1">
      <c r="A148" s="6"/>
      <c r="B148" s="6">
        <v>140</v>
      </c>
      <c r="C148" s="6" t="s">
        <v>2561</v>
      </c>
      <c r="D148" s="6" t="s">
        <v>66</v>
      </c>
      <c r="E148" s="6">
        <v>60</v>
      </c>
      <c r="F148" s="7" t="s">
        <v>67</v>
      </c>
      <c r="G148" s="6"/>
      <c r="H148" s="8"/>
      <c r="I148" s="6"/>
      <c r="J148" s="6"/>
      <c r="K148" s="25" t="s">
        <v>2562</v>
      </c>
      <c r="L148" t="str">
        <f t="shared" si="4"/>
        <v>VARCHAR(60),</v>
      </c>
      <c r="N148" s="38" t="str">
        <f t="shared" si="5"/>
        <v>COMMENT ON COLUMN bfs_entry_information.used_rental_start_date IS '中古レンタル開始日';</v>
      </c>
      <c r="R148" s="34" t="s">
        <v>2563</v>
      </c>
    </row>
    <row r="149" spans="1:18" ht="19.5" thickBot="1">
      <c r="A149" s="3"/>
      <c r="B149" s="3">
        <v>141</v>
      </c>
      <c r="C149" s="3" t="s">
        <v>2564</v>
      </c>
      <c r="D149" s="3" t="s">
        <v>66</v>
      </c>
      <c r="E149" s="3">
        <v>60</v>
      </c>
      <c r="F149" s="2" t="s">
        <v>67</v>
      </c>
      <c r="G149" s="3"/>
      <c r="H149" s="5"/>
      <c r="I149" s="3"/>
      <c r="J149" s="3"/>
      <c r="K149" s="25" t="s">
        <v>2565</v>
      </c>
      <c r="L149" t="str">
        <f t="shared" si="4"/>
        <v>VARCHAR(60),</v>
      </c>
      <c r="N149" s="38" t="str">
        <f t="shared" si="5"/>
        <v>COMMENT ON COLUMN bfs_entry_information.used_rental_end_date IS '中古レンタル終了日';</v>
      </c>
      <c r="R149" s="34" t="s">
        <v>2566</v>
      </c>
    </row>
    <row r="150" spans="1:18" ht="19.5" thickBot="1">
      <c r="A150" s="6"/>
      <c r="B150" s="6">
        <v>142</v>
      </c>
      <c r="C150" s="6" t="s">
        <v>2567</v>
      </c>
      <c r="D150" s="6" t="s">
        <v>89</v>
      </c>
      <c r="E150" s="6">
        <v>10</v>
      </c>
      <c r="F150" s="7" t="s">
        <v>67</v>
      </c>
      <c r="G150" s="6"/>
      <c r="H150" s="8"/>
      <c r="I150" s="6"/>
      <c r="J150" s="6"/>
      <c r="K150" s="25" t="s">
        <v>2568</v>
      </c>
      <c r="L150" t="str">
        <f t="shared" si="4"/>
        <v>DECIMAL(10),</v>
      </c>
      <c r="N150" s="38" t="str">
        <f t="shared" si="5"/>
        <v>COMMENT ON COLUMN bfs_entry_information.maximum_number_of_lines_applicable_to_the_special_agreement IS '特約適用上限回線数';</v>
      </c>
      <c r="R150" s="34" t="s">
        <v>2569</v>
      </c>
    </row>
    <row r="151" spans="1:18" ht="19.5" thickBot="1">
      <c r="A151" s="3"/>
      <c r="B151" s="3">
        <v>143</v>
      </c>
      <c r="C151" s="3" t="s">
        <v>166</v>
      </c>
      <c r="D151" s="3" t="s">
        <v>89</v>
      </c>
      <c r="E151" s="3">
        <v>10</v>
      </c>
      <c r="F151" s="2" t="s">
        <v>67</v>
      </c>
      <c r="G151" s="3"/>
      <c r="H151" s="5"/>
      <c r="I151" s="3"/>
      <c r="J151" s="3"/>
      <c r="K151" s="25" t="s">
        <v>167</v>
      </c>
      <c r="L151" t="str">
        <f t="shared" si="4"/>
        <v>DECIMAL(10),</v>
      </c>
      <c r="N151" s="38" t="str">
        <f t="shared" si="5"/>
        <v>COMMENT ON COLUMN bfs_entry_information.number_of_lines IS '回線数';</v>
      </c>
      <c r="R151" s="34" t="s">
        <v>168</v>
      </c>
    </row>
    <row r="152" spans="1:18" ht="19.5" thickBot="1">
      <c r="A152" s="6"/>
      <c r="B152" s="6">
        <v>144</v>
      </c>
      <c r="C152" s="6" t="s">
        <v>2570</v>
      </c>
      <c r="D152" s="6" t="s">
        <v>66</v>
      </c>
      <c r="E152" s="6">
        <v>900</v>
      </c>
      <c r="F152" s="7" t="s">
        <v>67</v>
      </c>
      <c r="G152" s="6"/>
      <c r="H152" s="8"/>
      <c r="I152" s="6"/>
      <c r="J152" s="6"/>
      <c r="K152" s="25" t="s">
        <v>2571</v>
      </c>
      <c r="L152" t="str">
        <f t="shared" si="4"/>
        <v>VARCHAR(900),</v>
      </c>
      <c r="N152" s="38" t="str">
        <f t="shared" si="5"/>
        <v>COMMENT ON COLUMN bfs_entry_information.warehouse_type IS '倉庫種別';</v>
      </c>
      <c r="R152" s="34" t="s">
        <v>2572</v>
      </c>
    </row>
    <row r="153" spans="1:18" ht="19.5" thickBot="1">
      <c r="A153" s="3"/>
      <c r="B153" s="3">
        <v>145</v>
      </c>
      <c r="C153" s="3" t="s">
        <v>2573</v>
      </c>
      <c r="D153" s="3" t="s">
        <v>66</v>
      </c>
      <c r="E153" s="3">
        <v>900</v>
      </c>
      <c r="F153" s="2" t="s">
        <v>67</v>
      </c>
      <c r="G153" s="3"/>
      <c r="H153" s="5"/>
      <c r="I153" s="3"/>
      <c r="J153" s="3"/>
      <c r="K153" s="25" t="s">
        <v>2574</v>
      </c>
      <c r="L153" t="str">
        <f t="shared" si="4"/>
        <v>VARCHAR(900),</v>
      </c>
      <c r="N153" s="38" t="str">
        <f t="shared" si="5"/>
        <v>COMMENT ON COLUMN bfs_entry_information.request_for_incomplete_report_creation IS '非完結帳票作成依頼';</v>
      </c>
      <c r="R153" s="34" t="s">
        <v>2575</v>
      </c>
    </row>
    <row r="154" spans="1:18" ht="19.5" thickBot="1">
      <c r="A154" s="6"/>
      <c r="B154" s="6">
        <v>146</v>
      </c>
      <c r="C154" s="6" t="s">
        <v>2576</v>
      </c>
      <c r="D154" s="6" t="s">
        <v>66</v>
      </c>
      <c r="E154" s="6">
        <v>3</v>
      </c>
      <c r="F154" s="7" t="s">
        <v>67</v>
      </c>
      <c r="G154" s="6"/>
      <c r="H154" s="8"/>
      <c r="I154" s="6"/>
      <c r="J154" s="6"/>
      <c r="K154" s="25" t="s">
        <v>2577</v>
      </c>
      <c r="L154" t="str">
        <f t="shared" si="4"/>
        <v>VARCHAR(3),</v>
      </c>
      <c r="N154" s="38" t="str">
        <f t="shared" si="5"/>
        <v>COMMENT ON COLUMN bfs_entry_information.gisun_registration_not_possible IS 'gisun登録不可';</v>
      </c>
      <c r="R154" s="34" t="s">
        <v>2578</v>
      </c>
    </row>
    <row r="155" spans="1:18" ht="19.5" thickBot="1">
      <c r="A155" s="3"/>
      <c r="B155" s="3">
        <v>147</v>
      </c>
      <c r="C155" s="3" t="s">
        <v>2579</v>
      </c>
      <c r="D155" s="3" t="s">
        <v>66</v>
      </c>
      <c r="E155" s="3">
        <v>900</v>
      </c>
      <c r="F155" s="2" t="s">
        <v>67</v>
      </c>
      <c r="G155" s="3"/>
      <c r="H155" s="5"/>
      <c r="I155" s="3"/>
      <c r="J155" s="3"/>
      <c r="K155" s="25" t="s">
        <v>2580</v>
      </c>
      <c r="L155" t="str">
        <f t="shared" si="4"/>
        <v>VARCHAR(900),</v>
      </c>
      <c r="N155" s="38" t="str">
        <f t="shared" si="5"/>
        <v>COMMENT ON COLUMN bfs_entry_information.replacement_type IS '交換種別';</v>
      </c>
      <c r="R155" s="34" t="s">
        <v>2581</v>
      </c>
    </row>
    <row r="156" spans="1:18" ht="19.5" thickBot="1">
      <c r="A156" s="6"/>
      <c r="B156" s="6">
        <v>148</v>
      </c>
      <c r="C156" s="6" t="s">
        <v>2582</v>
      </c>
      <c r="D156" s="6" t="s">
        <v>66</v>
      </c>
      <c r="E156" s="6">
        <v>900</v>
      </c>
      <c r="F156" s="7" t="s">
        <v>67</v>
      </c>
      <c r="G156" s="6"/>
      <c r="H156" s="8"/>
      <c r="I156" s="6"/>
      <c r="J156" s="6"/>
      <c r="K156" s="25" t="s">
        <v>2583</v>
      </c>
      <c r="L156" t="str">
        <f t="shared" si="4"/>
        <v>VARCHAR(900),</v>
      </c>
      <c r="N156" s="38" t="str">
        <f t="shared" si="5"/>
        <v>COMMENT ON COLUMN bfs_entry_information.inventory_type IS '在庫種別';</v>
      </c>
      <c r="R156" s="34" t="s">
        <v>2584</v>
      </c>
    </row>
    <row r="157" spans="1:18" ht="19.5" thickBot="1">
      <c r="A157" s="3"/>
      <c r="B157" s="3">
        <v>149</v>
      </c>
      <c r="C157" s="3" t="s">
        <v>2585</v>
      </c>
      <c r="D157" s="3" t="s">
        <v>66</v>
      </c>
      <c r="E157" s="3">
        <v>900</v>
      </c>
      <c r="F157" s="2" t="s">
        <v>67</v>
      </c>
      <c r="G157" s="3"/>
      <c r="H157" s="5"/>
      <c r="I157" s="3"/>
      <c r="J157" s="3"/>
      <c r="K157" s="25" t="s">
        <v>2586</v>
      </c>
      <c r="L157" t="str">
        <f t="shared" si="4"/>
        <v>VARCHAR(900),</v>
      </c>
      <c r="N157" s="38" t="str">
        <f t="shared" si="5"/>
        <v>COMMENT ON COLUMN bfs_entry_information.sales_office IS '営業所';</v>
      </c>
      <c r="R157" s="34" t="s">
        <v>2587</v>
      </c>
    </row>
    <row r="158" spans="1:18" ht="19.5" thickBot="1">
      <c r="A158" s="6"/>
      <c r="B158" s="6">
        <v>150</v>
      </c>
      <c r="C158" s="6" t="s">
        <v>2588</v>
      </c>
      <c r="D158" s="6" t="s">
        <v>66</v>
      </c>
      <c r="E158" s="6">
        <v>900</v>
      </c>
      <c r="F158" s="7" t="s">
        <v>67</v>
      </c>
      <c r="G158" s="6"/>
      <c r="H158" s="8"/>
      <c r="I158" s="6"/>
      <c r="J158" s="6"/>
      <c r="K158" s="25" t="s">
        <v>2589</v>
      </c>
      <c r="L158" t="str">
        <f t="shared" si="4"/>
        <v>VARCHAR(900),</v>
      </c>
      <c r="N158" s="38" t="str">
        <f t="shared" si="5"/>
        <v>COMMENT ON COLUMN bfs_entry_information.declaration_details IS '申告内容';</v>
      </c>
      <c r="R158" s="34" t="s">
        <v>2590</v>
      </c>
    </row>
    <row r="159" spans="1:18" ht="19.5" thickBot="1">
      <c r="A159" s="3"/>
      <c r="B159" s="3">
        <v>151</v>
      </c>
      <c r="C159" s="3" t="s">
        <v>2591</v>
      </c>
      <c r="D159" s="3" t="s">
        <v>66</v>
      </c>
      <c r="E159" s="3">
        <v>450</v>
      </c>
      <c r="F159" s="2" t="s">
        <v>67</v>
      </c>
      <c r="G159" s="3"/>
      <c r="H159" s="5"/>
      <c r="I159" s="3"/>
      <c r="J159" s="3"/>
      <c r="K159" s="25" t="s">
        <v>2592</v>
      </c>
      <c r="L159" t="str">
        <f t="shared" si="4"/>
        <v>VARCHAR(450),</v>
      </c>
      <c r="N159" s="38" t="str">
        <f t="shared" si="5"/>
        <v>COMMENT ON COLUMN bfs_entry_information.usim_type IS 'usim種別';</v>
      </c>
      <c r="R159" s="34" t="s">
        <v>2593</v>
      </c>
    </row>
    <row r="160" spans="1:18" ht="19.5" thickBot="1">
      <c r="A160" s="6"/>
      <c r="B160" s="6">
        <v>152</v>
      </c>
      <c r="C160" s="6" t="s">
        <v>2594</v>
      </c>
      <c r="D160" s="6" t="s">
        <v>66</v>
      </c>
      <c r="E160" s="6">
        <v>900</v>
      </c>
      <c r="F160" s="7" t="s">
        <v>67</v>
      </c>
      <c r="G160" s="6"/>
      <c r="H160" s="8"/>
      <c r="I160" s="6"/>
      <c r="J160" s="6"/>
      <c r="K160" s="25" t="s">
        <v>2595</v>
      </c>
      <c r="L160" t="str">
        <f t="shared" si="4"/>
        <v>VARCHAR(900),</v>
      </c>
      <c r="N160" s="38" t="str">
        <f t="shared" si="5"/>
        <v>COMMENT ON COLUMN bfs_entry_information.other_usim_types IS 'usim種別その他';</v>
      </c>
      <c r="R160" s="34" t="s">
        <v>2596</v>
      </c>
    </row>
    <row r="161" spans="1:18" ht="19.5" thickBot="1">
      <c r="A161" s="3"/>
      <c r="B161" s="3">
        <v>153</v>
      </c>
      <c r="C161" s="3" t="s">
        <v>2597</v>
      </c>
      <c r="D161" s="3" t="s">
        <v>89</v>
      </c>
      <c r="E161" s="3">
        <v>10</v>
      </c>
      <c r="F161" s="2" t="s">
        <v>67</v>
      </c>
      <c r="G161" s="3"/>
      <c r="H161" s="5"/>
      <c r="I161" s="3"/>
      <c r="J161" s="3"/>
      <c r="K161" s="25" t="s">
        <v>2598</v>
      </c>
      <c r="L161" t="str">
        <f t="shared" si="4"/>
        <v>DECIMAL(10),</v>
      </c>
      <c r="N161" s="38" t="str">
        <f t="shared" si="5"/>
        <v>COMMENT ON COLUMN bfs_entry_information.quantity IS '台数';</v>
      </c>
      <c r="R161" s="34" t="s">
        <v>2599</v>
      </c>
    </row>
    <row r="162" spans="1:18" ht="19.5" thickBot="1">
      <c r="A162" s="6"/>
      <c r="B162" s="6">
        <v>154</v>
      </c>
      <c r="C162" s="6" t="s">
        <v>2600</v>
      </c>
      <c r="D162" s="6" t="s">
        <v>66</v>
      </c>
      <c r="E162" s="6">
        <v>900</v>
      </c>
      <c r="F162" s="7" t="s">
        <v>67</v>
      </c>
      <c r="G162" s="6"/>
      <c r="H162" s="8"/>
      <c r="I162" s="6"/>
      <c r="J162" s="6"/>
      <c r="K162" s="25" t="s">
        <v>2601</v>
      </c>
      <c r="L162" t="str">
        <f t="shared" si="4"/>
        <v>VARCHAR(900),</v>
      </c>
      <c r="N162" s="38" t="str">
        <f t="shared" si="5"/>
        <v>COMMENT ON COLUMN bfs_entry_information.wo_specific_usim IS 'wo専用usim';</v>
      </c>
      <c r="R162" s="34" t="s">
        <v>2602</v>
      </c>
    </row>
    <row r="163" spans="1:18" ht="19.5" thickBot="1">
      <c r="A163" s="3"/>
      <c r="B163" s="3">
        <v>155</v>
      </c>
      <c r="C163" s="3" t="s">
        <v>2603</v>
      </c>
      <c r="D163" s="3" t="s">
        <v>66</v>
      </c>
      <c r="E163" s="3">
        <v>90</v>
      </c>
      <c r="F163" s="2" t="s">
        <v>67</v>
      </c>
      <c r="G163" s="3"/>
      <c r="H163" s="5"/>
      <c r="I163" s="3"/>
      <c r="J163" s="3"/>
      <c r="K163" s="25" t="s">
        <v>2604</v>
      </c>
      <c r="L163" t="str">
        <f t="shared" si="4"/>
        <v>VARCHAR(90),</v>
      </c>
      <c r="N163" s="38" t="str">
        <f t="shared" si="5"/>
        <v>COMMENT ON COLUMN bfs_entry_information.estimate_template_version IS '試算テンプレートver';</v>
      </c>
      <c r="R163" s="34" t="s">
        <v>2605</v>
      </c>
    </row>
    <row r="164" spans="1:18" ht="19.5" thickBot="1">
      <c r="A164" s="6"/>
      <c r="B164" s="6">
        <v>156</v>
      </c>
      <c r="C164" s="6" t="s">
        <v>2606</v>
      </c>
      <c r="D164" s="6" t="s">
        <v>66</v>
      </c>
      <c r="E164" s="6">
        <v>60</v>
      </c>
      <c r="F164" s="7" t="s">
        <v>67</v>
      </c>
      <c r="G164" s="6"/>
      <c r="H164" s="8"/>
      <c r="I164" s="6"/>
      <c r="J164" s="6"/>
      <c r="K164" s="25" t="s">
        <v>2607</v>
      </c>
      <c r="L164" t="str">
        <f t="shared" si="4"/>
        <v>VARCHAR(60),</v>
      </c>
      <c r="N164" s="38" t="str">
        <f t="shared" si="5"/>
        <v>COMMENT ON COLUMN bfs_entry_information.approval_date IS '決裁承認日';</v>
      </c>
      <c r="R164" s="34" t="s">
        <v>2608</v>
      </c>
    </row>
    <row r="165" spans="1:18" ht="19.5" thickBot="1">
      <c r="A165" s="3"/>
      <c r="B165" s="3">
        <v>157</v>
      </c>
      <c r="C165" s="3" t="s">
        <v>2609</v>
      </c>
      <c r="D165" s="3" t="s">
        <v>66</v>
      </c>
      <c r="E165" s="3">
        <v>54</v>
      </c>
      <c r="F165" s="2" t="s">
        <v>67</v>
      </c>
      <c r="G165" s="3"/>
      <c r="H165" s="5"/>
      <c r="I165" s="3"/>
      <c r="J165" s="3"/>
      <c r="K165" s="25" t="s">
        <v>2610</v>
      </c>
      <c r="L165" t="str">
        <f t="shared" si="4"/>
        <v>VARCHAR(54),</v>
      </c>
      <c r="N165" s="38" t="str">
        <f t="shared" si="5"/>
        <v>COMMENT ON COLUMN bfs_entry_information.original_estimate_number IS '起票元試算番号';</v>
      </c>
      <c r="R165" s="34" t="s">
        <v>2611</v>
      </c>
    </row>
    <row r="166" spans="1:18" ht="19.5" thickBot="1">
      <c r="A166" s="6"/>
      <c r="B166" s="6">
        <v>158</v>
      </c>
      <c r="C166" s="6" t="s">
        <v>2612</v>
      </c>
      <c r="D166" s="6" t="s">
        <v>66</v>
      </c>
      <c r="E166" s="6">
        <v>54</v>
      </c>
      <c r="F166" s="7" t="s">
        <v>67</v>
      </c>
      <c r="G166" s="6"/>
      <c r="H166" s="8"/>
      <c r="I166" s="6"/>
      <c r="J166" s="6"/>
      <c r="K166" s="25" t="s">
        <v>2613</v>
      </c>
      <c r="L166" t="str">
        <f t="shared" si="4"/>
        <v>VARCHAR(54),</v>
      </c>
      <c r="N166" s="38" t="str">
        <f t="shared" si="5"/>
        <v>COMMENT ON COLUMN bfs_entry_information.copy_entry_number IS 'コピー元エントリ番号';</v>
      </c>
      <c r="R166" s="34" t="s">
        <v>2614</v>
      </c>
    </row>
    <row r="167" spans="1:18" ht="19.5" thickBot="1">
      <c r="A167" s="3"/>
      <c r="B167" s="3">
        <v>159</v>
      </c>
      <c r="C167" s="3" t="s">
        <v>2615</v>
      </c>
      <c r="D167" s="3" t="s">
        <v>89</v>
      </c>
      <c r="E167" s="3">
        <v>11</v>
      </c>
      <c r="F167" s="2" t="s">
        <v>67</v>
      </c>
      <c r="G167" s="3"/>
      <c r="H167" s="5"/>
      <c r="I167" s="3"/>
      <c r="J167" s="3"/>
      <c r="K167" s="25" t="s">
        <v>1239</v>
      </c>
      <c r="L167" t="str">
        <f t="shared" si="4"/>
        <v>DECIMAL(11),</v>
      </c>
      <c r="N167" s="38" t="str">
        <f t="shared" si="5"/>
        <v>COMMENT ON COLUMN bfs_entry_information.minimum_number_of_lines IS '最低利用回線数';</v>
      </c>
      <c r="R167" s="34" t="s">
        <v>1240</v>
      </c>
    </row>
    <row r="168" spans="1:18" ht="19.5" thickBot="1">
      <c r="A168" s="6"/>
      <c r="B168" s="6">
        <v>160</v>
      </c>
      <c r="C168" s="6" t="s">
        <v>2616</v>
      </c>
      <c r="D168" s="6" t="s">
        <v>89</v>
      </c>
      <c r="E168" s="6">
        <v>11</v>
      </c>
      <c r="F168" s="7" t="s">
        <v>67</v>
      </c>
      <c r="G168" s="6"/>
      <c r="H168" s="8"/>
      <c r="I168" s="6"/>
      <c r="J168" s="6"/>
      <c r="K168" s="25" t="s">
        <v>2617</v>
      </c>
      <c r="L168" t="str">
        <f t="shared" si="4"/>
        <v>DECIMAL(11),</v>
      </c>
      <c r="N168" s="38" t="str">
        <f t="shared" si="5"/>
        <v>COMMENT ON COLUMN bfs_entry_information.device_binding_amount IS '端末縛り金額';</v>
      </c>
      <c r="R168" s="34" t="s">
        <v>2618</v>
      </c>
    </row>
    <row r="169" spans="1:18" ht="19.5" thickBot="1">
      <c r="A169" s="3"/>
      <c r="B169" s="3">
        <v>161</v>
      </c>
      <c r="C169" s="3" t="s">
        <v>2619</v>
      </c>
      <c r="D169" s="3" t="s">
        <v>89</v>
      </c>
      <c r="E169" s="3">
        <v>3</v>
      </c>
      <c r="F169" s="2" t="s">
        <v>67</v>
      </c>
      <c r="G169" s="3"/>
      <c r="H169" s="5"/>
      <c r="I169" s="3"/>
      <c r="J169" s="3"/>
      <c r="K169" s="25" t="s">
        <v>2620</v>
      </c>
      <c r="L169" t="str">
        <f t="shared" si="4"/>
        <v>DECIMAL(3),</v>
      </c>
      <c r="N169" s="38" t="str">
        <f t="shared" si="5"/>
        <v>COMMENT ON COLUMN bfs_entry_information.device_binding_period IS '端末縛り期間';</v>
      </c>
      <c r="R169" s="34" t="s">
        <v>2621</v>
      </c>
    </row>
    <row r="170" spans="1:18" ht="19.5" thickBot="1">
      <c r="A170" s="6"/>
      <c r="B170" s="6">
        <v>162</v>
      </c>
      <c r="C170" s="6" t="s">
        <v>2622</v>
      </c>
      <c r="D170" s="6" t="s">
        <v>66</v>
      </c>
      <c r="E170" s="6">
        <v>900</v>
      </c>
      <c r="F170" s="7" t="s">
        <v>67</v>
      </c>
      <c r="G170" s="6"/>
      <c r="H170" s="8"/>
      <c r="I170" s="6"/>
      <c r="J170" s="6"/>
      <c r="K170" s="25" t="s">
        <v>2623</v>
      </c>
      <c r="L170" t="str">
        <f t="shared" si="4"/>
        <v>VARCHAR(900),</v>
      </c>
      <c r="N170" s="38" t="str">
        <f t="shared" si="5"/>
        <v>COMMENT ON COLUMN bfs_entry_information.international_rm_discount_specification IS '国際rm値引指定有無';</v>
      </c>
      <c r="R170" s="34" t="s">
        <v>2624</v>
      </c>
    </row>
    <row r="171" spans="1:18" ht="19.5" thickBot="1">
      <c r="A171" s="3"/>
      <c r="B171" s="3">
        <v>163</v>
      </c>
      <c r="C171" s="3" t="s">
        <v>2625</v>
      </c>
      <c r="D171" s="3" t="s">
        <v>66</v>
      </c>
      <c r="E171" s="3">
        <v>24</v>
      </c>
      <c r="F171" s="2" t="s">
        <v>67</v>
      </c>
      <c r="G171" s="3"/>
      <c r="H171" s="5"/>
      <c r="I171" s="3"/>
      <c r="J171" s="3"/>
      <c r="K171" s="25" t="s">
        <v>2626</v>
      </c>
      <c r="L171" t="str">
        <f t="shared" si="4"/>
        <v>VARCHAR(24),</v>
      </c>
      <c r="N171" s="38" t="str">
        <f t="shared" si="5"/>
        <v>COMMENT ON COLUMN bfs_entry_information.international_rm_discount_specification_discount_rate IS '国際rm値引指定割引率';</v>
      </c>
      <c r="R171" s="34" t="s">
        <v>2627</v>
      </c>
    </row>
    <row r="172" spans="1:18" ht="19.5" thickBot="1">
      <c r="A172" s="6"/>
      <c r="B172" s="6">
        <v>164</v>
      </c>
      <c r="C172" s="6" t="s">
        <v>2628</v>
      </c>
      <c r="D172" s="6" t="s">
        <v>66</v>
      </c>
      <c r="E172" s="6">
        <v>1800</v>
      </c>
      <c r="F172" s="7" t="s">
        <v>67</v>
      </c>
      <c r="G172" s="6"/>
      <c r="H172" s="8"/>
      <c r="I172" s="6"/>
      <c r="J172" s="6"/>
      <c r="K172" s="25" t="s">
        <v>2629</v>
      </c>
      <c r="L172" t="str">
        <f t="shared" si="4"/>
        <v>VARCHAR(1800),</v>
      </c>
      <c r="N172" s="38" t="str">
        <f t="shared" si="5"/>
        <v>COMMENT ON COLUMN bfs_entry_information.plan_binding_1 IS 'プラン縛り1';</v>
      </c>
      <c r="R172" s="34" t="s">
        <v>2630</v>
      </c>
    </row>
    <row r="173" spans="1:18" ht="19.5" thickBot="1">
      <c r="A173" s="3"/>
      <c r="B173" s="3">
        <v>165</v>
      </c>
      <c r="C173" s="3" t="s">
        <v>2631</v>
      </c>
      <c r="D173" s="3" t="s">
        <v>66</v>
      </c>
      <c r="E173" s="3">
        <v>1800</v>
      </c>
      <c r="F173" s="2" t="s">
        <v>67</v>
      </c>
      <c r="G173" s="3"/>
      <c r="H173" s="5"/>
      <c r="I173" s="3"/>
      <c r="J173" s="3"/>
      <c r="K173" s="25" t="s">
        <v>2632</v>
      </c>
      <c r="L173" t="str">
        <f t="shared" si="4"/>
        <v>VARCHAR(1800),</v>
      </c>
      <c r="N173" s="38" t="str">
        <f t="shared" si="5"/>
        <v>COMMENT ON COLUMN bfs_entry_information.plan_binding_2 IS 'プラン縛り2';</v>
      </c>
      <c r="R173" s="34" t="s">
        <v>2633</v>
      </c>
    </row>
    <row r="174" spans="1:18" ht="19.5" thickBot="1">
      <c r="A174" s="6"/>
      <c r="B174" s="6">
        <v>166</v>
      </c>
      <c r="C174" s="6" t="s">
        <v>2634</v>
      </c>
      <c r="D174" s="6" t="s">
        <v>66</v>
      </c>
      <c r="E174" s="6">
        <v>1800</v>
      </c>
      <c r="F174" s="7" t="s">
        <v>67</v>
      </c>
      <c r="G174" s="6"/>
      <c r="H174" s="8"/>
      <c r="I174" s="6"/>
      <c r="J174" s="6"/>
      <c r="K174" s="25" t="s">
        <v>2635</v>
      </c>
      <c r="L174" t="str">
        <f t="shared" si="4"/>
        <v>VARCHAR(1800),</v>
      </c>
      <c r="N174" s="38" t="str">
        <f t="shared" si="5"/>
        <v>COMMENT ON COLUMN bfs_entry_information.plan_binding_3 IS 'プラン縛り3';</v>
      </c>
      <c r="R174" s="34" t="s">
        <v>2636</v>
      </c>
    </row>
    <row r="175" spans="1:18" ht="19.5" thickBot="1">
      <c r="A175" s="3"/>
      <c r="B175" s="3">
        <v>167</v>
      </c>
      <c r="C175" s="3" t="s">
        <v>2637</v>
      </c>
      <c r="D175" s="3" t="s">
        <v>66</v>
      </c>
      <c r="E175" s="3">
        <v>1800</v>
      </c>
      <c r="F175" s="2" t="s">
        <v>67</v>
      </c>
      <c r="G175" s="3"/>
      <c r="H175" s="5"/>
      <c r="I175" s="3"/>
      <c r="J175" s="3"/>
      <c r="K175" s="25" t="s">
        <v>2638</v>
      </c>
      <c r="L175" t="str">
        <f t="shared" si="4"/>
        <v>VARCHAR(1800),</v>
      </c>
      <c r="N175" s="38" t="str">
        <f t="shared" si="5"/>
        <v>COMMENT ON COLUMN bfs_entry_information.plan_binding_4 IS 'プラン縛り4';</v>
      </c>
      <c r="R175" s="34" t="s">
        <v>2639</v>
      </c>
    </row>
    <row r="176" spans="1:18" ht="19.5" thickBot="1">
      <c r="A176" s="6"/>
      <c r="B176" s="6">
        <v>168</v>
      </c>
      <c r="C176" s="6" t="s">
        <v>2640</v>
      </c>
      <c r="D176" s="6" t="s">
        <v>66</v>
      </c>
      <c r="E176" s="6">
        <v>1800</v>
      </c>
      <c r="F176" s="7" t="s">
        <v>67</v>
      </c>
      <c r="G176" s="6"/>
      <c r="H176" s="8"/>
      <c r="I176" s="6"/>
      <c r="J176" s="6"/>
      <c r="K176" s="25" t="s">
        <v>2641</v>
      </c>
      <c r="L176" t="str">
        <f t="shared" si="4"/>
        <v>VARCHAR(1800),</v>
      </c>
      <c r="N176" s="38" t="str">
        <f t="shared" si="5"/>
        <v>COMMENT ON COLUMN bfs_entry_information.plan_binding_5 IS 'プラン縛り5';</v>
      </c>
      <c r="R176" s="34" t="s">
        <v>2642</v>
      </c>
    </row>
    <row r="177" spans="1:18" ht="19.5" thickBot="1">
      <c r="A177" s="3"/>
      <c r="B177" s="3">
        <v>169</v>
      </c>
      <c r="C177" s="3" t="s">
        <v>2643</v>
      </c>
      <c r="D177" s="3" t="s">
        <v>66</v>
      </c>
      <c r="E177" s="3">
        <v>1800</v>
      </c>
      <c r="F177" s="2" t="s">
        <v>67</v>
      </c>
      <c r="G177" s="3"/>
      <c r="H177" s="5"/>
      <c r="I177" s="3"/>
      <c r="J177" s="3"/>
      <c r="K177" s="25" t="s">
        <v>2644</v>
      </c>
      <c r="L177" t="str">
        <f t="shared" si="4"/>
        <v>VARCHAR(1800),</v>
      </c>
      <c r="N177" s="38" t="str">
        <f t="shared" si="5"/>
        <v>COMMENT ON COLUMN bfs_entry_information.plan_binding_6 IS 'プラン縛り6';</v>
      </c>
      <c r="R177" s="34" t="s">
        <v>2645</v>
      </c>
    </row>
    <row r="178" spans="1:18" ht="19.5" thickBot="1">
      <c r="A178" s="6"/>
      <c r="B178" s="6">
        <v>170</v>
      </c>
      <c r="C178" s="6" t="s">
        <v>2646</v>
      </c>
      <c r="D178" s="6" t="s">
        <v>66</v>
      </c>
      <c r="E178" s="6">
        <v>1800</v>
      </c>
      <c r="F178" s="7" t="s">
        <v>67</v>
      </c>
      <c r="G178" s="6"/>
      <c r="H178" s="8"/>
      <c r="I178" s="6"/>
      <c r="J178" s="6"/>
      <c r="K178" s="25" t="s">
        <v>2647</v>
      </c>
      <c r="L178" t="str">
        <f t="shared" si="4"/>
        <v>VARCHAR(1800),</v>
      </c>
      <c r="N178" s="38" t="str">
        <f t="shared" si="5"/>
        <v>COMMENT ON COLUMN bfs_entry_information.plan_restriction_7 IS 'プラン縛り7';</v>
      </c>
      <c r="R178" s="34" t="s">
        <v>2648</v>
      </c>
    </row>
    <row r="179" spans="1:18" ht="19.5" thickBot="1">
      <c r="A179" s="3"/>
      <c r="B179" s="3">
        <v>171</v>
      </c>
      <c r="C179" s="3" t="s">
        <v>2649</v>
      </c>
      <c r="D179" s="3" t="s">
        <v>66</v>
      </c>
      <c r="E179" s="3">
        <v>1800</v>
      </c>
      <c r="F179" s="2" t="s">
        <v>67</v>
      </c>
      <c r="G179" s="3"/>
      <c r="H179" s="5"/>
      <c r="I179" s="3"/>
      <c r="J179" s="3"/>
      <c r="K179" s="25" t="s">
        <v>2650</v>
      </c>
      <c r="L179" t="str">
        <f t="shared" si="4"/>
        <v>VARCHAR(1800),</v>
      </c>
      <c r="N179" s="38" t="str">
        <f t="shared" si="5"/>
        <v>COMMENT ON COLUMN bfs_entry_information.plan_restriction_8 IS 'プラン縛り8';</v>
      </c>
      <c r="R179" s="34" t="s">
        <v>2651</v>
      </c>
    </row>
    <row r="180" spans="1:18" ht="19.5" thickBot="1">
      <c r="A180" s="6"/>
      <c r="B180" s="6">
        <v>172</v>
      </c>
      <c r="C180" s="6" t="s">
        <v>2652</v>
      </c>
      <c r="D180" s="6" t="s">
        <v>66</v>
      </c>
      <c r="E180" s="6">
        <v>1800</v>
      </c>
      <c r="F180" s="7" t="s">
        <v>67</v>
      </c>
      <c r="G180" s="6"/>
      <c r="H180" s="8"/>
      <c r="I180" s="6"/>
      <c r="J180" s="6"/>
      <c r="K180" s="25" t="s">
        <v>2653</v>
      </c>
      <c r="L180" t="str">
        <f t="shared" si="4"/>
        <v>VARCHAR(1800),</v>
      </c>
      <c r="N180" s="38" t="str">
        <f t="shared" si="5"/>
        <v>COMMENT ON COLUMN bfs_entry_information.plan_restriction_9 IS 'プラン縛り9';</v>
      </c>
      <c r="R180" s="34" t="s">
        <v>2654</v>
      </c>
    </row>
    <row r="181" spans="1:18" ht="19.5" thickBot="1">
      <c r="A181" s="3"/>
      <c r="B181" s="3">
        <v>173</v>
      </c>
      <c r="C181" s="3" t="s">
        <v>2655</v>
      </c>
      <c r="D181" s="3" t="s">
        <v>66</v>
      </c>
      <c r="E181" s="3">
        <v>1800</v>
      </c>
      <c r="F181" s="2" t="s">
        <v>67</v>
      </c>
      <c r="G181" s="3"/>
      <c r="H181" s="5"/>
      <c r="I181" s="3"/>
      <c r="J181" s="3"/>
      <c r="K181" s="25" t="s">
        <v>2656</v>
      </c>
      <c r="L181" t="str">
        <f t="shared" si="4"/>
        <v>VARCHAR(1800),</v>
      </c>
      <c r="N181" s="38" t="str">
        <f t="shared" si="5"/>
        <v>COMMENT ON COLUMN bfs_entry_information.plan_restriction_10 IS 'プラン縛り10';</v>
      </c>
      <c r="R181" s="34" t="s">
        <v>2657</v>
      </c>
    </row>
    <row r="182" spans="1:18" ht="19.5" thickBot="1">
      <c r="A182" s="6"/>
      <c r="B182" s="6">
        <v>174</v>
      </c>
      <c r="C182" s="6" t="s">
        <v>2658</v>
      </c>
      <c r="D182" s="6" t="s">
        <v>66</v>
      </c>
      <c r="E182" s="6">
        <v>1800</v>
      </c>
      <c r="F182" s="7" t="s">
        <v>67</v>
      </c>
      <c r="G182" s="6"/>
      <c r="H182" s="8"/>
      <c r="I182" s="6"/>
      <c r="J182" s="6"/>
      <c r="K182" s="25" t="s">
        <v>2659</v>
      </c>
      <c r="L182" t="str">
        <f t="shared" si="4"/>
        <v>VARCHAR(1800),</v>
      </c>
      <c r="N182" s="38" t="str">
        <f t="shared" si="5"/>
        <v>COMMENT ON COLUMN bfs_entry_information.plan_restriction_11 IS 'プラン縛り11';</v>
      </c>
      <c r="R182" s="34" t="s">
        <v>2660</v>
      </c>
    </row>
    <row r="183" spans="1:18" ht="19.5" thickBot="1">
      <c r="A183" s="3"/>
      <c r="B183" s="3">
        <v>175</v>
      </c>
      <c r="C183" s="3" t="s">
        <v>2661</v>
      </c>
      <c r="D183" s="3" t="s">
        <v>66</v>
      </c>
      <c r="E183" s="3">
        <v>1800</v>
      </c>
      <c r="F183" s="2" t="s">
        <v>67</v>
      </c>
      <c r="G183" s="3"/>
      <c r="H183" s="5"/>
      <c r="I183" s="3"/>
      <c r="J183" s="3"/>
      <c r="K183" s="25" t="s">
        <v>2662</v>
      </c>
      <c r="L183" t="str">
        <f t="shared" si="4"/>
        <v>VARCHAR(1800),</v>
      </c>
      <c r="N183" s="38" t="str">
        <f t="shared" si="5"/>
        <v>COMMENT ON COLUMN bfs_entry_information.plan_restriction_12 IS 'プラン縛り12';</v>
      </c>
      <c r="R183" s="34" t="s">
        <v>2663</v>
      </c>
    </row>
    <row r="184" spans="1:18" ht="19.5" thickBot="1">
      <c r="A184" s="6"/>
      <c r="B184" s="6">
        <v>176</v>
      </c>
      <c r="C184" s="6" t="s">
        <v>2664</v>
      </c>
      <c r="D184" s="6" t="s">
        <v>66</v>
      </c>
      <c r="E184" s="6">
        <v>1800</v>
      </c>
      <c r="F184" s="7" t="s">
        <v>67</v>
      </c>
      <c r="G184" s="6"/>
      <c r="H184" s="8"/>
      <c r="I184" s="6"/>
      <c r="J184" s="6"/>
      <c r="K184" s="25" t="s">
        <v>2665</v>
      </c>
      <c r="L184" t="str">
        <f t="shared" si="4"/>
        <v>VARCHAR(1800),</v>
      </c>
      <c r="N184" s="38" t="str">
        <f t="shared" si="5"/>
        <v>COMMENT ON COLUMN bfs_entry_information.percentage_plan_1 IS '比率指定プラン1';</v>
      </c>
      <c r="R184" s="34" t="s">
        <v>2666</v>
      </c>
    </row>
    <row r="185" spans="1:18" ht="19.5" thickBot="1">
      <c r="A185" s="3"/>
      <c r="B185" s="3">
        <v>177</v>
      </c>
      <c r="C185" s="3" t="s">
        <v>2667</v>
      </c>
      <c r="D185" s="3" t="s">
        <v>66</v>
      </c>
      <c r="E185" s="3">
        <v>24</v>
      </c>
      <c r="F185" s="2" t="s">
        <v>67</v>
      </c>
      <c r="G185" s="3"/>
      <c r="H185" s="5"/>
      <c r="I185" s="3"/>
      <c r="J185" s="3"/>
      <c r="K185" s="25" t="s">
        <v>2668</v>
      </c>
      <c r="L185" t="str">
        <f t="shared" si="4"/>
        <v>VARCHAR(24),</v>
      </c>
      <c r="N185" s="38" t="str">
        <f t="shared" si="5"/>
        <v>COMMENT ON COLUMN bfs_entry_information.plan_ratio_1 IS 'プラン比率1';</v>
      </c>
      <c r="R185" s="34" t="s">
        <v>2669</v>
      </c>
    </row>
    <row r="186" spans="1:18" ht="19.5" thickBot="1">
      <c r="A186" s="6"/>
      <c r="B186" s="6">
        <v>178</v>
      </c>
      <c r="C186" s="6" t="s">
        <v>2670</v>
      </c>
      <c r="D186" s="6" t="s">
        <v>66</v>
      </c>
      <c r="E186" s="6">
        <v>1800</v>
      </c>
      <c r="F186" s="7" t="s">
        <v>67</v>
      </c>
      <c r="G186" s="6"/>
      <c r="H186" s="8"/>
      <c r="I186" s="6"/>
      <c r="J186" s="6"/>
      <c r="K186" s="25" t="s">
        <v>2671</v>
      </c>
      <c r="L186" t="str">
        <f t="shared" si="4"/>
        <v>VARCHAR(1800),</v>
      </c>
      <c r="N186" s="38" t="str">
        <f t="shared" si="5"/>
        <v>COMMENT ON COLUMN bfs_entry_information.percentage_plan_2 IS '比率指定プラン2';</v>
      </c>
      <c r="R186" s="34" t="s">
        <v>2672</v>
      </c>
    </row>
    <row r="187" spans="1:18" ht="19.5" thickBot="1">
      <c r="A187" s="3"/>
      <c r="B187" s="3">
        <v>179</v>
      </c>
      <c r="C187" s="3" t="s">
        <v>2673</v>
      </c>
      <c r="D187" s="3" t="s">
        <v>66</v>
      </c>
      <c r="E187" s="3">
        <v>24</v>
      </c>
      <c r="F187" s="2" t="s">
        <v>67</v>
      </c>
      <c r="G187" s="3"/>
      <c r="H187" s="5"/>
      <c r="I187" s="3"/>
      <c r="J187" s="3"/>
      <c r="K187" s="25" t="s">
        <v>2674</v>
      </c>
      <c r="L187" t="str">
        <f t="shared" si="4"/>
        <v>VARCHAR(24),</v>
      </c>
      <c r="N187" s="38" t="str">
        <f t="shared" si="5"/>
        <v>COMMENT ON COLUMN bfs_entry_information.plan_ratio_2 IS 'プラン比率2';</v>
      </c>
      <c r="R187" s="34" t="s">
        <v>2675</v>
      </c>
    </row>
    <row r="188" spans="1:18" ht="19.5" thickBot="1">
      <c r="A188" s="6"/>
      <c r="B188" s="6">
        <v>180</v>
      </c>
      <c r="C188" s="6" t="s">
        <v>2676</v>
      </c>
      <c r="D188" s="6" t="s">
        <v>66</v>
      </c>
      <c r="E188" s="6">
        <v>1800</v>
      </c>
      <c r="F188" s="7" t="s">
        <v>67</v>
      </c>
      <c r="G188" s="6"/>
      <c r="H188" s="8"/>
      <c r="I188" s="6"/>
      <c r="J188" s="6"/>
      <c r="K188" s="25" t="s">
        <v>2677</v>
      </c>
      <c r="L188" t="str">
        <f t="shared" si="4"/>
        <v>VARCHAR(1800),</v>
      </c>
      <c r="N188" s="38" t="str">
        <f t="shared" si="5"/>
        <v>COMMENT ON COLUMN bfs_entry_information.percentage_plan_3 IS '比率指定プラン3';</v>
      </c>
      <c r="R188" s="34" t="s">
        <v>2678</v>
      </c>
    </row>
    <row r="189" spans="1:18" ht="19.5" thickBot="1">
      <c r="A189" s="3"/>
      <c r="B189" s="3">
        <v>181</v>
      </c>
      <c r="C189" s="3" t="s">
        <v>2679</v>
      </c>
      <c r="D189" s="3" t="s">
        <v>66</v>
      </c>
      <c r="E189" s="3">
        <v>24</v>
      </c>
      <c r="F189" s="2" t="s">
        <v>67</v>
      </c>
      <c r="G189" s="3"/>
      <c r="H189" s="5"/>
      <c r="I189" s="3"/>
      <c r="J189" s="3"/>
      <c r="K189" s="25" t="s">
        <v>2680</v>
      </c>
      <c r="L189" t="str">
        <f t="shared" si="4"/>
        <v>VARCHAR(24),</v>
      </c>
      <c r="N189" s="38" t="str">
        <f t="shared" si="5"/>
        <v>COMMENT ON COLUMN bfs_entry_information.plan_ratio_3 IS 'プラン比率3';</v>
      </c>
      <c r="R189" s="34" t="s">
        <v>2681</v>
      </c>
    </row>
    <row r="190" spans="1:18" ht="19.5" thickBot="1">
      <c r="A190" s="6"/>
      <c r="B190" s="6">
        <v>182</v>
      </c>
      <c r="C190" s="6" t="s">
        <v>2682</v>
      </c>
      <c r="D190" s="6" t="s">
        <v>66</v>
      </c>
      <c r="E190" s="6">
        <v>1800</v>
      </c>
      <c r="F190" s="7" t="s">
        <v>67</v>
      </c>
      <c r="G190" s="6"/>
      <c r="H190" s="8"/>
      <c r="I190" s="6"/>
      <c r="J190" s="6"/>
      <c r="K190" s="25" t="s">
        <v>2683</v>
      </c>
      <c r="L190" t="str">
        <f t="shared" si="4"/>
        <v>VARCHAR(1800),</v>
      </c>
      <c r="N190" s="38" t="str">
        <f t="shared" si="5"/>
        <v>COMMENT ON COLUMN bfs_entry_information.percentage_plan_4 IS '比率指定プラン4';</v>
      </c>
      <c r="R190" s="34" t="s">
        <v>2684</v>
      </c>
    </row>
    <row r="191" spans="1:18" ht="19.5" thickBot="1">
      <c r="A191" s="3"/>
      <c r="B191" s="3">
        <v>183</v>
      </c>
      <c r="C191" s="3" t="s">
        <v>2685</v>
      </c>
      <c r="D191" s="3" t="s">
        <v>66</v>
      </c>
      <c r="E191" s="3">
        <v>24</v>
      </c>
      <c r="F191" s="2" t="s">
        <v>67</v>
      </c>
      <c r="G191" s="3"/>
      <c r="H191" s="5"/>
      <c r="I191" s="3"/>
      <c r="J191" s="3"/>
      <c r="K191" s="25" t="s">
        <v>2686</v>
      </c>
      <c r="L191" t="str">
        <f t="shared" si="4"/>
        <v>VARCHAR(24),</v>
      </c>
      <c r="N191" s="38" t="str">
        <f t="shared" si="5"/>
        <v>COMMENT ON COLUMN bfs_entry_information.plan_ratio_4 IS 'プラン比率4';</v>
      </c>
      <c r="R191" s="34" t="s">
        <v>2687</v>
      </c>
    </row>
    <row r="192" spans="1:18" ht="19.5" thickBot="1">
      <c r="A192" s="6"/>
      <c r="B192" s="6">
        <v>184</v>
      </c>
      <c r="C192" s="6" t="s">
        <v>2688</v>
      </c>
      <c r="D192" s="6" t="s">
        <v>66</v>
      </c>
      <c r="E192" s="6">
        <v>1800</v>
      </c>
      <c r="F192" s="7" t="s">
        <v>67</v>
      </c>
      <c r="G192" s="6"/>
      <c r="H192" s="8"/>
      <c r="I192" s="6"/>
      <c r="J192" s="6"/>
      <c r="K192" s="25" t="s">
        <v>2689</v>
      </c>
      <c r="L192" t="str">
        <f t="shared" si="4"/>
        <v>VARCHAR(1800),</v>
      </c>
      <c r="N192" s="38" t="str">
        <f t="shared" si="5"/>
        <v>COMMENT ON COLUMN bfs_entry_information.required_op_category_1 IS '必須opカテゴリ1';</v>
      </c>
      <c r="R192" s="34" t="s">
        <v>2690</v>
      </c>
    </row>
    <row r="193" spans="1:18" ht="19.5" thickBot="1">
      <c r="A193" s="3"/>
      <c r="B193" s="3">
        <v>185</v>
      </c>
      <c r="C193" s="3" t="s">
        <v>2691</v>
      </c>
      <c r="D193" s="3" t="s">
        <v>66</v>
      </c>
      <c r="E193" s="3">
        <v>1800</v>
      </c>
      <c r="F193" s="2" t="s">
        <v>67</v>
      </c>
      <c r="G193" s="3"/>
      <c r="H193" s="5"/>
      <c r="I193" s="3"/>
      <c r="J193" s="3"/>
      <c r="K193" s="25" t="s">
        <v>2692</v>
      </c>
      <c r="L193" t="str">
        <f t="shared" si="4"/>
        <v>VARCHAR(1800),</v>
      </c>
      <c r="N193" s="38" t="str">
        <f t="shared" si="5"/>
        <v>COMMENT ON COLUMN bfs_entry_information.required_op_1 IS '必須op1';</v>
      </c>
      <c r="R193" s="34" t="s">
        <v>2693</v>
      </c>
    </row>
    <row r="194" spans="1:18" ht="19.5" thickBot="1">
      <c r="A194" s="6"/>
      <c r="B194" s="6">
        <v>186</v>
      </c>
      <c r="C194" s="6" t="s">
        <v>2694</v>
      </c>
      <c r="D194" s="6" t="s">
        <v>66</v>
      </c>
      <c r="E194" s="6">
        <v>1800</v>
      </c>
      <c r="F194" s="7" t="s">
        <v>67</v>
      </c>
      <c r="G194" s="6"/>
      <c r="H194" s="8"/>
      <c r="I194" s="6"/>
      <c r="J194" s="6"/>
      <c r="K194" s="25" t="s">
        <v>2695</v>
      </c>
      <c r="L194" t="str">
        <f t="shared" si="4"/>
        <v>VARCHAR(1800),</v>
      </c>
      <c r="N194" s="38" t="str">
        <f t="shared" si="5"/>
        <v>COMMENT ON COLUMN bfs_entry_information.required_op_category_2 IS '必須opカテゴリ2';</v>
      </c>
      <c r="R194" s="34" t="s">
        <v>2696</v>
      </c>
    </row>
    <row r="195" spans="1:18" ht="19.5" thickBot="1">
      <c r="A195" s="3"/>
      <c r="B195" s="3">
        <v>187</v>
      </c>
      <c r="C195" s="3" t="s">
        <v>2697</v>
      </c>
      <c r="D195" s="3" t="s">
        <v>66</v>
      </c>
      <c r="E195" s="3">
        <v>1800</v>
      </c>
      <c r="F195" s="2" t="s">
        <v>67</v>
      </c>
      <c r="G195" s="3"/>
      <c r="H195" s="5"/>
      <c r="I195" s="3"/>
      <c r="J195" s="3"/>
      <c r="K195" s="25" t="s">
        <v>2698</v>
      </c>
      <c r="L195" t="str">
        <f t="shared" si="4"/>
        <v>VARCHAR(1800),</v>
      </c>
      <c r="N195" s="38" t="str">
        <f t="shared" si="5"/>
        <v>COMMENT ON COLUMN bfs_entry_information.required_op_2 IS '必須op2';</v>
      </c>
      <c r="R195" s="34" t="s">
        <v>2699</v>
      </c>
    </row>
    <row r="196" spans="1:18" ht="19.5" thickBot="1">
      <c r="A196" s="6"/>
      <c r="B196" s="6">
        <v>188</v>
      </c>
      <c r="C196" s="6" t="s">
        <v>2700</v>
      </c>
      <c r="D196" s="6" t="s">
        <v>66</v>
      </c>
      <c r="E196" s="6">
        <v>1800</v>
      </c>
      <c r="F196" s="7" t="s">
        <v>67</v>
      </c>
      <c r="G196" s="6"/>
      <c r="H196" s="8"/>
      <c r="I196" s="6"/>
      <c r="J196" s="6"/>
      <c r="K196" s="25" t="s">
        <v>2701</v>
      </c>
      <c r="L196" t="str">
        <f t="shared" si="4"/>
        <v>VARCHAR(1800),</v>
      </c>
      <c r="N196" s="38" t="str">
        <f t="shared" si="5"/>
        <v>COMMENT ON COLUMN bfs_entry_information.required_op_category_3 IS '必須opカテゴリ3';</v>
      </c>
      <c r="R196" s="34" t="s">
        <v>2702</v>
      </c>
    </row>
    <row r="197" spans="1:18" ht="19.5" thickBot="1">
      <c r="A197" s="3"/>
      <c r="B197" s="3">
        <v>189</v>
      </c>
      <c r="C197" s="3" t="s">
        <v>2703</v>
      </c>
      <c r="D197" s="3" t="s">
        <v>66</v>
      </c>
      <c r="E197" s="3">
        <v>1800</v>
      </c>
      <c r="F197" s="2" t="s">
        <v>67</v>
      </c>
      <c r="G197" s="3"/>
      <c r="H197" s="5"/>
      <c r="I197" s="3"/>
      <c r="J197" s="3"/>
      <c r="K197" s="25" t="s">
        <v>2704</v>
      </c>
      <c r="L197" t="str">
        <f t="shared" si="4"/>
        <v>VARCHAR(1800),</v>
      </c>
      <c r="N197" s="38" t="str">
        <f t="shared" si="5"/>
        <v>COMMENT ON COLUMN bfs_entry_information.required_op_3 IS '必須op3';</v>
      </c>
      <c r="R197" s="34" t="s">
        <v>2705</v>
      </c>
    </row>
    <row r="198" spans="1:18" ht="19.5" thickBot="1">
      <c r="A198" s="6"/>
      <c r="B198" s="6">
        <v>190</v>
      </c>
      <c r="C198" s="6" t="s">
        <v>2706</v>
      </c>
      <c r="D198" s="6" t="s">
        <v>66</v>
      </c>
      <c r="E198" s="6">
        <v>1800</v>
      </c>
      <c r="F198" s="7" t="s">
        <v>67</v>
      </c>
      <c r="G198" s="6"/>
      <c r="H198" s="8"/>
      <c r="I198" s="6"/>
      <c r="J198" s="6"/>
      <c r="K198" s="25" t="s">
        <v>2707</v>
      </c>
      <c r="L198" t="str">
        <f t="shared" si="4"/>
        <v>VARCHAR(1800),</v>
      </c>
      <c r="N198" s="38" t="str">
        <f t="shared" si="5"/>
        <v>COMMENT ON COLUMN bfs_entry_information.required_op_category_4 IS '必須opカテゴリ4';</v>
      </c>
      <c r="R198" s="34" t="s">
        <v>2708</v>
      </c>
    </row>
    <row r="199" spans="1:18" ht="19.5" thickBot="1">
      <c r="A199" s="3"/>
      <c r="B199" s="3">
        <v>191</v>
      </c>
      <c r="C199" s="3" t="s">
        <v>2709</v>
      </c>
      <c r="D199" s="3" t="s">
        <v>66</v>
      </c>
      <c r="E199" s="3">
        <v>1800</v>
      </c>
      <c r="F199" s="2" t="s">
        <v>67</v>
      </c>
      <c r="G199" s="3"/>
      <c r="H199" s="5"/>
      <c r="I199" s="3"/>
      <c r="J199" s="3"/>
      <c r="K199" s="25" t="s">
        <v>2710</v>
      </c>
      <c r="L199" t="str">
        <f t="shared" si="4"/>
        <v>VARCHAR(1800),</v>
      </c>
      <c r="N199" s="38" t="str">
        <f t="shared" si="5"/>
        <v>COMMENT ON COLUMN bfs_entry_information.required_op_4 IS '必須op4';</v>
      </c>
      <c r="R199" s="34" t="s">
        <v>2711</v>
      </c>
    </row>
    <row r="200" spans="1:18" ht="19.5" thickBot="1">
      <c r="A200" s="6"/>
      <c r="B200" s="6">
        <v>192</v>
      </c>
      <c r="C200" s="6" t="s">
        <v>2712</v>
      </c>
      <c r="D200" s="6" t="s">
        <v>66</v>
      </c>
      <c r="E200" s="6">
        <v>1800</v>
      </c>
      <c r="F200" s="7" t="s">
        <v>67</v>
      </c>
      <c r="G200" s="6"/>
      <c r="H200" s="8"/>
      <c r="I200" s="6"/>
      <c r="J200" s="6"/>
      <c r="K200" s="25" t="s">
        <v>2713</v>
      </c>
      <c r="L200" t="str">
        <f t="shared" si="4"/>
        <v>VARCHAR(1800),</v>
      </c>
      <c r="N200" s="38" t="str">
        <f t="shared" si="5"/>
        <v>COMMENT ON COLUMN bfs_entry_information.percentage_op_category_1 IS '比率指定opカテゴリ1';</v>
      </c>
      <c r="R200" s="34" t="s">
        <v>2714</v>
      </c>
    </row>
    <row r="201" spans="1:18" ht="19.5" thickBot="1">
      <c r="A201" s="3"/>
      <c r="B201" s="3">
        <v>193</v>
      </c>
      <c r="C201" s="3" t="s">
        <v>2715</v>
      </c>
      <c r="D201" s="3" t="s">
        <v>66</v>
      </c>
      <c r="E201" s="3">
        <v>1800</v>
      </c>
      <c r="F201" s="2" t="s">
        <v>67</v>
      </c>
      <c r="G201" s="3"/>
      <c r="H201" s="5"/>
      <c r="I201" s="3"/>
      <c r="J201" s="3"/>
      <c r="K201" s="25" t="s">
        <v>2716</v>
      </c>
      <c r="L201" t="str">
        <f t="shared" si="4"/>
        <v>VARCHAR(1800),</v>
      </c>
      <c r="N201" s="38" t="str">
        <f t="shared" si="5"/>
        <v>COMMENT ON COLUMN bfs_entry_information.percentage_op_1 IS '比率指定op1';</v>
      </c>
      <c r="R201" s="34" t="s">
        <v>2717</v>
      </c>
    </row>
    <row r="202" spans="1:18" ht="19.5" thickBot="1">
      <c r="A202" s="6"/>
      <c r="B202" s="6">
        <v>194</v>
      </c>
      <c r="C202" s="6" t="s">
        <v>2718</v>
      </c>
      <c r="D202" s="6" t="s">
        <v>66</v>
      </c>
      <c r="E202" s="6">
        <v>24</v>
      </c>
      <c r="F202" s="7" t="s">
        <v>67</v>
      </c>
      <c r="G202" s="6"/>
      <c r="H202" s="8"/>
      <c r="I202" s="6"/>
      <c r="J202" s="6"/>
      <c r="K202" s="25" t="s">
        <v>2719</v>
      </c>
      <c r="L202" t="str">
        <f t="shared" ref="L202:L224" si="6">D202&amp;"("&amp;E202&amp;"),"</f>
        <v>VARCHAR(24),</v>
      </c>
      <c r="N202" s="38" t="str">
        <f t="shared" ref="N202:N224" si="7">"COMMENT ON COLUMN "&amp;$K$3&amp;"."&amp;$K202&amp;" IS '"&amp;C202&amp;"';"</f>
        <v>COMMENT ON COLUMN bfs_entry_information.op_ratio_1 IS 'op比率1';</v>
      </c>
      <c r="R202" s="34" t="s">
        <v>2720</v>
      </c>
    </row>
    <row r="203" spans="1:18" ht="19.5" thickBot="1">
      <c r="A203" s="3"/>
      <c r="B203" s="3">
        <v>195</v>
      </c>
      <c r="C203" s="3" t="s">
        <v>2721</v>
      </c>
      <c r="D203" s="3" t="s">
        <v>66</v>
      </c>
      <c r="E203" s="3">
        <v>1800</v>
      </c>
      <c r="F203" s="2" t="s">
        <v>67</v>
      </c>
      <c r="G203" s="3"/>
      <c r="H203" s="5"/>
      <c r="I203" s="3"/>
      <c r="J203" s="3"/>
      <c r="K203" s="25" t="s">
        <v>2722</v>
      </c>
      <c r="L203" t="str">
        <f t="shared" si="6"/>
        <v>VARCHAR(1800),</v>
      </c>
      <c r="N203" s="38" t="str">
        <f t="shared" si="7"/>
        <v>COMMENT ON COLUMN bfs_entry_information.percentage_op_category_2 IS '比率指定opカテゴリ2';</v>
      </c>
      <c r="R203" s="34" t="s">
        <v>2723</v>
      </c>
    </row>
    <row r="204" spans="1:18" ht="19.5" thickBot="1">
      <c r="A204" s="6"/>
      <c r="B204" s="6">
        <v>196</v>
      </c>
      <c r="C204" s="6" t="s">
        <v>2724</v>
      </c>
      <c r="D204" s="6" t="s">
        <v>66</v>
      </c>
      <c r="E204" s="6">
        <v>1800</v>
      </c>
      <c r="F204" s="7" t="s">
        <v>67</v>
      </c>
      <c r="G204" s="6"/>
      <c r="H204" s="8"/>
      <c r="I204" s="6"/>
      <c r="J204" s="6"/>
      <c r="K204" s="25" t="s">
        <v>2725</v>
      </c>
      <c r="L204" t="str">
        <f t="shared" si="6"/>
        <v>VARCHAR(1800),</v>
      </c>
      <c r="N204" s="38" t="str">
        <f t="shared" si="7"/>
        <v>COMMENT ON COLUMN bfs_entry_information.percentage_op_2 IS '比率指定op2';</v>
      </c>
      <c r="R204" s="34" t="s">
        <v>2726</v>
      </c>
    </row>
    <row r="205" spans="1:18" ht="19.5" thickBot="1">
      <c r="A205" s="3"/>
      <c r="B205" s="3">
        <v>197</v>
      </c>
      <c r="C205" s="3" t="s">
        <v>2727</v>
      </c>
      <c r="D205" s="3" t="s">
        <v>66</v>
      </c>
      <c r="E205" s="3">
        <v>24</v>
      </c>
      <c r="F205" s="2" t="s">
        <v>67</v>
      </c>
      <c r="G205" s="3"/>
      <c r="H205" s="5"/>
      <c r="I205" s="3"/>
      <c r="J205" s="3"/>
      <c r="K205" s="25" t="s">
        <v>2728</v>
      </c>
      <c r="L205" t="str">
        <f t="shared" si="6"/>
        <v>VARCHAR(24),</v>
      </c>
      <c r="N205" s="38" t="str">
        <f t="shared" si="7"/>
        <v>COMMENT ON COLUMN bfs_entry_information.op_ratio_2 IS 'op比率2';</v>
      </c>
      <c r="R205" s="34" t="s">
        <v>2729</v>
      </c>
    </row>
    <row r="206" spans="1:18" ht="19.5" thickBot="1">
      <c r="A206" s="6"/>
      <c r="B206" s="6">
        <v>198</v>
      </c>
      <c r="C206" s="6" t="s">
        <v>2730</v>
      </c>
      <c r="D206" s="6" t="s">
        <v>66</v>
      </c>
      <c r="E206" s="6">
        <v>1800</v>
      </c>
      <c r="F206" s="7" t="s">
        <v>67</v>
      </c>
      <c r="G206" s="6"/>
      <c r="H206" s="8"/>
      <c r="I206" s="6"/>
      <c r="J206" s="6"/>
      <c r="K206" s="25" t="s">
        <v>2731</v>
      </c>
      <c r="L206" t="str">
        <f t="shared" si="6"/>
        <v>VARCHAR(1800),</v>
      </c>
      <c r="N206" s="38" t="str">
        <f t="shared" si="7"/>
        <v>COMMENT ON COLUMN bfs_entry_information.percentage_op_category_3 IS '比率指定opカテゴリ3';</v>
      </c>
      <c r="R206" s="34" t="s">
        <v>2732</v>
      </c>
    </row>
    <row r="207" spans="1:18" ht="19.5" thickBot="1">
      <c r="A207" s="3"/>
      <c r="B207" s="3">
        <v>199</v>
      </c>
      <c r="C207" s="3" t="s">
        <v>2733</v>
      </c>
      <c r="D207" s="3" t="s">
        <v>66</v>
      </c>
      <c r="E207" s="3">
        <v>1800</v>
      </c>
      <c r="F207" s="2" t="s">
        <v>67</v>
      </c>
      <c r="G207" s="3"/>
      <c r="H207" s="5"/>
      <c r="I207" s="3"/>
      <c r="J207" s="3"/>
      <c r="K207" s="25" t="s">
        <v>2734</v>
      </c>
      <c r="L207" t="str">
        <f t="shared" si="6"/>
        <v>VARCHAR(1800),</v>
      </c>
      <c r="N207" s="38" t="str">
        <f t="shared" si="7"/>
        <v>COMMENT ON COLUMN bfs_entry_information.percentage_op_3 IS '比率指定op3';</v>
      </c>
      <c r="R207" s="34" t="s">
        <v>2735</v>
      </c>
    </row>
    <row r="208" spans="1:18" ht="19.5" thickBot="1">
      <c r="A208" s="6"/>
      <c r="B208" s="6">
        <v>200</v>
      </c>
      <c r="C208" s="6" t="s">
        <v>2736</v>
      </c>
      <c r="D208" s="6" t="s">
        <v>66</v>
      </c>
      <c r="E208" s="6">
        <v>24</v>
      </c>
      <c r="F208" s="7" t="s">
        <v>67</v>
      </c>
      <c r="G208" s="6"/>
      <c r="H208" s="8"/>
      <c r="I208" s="6"/>
      <c r="J208" s="6"/>
      <c r="K208" s="25" t="s">
        <v>2737</v>
      </c>
      <c r="L208" t="str">
        <f t="shared" si="6"/>
        <v>VARCHAR(24),</v>
      </c>
      <c r="N208" s="38" t="str">
        <f t="shared" si="7"/>
        <v>COMMENT ON COLUMN bfs_entry_information.op_ratio_3 IS 'op比率3';</v>
      </c>
      <c r="R208" s="34" t="s">
        <v>2738</v>
      </c>
    </row>
    <row r="209" spans="1:18" ht="19.5" thickBot="1">
      <c r="A209" s="3"/>
      <c r="B209" s="3">
        <v>201</v>
      </c>
      <c r="C209" s="3" t="s">
        <v>2739</v>
      </c>
      <c r="D209" s="3" t="s">
        <v>66</v>
      </c>
      <c r="E209" s="3">
        <v>1800</v>
      </c>
      <c r="F209" s="2" t="s">
        <v>67</v>
      </c>
      <c r="G209" s="3"/>
      <c r="H209" s="5"/>
      <c r="I209" s="3"/>
      <c r="J209" s="3"/>
      <c r="K209" s="25" t="s">
        <v>2740</v>
      </c>
      <c r="L209" t="str">
        <f t="shared" si="6"/>
        <v>VARCHAR(1800),</v>
      </c>
      <c r="N209" s="38" t="str">
        <f t="shared" si="7"/>
        <v>COMMENT ON COLUMN bfs_entry_information.percentage_op_category_4 IS '比率指定opカテゴリ4';</v>
      </c>
      <c r="R209" s="34" t="s">
        <v>2741</v>
      </c>
    </row>
    <row r="210" spans="1:18" ht="19.5" thickBot="1">
      <c r="A210" s="6"/>
      <c r="B210" s="6">
        <v>202</v>
      </c>
      <c r="C210" s="6" t="s">
        <v>2742</v>
      </c>
      <c r="D210" s="6" t="s">
        <v>66</v>
      </c>
      <c r="E210" s="6">
        <v>1800</v>
      </c>
      <c r="F210" s="7" t="s">
        <v>67</v>
      </c>
      <c r="G210" s="6"/>
      <c r="H210" s="8"/>
      <c r="I210" s="6"/>
      <c r="J210" s="6"/>
      <c r="K210" s="25" t="s">
        <v>2743</v>
      </c>
      <c r="L210" t="str">
        <f t="shared" si="6"/>
        <v>VARCHAR(1800),</v>
      </c>
      <c r="N210" s="38" t="str">
        <f t="shared" si="7"/>
        <v>COMMENT ON COLUMN bfs_entry_information.percentage_op_4 IS '比率指定op4';</v>
      </c>
      <c r="R210" s="34" t="s">
        <v>2744</v>
      </c>
    </row>
    <row r="211" spans="1:18" ht="19.5" thickBot="1">
      <c r="A211" s="3"/>
      <c r="B211" s="3">
        <v>203</v>
      </c>
      <c r="C211" s="3" t="s">
        <v>2745</v>
      </c>
      <c r="D211" s="3" t="s">
        <v>66</v>
      </c>
      <c r="E211" s="3">
        <v>24</v>
      </c>
      <c r="F211" s="2" t="s">
        <v>67</v>
      </c>
      <c r="G211" s="3"/>
      <c r="H211" s="5"/>
      <c r="I211" s="3"/>
      <c r="J211" s="3"/>
      <c r="K211" s="25" t="s">
        <v>2746</v>
      </c>
      <c r="L211" t="str">
        <f t="shared" si="6"/>
        <v>VARCHAR(24),</v>
      </c>
      <c r="N211" s="38" t="str">
        <f t="shared" si="7"/>
        <v>COMMENT ON COLUMN bfs_entry_information.op_ratio_4 IS 'op比率4';</v>
      </c>
      <c r="R211" s="34" t="s">
        <v>2747</v>
      </c>
    </row>
    <row r="212" spans="1:18" ht="19.5" thickBot="1">
      <c r="A212" s="6"/>
      <c r="B212" s="6">
        <v>204</v>
      </c>
      <c r="C212" s="6" t="s">
        <v>2748</v>
      </c>
      <c r="D212" s="6" t="s">
        <v>66</v>
      </c>
      <c r="E212" s="6">
        <v>1800</v>
      </c>
      <c r="F212" s="7" t="s">
        <v>67</v>
      </c>
      <c r="G212" s="6"/>
      <c r="H212" s="8"/>
      <c r="I212" s="6"/>
      <c r="J212" s="6"/>
      <c r="K212" s="25" t="s">
        <v>2749</v>
      </c>
      <c r="L212" t="str">
        <f t="shared" si="6"/>
        <v>VARCHAR(1800),</v>
      </c>
      <c r="N212" s="38" t="str">
        <f t="shared" si="7"/>
        <v>COMMENT ON COLUMN bfs_entry_information.other_options_1 IS 'その他指定1';</v>
      </c>
      <c r="R212" s="34" t="s">
        <v>2750</v>
      </c>
    </row>
    <row r="213" spans="1:18" ht="19.5" thickBot="1">
      <c r="A213" s="3"/>
      <c r="B213" s="3">
        <v>205</v>
      </c>
      <c r="C213" s="3" t="s">
        <v>2751</v>
      </c>
      <c r="D213" s="3" t="s">
        <v>66</v>
      </c>
      <c r="E213" s="3">
        <v>1800</v>
      </c>
      <c r="F213" s="2" t="s">
        <v>67</v>
      </c>
      <c r="G213" s="3"/>
      <c r="H213" s="5"/>
      <c r="I213" s="3"/>
      <c r="J213" s="3"/>
      <c r="K213" s="25" t="s">
        <v>2752</v>
      </c>
      <c r="L213" t="str">
        <f t="shared" si="6"/>
        <v>VARCHAR(1800),</v>
      </c>
      <c r="N213" s="38" t="str">
        <f t="shared" si="7"/>
        <v>COMMENT ON COLUMN bfs_entry_information.other_options_2 IS 'その他指定2';</v>
      </c>
      <c r="R213" s="34" t="s">
        <v>2753</v>
      </c>
    </row>
    <row r="214" spans="1:18" ht="19.5" thickBot="1">
      <c r="A214" s="6"/>
      <c r="B214" s="6">
        <v>206</v>
      </c>
      <c r="C214" s="6" t="s">
        <v>2754</v>
      </c>
      <c r="D214" s="6" t="s">
        <v>66</v>
      </c>
      <c r="E214" s="6">
        <v>1800</v>
      </c>
      <c r="F214" s="7" t="s">
        <v>67</v>
      </c>
      <c r="G214" s="6"/>
      <c r="H214" s="8"/>
      <c r="I214" s="6"/>
      <c r="J214" s="6"/>
      <c r="K214" s="25" t="s">
        <v>2755</v>
      </c>
      <c r="L214" t="str">
        <f t="shared" si="6"/>
        <v>VARCHAR(1800),</v>
      </c>
      <c r="N214" s="38" t="str">
        <f t="shared" si="7"/>
        <v>COMMENT ON COLUMN bfs_entry_information.other_options_3 IS 'その他指定3';</v>
      </c>
      <c r="R214" s="34" t="s">
        <v>2756</v>
      </c>
    </row>
    <row r="215" spans="1:18" ht="19.5" thickBot="1">
      <c r="A215" s="3"/>
      <c r="B215" s="3">
        <v>207</v>
      </c>
      <c r="C215" s="3" t="s">
        <v>2757</v>
      </c>
      <c r="D215" s="3" t="s">
        <v>66</v>
      </c>
      <c r="E215" s="3">
        <v>1800</v>
      </c>
      <c r="F215" s="2" t="s">
        <v>67</v>
      </c>
      <c r="G215" s="3"/>
      <c r="H215" s="5"/>
      <c r="I215" s="3"/>
      <c r="J215" s="3"/>
      <c r="K215" s="25" t="s">
        <v>2758</v>
      </c>
      <c r="L215" t="str">
        <f t="shared" si="6"/>
        <v>VARCHAR(1800),</v>
      </c>
      <c r="N215" s="38" t="str">
        <f t="shared" si="7"/>
        <v>COMMENT ON COLUMN bfs_entry_information.other_options_4 IS 'その他指定4';</v>
      </c>
      <c r="R215" s="34" t="s">
        <v>2759</v>
      </c>
    </row>
    <row r="216" spans="1:18" ht="19.5" thickBot="1">
      <c r="A216" s="6"/>
      <c r="B216" s="6">
        <v>208</v>
      </c>
      <c r="C216" s="6" t="s">
        <v>2760</v>
      </c>
      <c r="D216" s="6" t="s">
        <v>66</v>
      </c>
      <c r="E216" s="6">
        <v>1800</v>
      </c>
      <c r="F216" s="7" t="s">
        <v>67</v>
      </c>
      <c r="G216" s="6"/>
      <c r="H216" s="8"/>
      <c r="I216" s="6"/>
      <c r="J216" s="6"/>
      <c r="K216" s="25" t="s">
        <v>2761</v>
      </c>
      <c r="L216" t="str">
        <f t="shared" si="6"/>
        <v>VARCHAR(1800),</v>
      </c>
      <c r="N216" s="38" t="str">
        <f t="shared" si="7"/>
        <v>COMMENT ON COLUMN bfs_entry_information.other_options_5 IS 'その他指定5';</v>
      </c>
      <c r="R216" s="34" t="s">
        <v>2762</v>
      </c>
    </row>
    <row r="217" spans="1:18" ht="19.5" thickBot="1">
      <c r="A217" s="3"/>
      <c r="B217" s="3">
        <v>209</v>
      </c>
      <c r="C217" s="3" t="s">
        <v>2763</v>
      </c>
      <c r="D217" s="3" t="s">
        <v>66</v>
      </c>
      <c r="E217" s="3">
        <v>1800</v>
      </c>
      <c r="F217" s="2" t="s">
        <v>67</v>
      </c>
      <c r="G217" s="3"/>
      <c r="H217" s="5"/>
      <c r="I217" s="3"/>
      <c r="J217" s="3"/>
      <c r="K217" s="25" t="s">
        <v>2764</v>
      </c>
      <c r="L217" t="str">
        <f t="shared" si="6"/>
        <v>VARCHAR(1800),</v>
      </c>
      <c r="N217" s="38" t="str">
        <f t="shared" si="7"/>
        <v>COMMENT ON COLUMN bfs_entry_information.other_options_6 IS 'その他指定6';</v>
      </c>
      <c r="R217" s="34" t="s">
        <v>2765</v>
      </c>
    </row>
    <row r="218" spans="1:18" ht="19.5" thickBot="1">
      <c r="A218" s="6"/>
      <c r="B218" s="6">
        <v>210</v>
      </c>
      <c r="C218" s="6" t="s">
        <v>2766</v>
      </c>
      <c r="D218" s="6" t="s">
        <v>66</v>
      </c>
      <c r="E218" s="6">
        <v>1800</v>
      </c>
      <c r="F218" s="7" t="s">
        <v>67</v>
      </c>
      <c r="G218" s="6"/>
      <c r="H218" s="8"/>
      <c r="I218" s="6"/>
      <c r="J218" s="6"/>
      <c r="K218" s="25" t="s">
        <v>2767</v>
      </c>
      <c r="L218" t="str">
        <f t="shared" si="6"/>
        <v>VARCHAR(1800),</v>
      </c>
      <c r="N218" s="38" t="str">
        <f t="shared" si="7"/>
        <v>COMMENT ON COLUMN bfs_entry_information.other_options_7 IS 'その他指定7';</v>
      </c>
      <c r="R218" s="34" t="s">
        <v>2768</v>
      </c>
    </row>
    <row r="219" spans="1:18" ht="19.5" thickBot="1">
      <c r="A219" s="3"/>
      <c r="B219" s="3">
        <v>211</v>
      </c>
      <c r="C219" s="3" t="s">
        <v>2769</v>
      </c>
      <c r="D219" s="3" t="s">
        <v>66</v>
      </c>
      <c r="E219" s="3">
        <v>1800</v>
      </c>
      <c r="F219" s="2" t="s">
        <v>67</v>
      </c>
      <c r="G219" s="3"/>
      <c r="H219" s="5"/>
      <c r="I219" s="3"/>
      <c r="J219" s="3"/>
      <c r="K219" s="25" t="s">
        <v>2770</v>
      </c>
      <c r="L219" t="str">
        <f t="shared" si="6"/>
        <v>VARCHAR(1800),</v>
      </c>
      <c r="N219" s="38" t="str">
        <f t="shared" si="7"/>
        <v>COMMENT ON COLUMN bfs_entry_information.other_options_8 IS 'その他指定8';</v>
      </c>
      <c r="R219" s="34" t="s">
        <v>2771</v>
      </c>
    </row>
    <row r="220" spans="1:18" ht="19.5" thickBot="1">
      <c r="A220" s="6"/>
      <c r="B220" s="6">
        <v>212</v>
      </c>
      <c r="C220" s="6" t="s">
        <v>2772</v>
      </c>
      <c r="D220" s="6" t="s">
        <v>66</v>
      </c>
      <c r="E220" s="6">
        <v>12000</v>
      </c>
      <c r="F220" s="7" t="s">
        <v>67</v>
      </c>
      <c r="G220" s="6"/>
      <c r="H220" s="8"/>
      <c r="I220" s="6"/>
      <c r="J220" s="6"/>
      <c r="K220" s="25" t="s">
        <v>2773</v>
      </c>
      <c r="L220" t="str">
        <f t="shared" si="6"/>
        <v>VARCHAR(12000),</v>
      </c>
      <c r="N220" s="38" t="str">
        <f t="shared" si="7"/>
        <v>COMMENT ON COLUMN bfs_entry_information.additional_information IS '補足';</v>
      </c>
      <c r="R220" s="34" t="s">
        <v>2774</v>
      </c>
    </row>
    <row r="221" spans="1:18" ht="19.5" thickBot="1">
      <c r="A221" s="3"/>
      <c r="B221" s="3">
        <v>213</v>
      </c>
      <c r="C221" s="3" t="s">
        <v>2775</v>
      </c>
      <c r="D221" s="3" t="s">
        <v>66</v>
      </c>
      <c r="E221" s="3">
        <v>900</v>
      </c>
      <c r="F221" s="2" t="s">
        <v>67</v>
      </c>
      <c r="G221" s="3"/>
      <c r="H221" s="5"/>
      <c r="I221" s="3"/>
      <c r="J221" s="3"/>
      <c r="K221" s="25" t="s">
        <v>2776</v>
      </c>
      <c r="L221" t="str">
        <f t="shared" si="6"/>
        <v>VARCHAR(900),</v>
      </c>
      <c r="N221" s="38" t="str">
        <f t="shared" si="7"/>
        <v>COMMENT ON COLUMN bfs_entry_information.channel IS 'チャネル';</v>
      </c>
      <c r="R221" s="34" t="s">
        <v>2777</v>
      </c>
    </row>
    <row r="222" spans="1:18" ht="19.5" thickBot="1">
      <c r="A222" s="6"/>
      <c r="B222" s="6">
        <v>214</v>
      </c>
      <c r="C222" s="6" t="s">
        <v>2778</v>
      </c>
      <c r="D222" s="6" t="s">
        <v>66</v>
      </c>
      <c r="E222" s="6">
        <v>900</v>
      </c>
      <c r="F222" s="7" t="s">
        <v>67</v>
      </c>
      <c r="G222" s="6"/>
      <c r="H222" s="8"/>
      <c r="I222" s="6"/>
      <c r="J222" s="6"/>
      <c r="K222" s="25" t="s">
        <v>2779</v>
      </c>
      <c r="L222" t="str">
        <f t="shared" si="6"/>
        <v>VARCHAR(900),</v>
      </c>
      <c r="N222" s="38" t="str">
        <f t="shared" si="7"/>
        <v>COMMENT ON COLUMN bfs_entry_information.estimated_status IS '試算ステータス';</v>
      </c>
      <c r="R222" s="34" t="s">
        <v>2780</v>
      </c>
    </row>
    <row r="223" spans="1:18" ht="19.5" thickBot="1">
      <c r="A223" s="3"/>
      <c r="B223" s="3">
        <v>215</v>
      </c>
      <c r="C223" s="3" t="s">
        <v>2781</v>
      </c>
      <c r="D223" s="3" t="s">
        <v>66</v>
      </c>
      <c r="E223" s="3">
        <v>60</v>
      </c>
      <c r="F223" s="2" t="s">
        <v>67</v>
      </c>
      <c r="G223" s="3"/>
      <c r="H223" s="5"/>
      <c r="I223" s="3"/>
      <c r="J223" s="3"/>
      <c r="K223" s="25" t="s">
        <v>2782</v>
      </c>
      <c r="L223" t="str">
        <f t="shared" si="6"/>
        <v>VARCHAR(60),</v>
      </c>
      <c r="N223" s="38" t="str">
        <f t="shared" si="7"/>
        <v>COMMENT ON COLUMN bfs_entry_information.rental_used_start_date IS 'rental_中古_開始年月日';</v>
      </c>
      <c r="R223" s="34" t="s">
        <v>2783</v>
      </c>
    </row>
    <row r="224" spans="1:18" ht="19.5" thickBot="1">
      <c r="A224" s="6"/>
      <c r="B224" s="6">
        <v>216</v>
      </c>
      <c r="C224" s="6" t="s">
        <v>2784</v>
      </c>
      <c r="D224" s="6" t="s">
        <v>66</v>
      </c>
      <c r="E224" s="6">
        <v>6</v>
      </c>
      <c r="F224" s="7" t="s">
        <v>67</v>
      </c>
      <c r="G224" s="6"/>
      <c r="H224" s="8"/>
      <c r="I224" s="6"/>
      <c r="J224" s="6"/>
      <c r="K224" s="25" t="s">
        <v>2785</v>
      </c>
      <c r="L224" t="str">
        <f t="shared" si="6"/>
        <v>VARCHAR(6),</v>
      </c>
      <c r="N224" s="38" t="str">
        <f t="shared" si="7"/>
        <v>COMMENT ON COLUMN bfs_entry_information.rental_used_period_months IS 'rental_中古_期間_ヶ月';</v>
      </c>
      <c r="R224" s="34" t="s">
        <v>2786</v>
      </c>
    </row>
    <row r="225" spans="11:18">
      <c r="K225" t="str">
        <f>"CONSTRAINT pk_"&amp;K3&amp;" PRIMARY KEY (id));"</f>
        <v>CONSTRAINT pk_bfs_entry_information PRIMARY KEY (id));</v>
      </c>
      <c r="R225" s="33" t="s">
        <v>2787</v>
      </c>
    </row>
    <row r="226" spans="11:18">
      <c r="R226" s="33" t="s">
        <v>2788</v>
      </c>
    </row>
    <row r="227" spans="11:18">
      <c r="R227" s="33" t="s">
        <v>2789</v>
      </c>
    </row>
    <row r="228" spans="11:18">
      <c r="R228" s="33" t="s">
        <v>2790</v>
      </c>
    </row>
    <row r="229" spans="11:18">
      <c r="R229" s="33" t="s">
        <v>2791</v>
      </c>
    </row>
    <row r="230" spans="11:18">
      <c r="R230" s="33" t="s">
        <v>2792</v>
      </c>
    </row>
    <row r="231" spans="11:18">
      <c r="R231" s="33" t="s">
        <v>2793</v>
      </c>
    </row>
    <row r="232" spans="11:18">
      <c r="R232" s="33" t="s">
        <v>2794</v>
      </c>
    </row>
    <row r="233" spans="11:18">
      <c r="R233" s="33" t="s">
        <v>2795</v>
      </c>
    </row>
    <row r="234" spans="11:18">
      <c r="R234" s="33" t="s">
        <v>2796</v>
      </c>
    </row>
    <row r="235" spans="11:18">
      <c r="R235" s="33" t="s">
        <v>2797</v>
      </c>
    </row>
    <row r="236" spans="11:18">
      <c r="R236" s="33" t="s">
        <v>2798</v>
      </c>
    </row>
    <row r="237" spans="11:18">
      <c r="R237" s="33" t="s">
        <v>2799</v>
      </c>
    </row>
    <row r="238" spans="11:18">
      <c r="R238" s="33" t="s">
        <v>2800</v>
      </c>
    </row>
    <row r="239" spans="11:18">
      <c r="R239" s="33" t="s">
        <v>2801</v>
      </c>
    </row>
    <row r="240" spans="11:18">
      <c r="R240" s="33" t="s">
        <v>2802</v>
      </c>
    </row>
    <row r="241" spans="18:18">
      <c r="R241" s="33" t="s">
        <v>2803</v>
      </c>
    </row>
    <row r="242" spans="18:18">
      <c r="R242" s="33" t="s">
        <v>2804</v>
      </c>
    </row>
    <row r="243" spans="18:18">
      <c r="R243" s="33" t="s">
        <v>2805</v>
      </c>
    </row>
    <row r="244" spans="18:18">
      <c r="R244" s="33" t="s">
        <v>2806</v>
      </c>
    </row>
    <row r="245" spans="18:18">
      <c r="R245" s="33" t="s">
        <v>2807</v>
      </c>
    </row>
    <row r="246" spans="18:18">
      <c r="R246" s="33" t="s">
        <v>2808</v>
      </c>
    </row>
    <row r="247" spans="18:18">
      <c r="R247" s="33" t="s">
        <v>2809</v>
      </c>
    </row>
    <row r="248" spans="18:18">
      <c r="R248" s="33" t="s">
        <v>2810</v>
      </c>
    </row>
    <row r="249" spans="18:18">
      <c r="R249" s="33" t="s">
        <v>2811</v>
      </c>
    </row>
    <row r="250" spans="18:18">
      <c r="R250" s="33" t="s">
        <v>2812</v>
      </c>
    </row>
    <row r="251" spans="18:18">
      <c r="R251" s="33" t="s">
        <v>2813</v>
      </c>
    </row>
    <row r="252" spans="18:18">
      <c r="R252" s="33" t="s">
        <v>2814</v>
      </c>
    </row>
    <row r="253" spans="18:18">
      <c r="R253" s="33" t="s">
        <v>2815</v>
      </c>
    </row>
    <row r="254" spans="18:18">
      <c r="R254" s="33" t="s">
        <v>2816</v>
      </c>
    </row>
    <row r="255" spans="18:18">
      <c r="R255" s="33" t="s">
        <v>2817</v>
      </c>
    </row>
    <row r="256" spans="18:18">
      <c r="R256" s="33" t="s">
        <v>2818</v>
      </c>
    </row>
    <row r="257" spans="18:18">
      <c r="R257" s="33" t="s">
        <v>2819</v>
      </c>
    </row>
    <row r="258" spans="18:18">
      <c r="R258" s="33" t="s">
        <v>2820</v>
      </c>
    </row>
    <row r="259" spans="18:18">
      <c r="R259" s="33" t="s">
        <v>2821</v>
      </c>
    </row>
    <row r="260" spans="18:18">
      <c r="R260" s="33" t="s">
        <v>2822</v>
      </c>
    </row>
    <row r="261" spans="18:18">
      <c r="R261" s="33" t="s">
        <v>2823</v>
      </c>
    </row>
    <row r="262" spans="18:18">
      <c r="R262" s="33" t="s">
        <v>2824</v>
      </c>
    </row>
    <row r="263" spans="18:18">
      <c r="R263" s="33" t="s">
        <v>2825</v>
      </c>
    </row>
    <row r="264" spans="18:18">
      <c r="R264" s="33" t="s">
        <v>2826</v>
      </c>
    </row>
    <row r="265" spans="18:18">
      <c r="R265" s="33" t="s">
        <v>2827</v>
      </c>
    </row>
    <row r="266" spans="18:18">
      <c r="R266" s="33" t="s">
        <v>2828</v>
      </c>
    </row>
    <row r="267" spans="18:18">
      <c r="R267" s="33" t="s">
        <v>2829</v>
      </c>
    </row>
    <row r="268" spans="18:18">
      <c r="R268" s="33" t="s">
        <v>2830</v>
      </c>
    </row>
    <row r="269" spans="18:18">
      <c r="R269" s="33" t="s">
        <v>2831</v>
      </c>
    </row>
    <row r="270" spans="18:18">
      <c r="R270" s="33" t="s">
        <v>2832</v>
      </c>
    </row>
    <row r="271" spans="18:18">
      <c r="R271" s="33" t="s">
        <v>2833</v>
      </c>
    </row>
    <row r="272" spans="18:18">
      <c r="R272" s="33" t="s">
        <v>2834</v>
      </c>
    </row>
    <row r="273" spans="18:18">
      <c r="R273" s="33" t="s">
        <v>2835</v>
      </c>
    </row>
    <row r="274" spans="18:18">
      <c r="R274" s="33" t="s">
        <v>2836</v>
      </c>
    </row>
    <row r="275" spans="18:18">
      <c r="R275" s="33" t="s">
        <v>2837</v>
      </c>
    </row>
    <row r="276" spans="18:18">
      <c r="R276" s="33" t="s">
        <v>2838</v>
      </c>
    </row>
    <row r="277" spans="18:18">
      <c r="R277" s="33" t="s">
        <v>2839</v>
      </c>
    </row>
    <row r="278" spans="18:18">
      <c r="R278" s="33" t="s">
        <v>2840</v>
      </c>
    </row>
    <row r="279" spans="18:18">
      <c r="R279" s="33" t="s">
        <v>2841</v>
      </c>
    </row>
    <row r="280" spans="18:18">
      <c r="R280" s="33" t="s">
        <v>2842</v>
      </c>
    </row>
    <row r="281" spans="18:18">
      <c r="R281" s="33" t="s">
        <v>2843</v>
      </c>
    </row>
    <row r="282" spans="18:18">
      <c r="R282" s="33" t="s">
        <v>2844</v>
      </c>
    </row>
    <row r="283" spans="18:18">
      <c r="R283" s="33" t="s">
        <v>2845</v>
      </c>
    </row>
    <row r="284" spans="18:18">
      <c r="R284" s="33" t="s">
        <v>2846</v>
      </c>
    </row>
    <row r="285" spans="18:18">
      <c r="R285" s="33" t="s">
        <v>2847</v>
      </c>
    </row>
    <row r="286" spans="18:18">
      <c r="R286" s="33" t="s">
        <v>2848</v>
      </c>
    </row>
    <row r="287" spans="18:18">
      <c r="R287" s="33" t="s">
        <v>2849</v>
      </c>
    </row>
    <row r="288" spans="18:18">
      <c r="R288" s="33" t="s">
        <v>2850</v>
      </c>
    </row>
    <row r="289" spans="18:18">
      <c r="R289" s="33" t="s">
        <v>2851</v>
      </c>
    </row>
    <row r="290" spans="18:18">
      <c r="R290" s="33" t="s">
        <v>2852</v>
      </c>
    </row>
    <row r="291" spans="18:18">
      <c r="R291" s="33" t="s">
        <v>2853</v>
      </c>
    </row>
    <row r="292" spans="18:18">
      <c r="R292" s="33" t="s">
        <v>2854</v>
      </c>
    </row>
    <row r="293" spans="18:18">
      <c r="R293" s="33" t="s">
        <v>2855</v>
      </c>
    </row>
    <row r="294" spans="18:18">
      <c r="R294" s="33" t="s">
        <v>2856</v>
      </c>
    </row>
    <row r="295" spans="18:18">
      <c r="R295" s="33" t="s">
        <v>2857</v>
      </c>
    </row>
    <row r="296" spans="18:18">
      <c r="R296" s="33" t="s">
        <v>2858</v>
      </c>
    </row>
    <row r="297" spans="18:18">
      <c r="R297" s="33" t="s">
        <v>2859</v>
      </c>
    </row>
    <row r="298" spans="18:18">
      <c r="R298" s="33" t="s">
        <v>2860</v>
      </c>
    </row>
    <row r="299" spans="18:18">
      <c r="R299" s="33" t="s">
        <v>2861</v>
      </c>
    </row>
    <row r="300" spans="18:18">
      <c r="R300" s="33" t="s">
        <v>2862</v>
      </c>
    </row>
    <row r="301" spans="18:18">
      <c r="R301" s="33" t="s">
        <v>2863</v>
      </c>
    </row>
    <row r="302" spans="18:18">
      <c r="R302" s="33" t="s">
        <v>2864</v>
      </c>
    </row>
    <row r="303" spans="18:18">
      <c r="R303" s="33" t="s">
        <v>2865</v>
      </c>
    </row>
    <row r="304" spans="18:18">
      <c r="R304" s="33" t="s">
        <v>2866</v>
      </c>
    </row>
    <row r="305" spans="18:18">
      <c r="R305" s="33" t="s">
        <v>2867</v>
      </c>
    </row>
    <row r="306" spans="18:18">
      <c r="R306" s="33" t="s">
        <v>2868</v>
      </c>
    </row>
    <row r="307" spans="18:18">
      <c r="R307" s="33" t="s">
        <v>2869</v>
      </c>
    </row>
    <row r="308" spans="18:18">
      <c r="R308" s="33" t="s">
        <v>2870</v>
      </c>
    </row>
    <row r="309" spans="18:18">
      <c r="R309" s="33" t="s">
        <v>2871</v>
      </c>
    </row>
    <row r="310" spans="18:18">
      <c r="R310" s="33" t="s">
        <v>2872</v>
      </c>
    </row>
    <row r="311" spans="18:18">
      <c r="R311" s="33" t="s">
        <v>2873</v>
      </c>
    </row>
    <row r="312" spans="18:18">
      <c r="R312" s="33" t="s">
        <v>2874</v>
      </c>
    </row>
    <row r="313" spans="18:18">
      <c r="R313" s="33" t="s">
        <v>2875</v>
      </c>
    </row>
    <row r="314" spans="18:18">
      <c r="R314" s="33" t="s">
        <v>2876</v>
      </c>
    </row>
    <row r="315" spans="18:18">
      <c r="R315" s="33" t="s">
        <v>2877</v>
      </c>
    </row>
    <row r="316" spans="18:18">
      <c r="R316" s="33" t="s">
        <v>2878</v>
      </c>
    </row>
    <row r="317" spans="18:18">
      <c r="R317" s="33" t="s">
        <v>2879</v>
      </c>
    </row>
    <row r="318" spans="18:18">
      <c r="R318" s="33" t="s">
        <v>2880</v>
      </c>
    </row>
    <row r="319" spans="18:18">
      <c r="R319" s="33" t="s">
        <v>2881</v>
      </c>
    </row>
    <row r="320" spans="18:18">
      <c r="R320" s="33" t="s">
        <v>2882</v>
      </c>
    </row>
    <row r="321" spans="18:18">
      <c r="R321" s="33" t="s">
        <v>2883</v>
      </c>
    </row>
    <row r="322" spans="18:18">
      <c r="R322" s="33" t="s">
        <v>2884</v>
      </c>
    </row>
    <row r="323" spans="18:18">
      <c r="R323" s="33" t="s">
        <v>2885</v>
      </c>
    </row>
    <row r="324" spans="18:18">
      <c r="R324" s="33" t="s">
        <v>2886</v>
      </c>
    </row>
    <row r="325" spans="18:18">
      <c r="R325" s="33" t="s">
        <v>2887</v>
      </c>
    </row>
    <row r="326" spans="18:18">
      <c r="R326" s="33" t="s">
        <v>2888</v>
      </c>
    </row>
    <row r="327" spans="18:18">
      <c r="R327" s="33" t="s">
        <v>2889</v>
      </c>
    </row>
    <row r="328" spans="18:18">
      <c r="R328" s="33" t="s">
        <v>2890</v>
      </c>
    </row>
    <row r="329" spans="18:18">
      <c r="R329" s="33" t="s">
        <v>2891</v>
      </c>
    </row>
    <row r="330" spans="18:18">
      <c r="R330" s="33" t="s">
        <v>2892</v>
      </c>
    </row>
    <row r="331" spans="18:18">
      <c r="R331" s="33" t="s">
        <v>2893</v>
      </c>
    </row>
    <row r="332" spans="18:18">
      <c r="R332" s="33" t="s">
        <v>2894</v>
      </c>
    </row>
    <row r="333" spans="18:18">
      <c r="R333" s="33" t="s">
        <v>2895</v>
      </c>
    </row>
    <row r="334" spans="18:18">
      <c r="R334" s="33" t="s">
        <v>2896</v>
      </c>
    </row>
    <row r="335" spans="18:18">
      <c r="R335" s="33" t="s">
        <v>2897</v>
      </c>
    </row>
    <row r="336" spans="18:18">
      <c r="R336" s="33" t="s">
        <v>2898</v>
      </c>
    </row>
    <row r="337" spans="18:18">
      <c r="R337" s="33" t="s">
        <v>2899</v>
      </c>
    </row>
    <row r="338" spans="18:18">
      <c r="R338" s="33" t="s">
        <v>2900</v>
      </c>
    </row>
    <row r="339" spans="18:18">
      <c r="R339" s="33" t="s">
        <v>2901</v>
      </c>
    </row>
    <row r="340" spans="18:18">
      <c r="R340" s="33" t="s">
        <v>2902</v>
      </c>
    </row>
    <row r="341" spans="18:18">
      <c r="R341" s="33" t="s">
        <v>2903</v>
      </c>
    </row>
    <row r="342" spans="18:18">
      <c r="R342" s="33" t="s">
        <v>2904</v>
      </c>
    </row>
    <row r="343" spans="18:18">
      <c r="R343" s="33" t="s">
        <v>2905</v>
      </c>
    </row>
    <row r="344" spans="18:18">
      <c r="R344" s="33" t="s">
        <v>2906</v>
      </c>
    </row>
    <row r="345" spans="18:18">
      <c r="R345" s="33" t="s">
        <v>2907</v>
      </c>
    </row>
    <row r="346" spans="18:18">
      <c r="R346" s="33" t="s">
        <v>2908</v>
      </c>
    </row>
    <row r="347" spans="18:18">
      <c r="R347" s="33" t="s">
        <v>2909</v>
      </c>
    </row>
    <row r="348" spans="18:18">
      <c r="R348" s="33" t="s">
        <v>2910</v>
      </c>
    </row>
    <row r="349" spans="18:18">
      <c r="R349" s="33" t="s">
        <v>2911</v>
      </c>
    </row>
    <row r="350" spans="18:18">
      <c r="R350" s="33" t="s">
        <v>2912</v>
      </c>
    </row>
    <row r="351" spans="18:18">
      <c r="R351" s="33" t="s">
        <v>2913</v>
      </c>
    </row>
    <row r="352" spans="18:18">
      <c r="R352" s="33" t="s">
        <v>2914</v>
      </c>
    </row>
    <row r="353" spans="18:18">
      <c r="R353" s="33" t="s">
        <v>2915</v>
      </c>
    </row>
    <row r="354" spans="18:18">
      <c r="R354" s="33" t="s">
        <v>2916</v>
      </c>
    </row>
    <row r="355" spans="18:18">
      <c r="R355" s="33" t="s">
        <v>2917</v>
      </c>
    </row>
    <row r="356" spans="18:18">
      <c r="R356" s="33" t="s">
        <v>2918</v>
      </c>
    </row>
    <row r="357" spans="18:18">
      <c r="R357" s="33" t="s">
        <v>2919</v>
      </c>
    </row>
    <row r="358" spans="18:18">
      <c r="R358" s="33" t="s">
        <v>2920</v>
      </c>
    </row>
    <row r="359" spans="18:18">
      <c r="R359" s="33" t="s">
        <v>2921</v>
      </c>
    </row>
    <row r="360" spans="18:18">
      <c r="R360" s="33" t="s">
        <v>2922</v>
      </c>
    </row>
    <row r="361" spans="18:18">
      <c r="R361" s="33" t="s">
        <v>2923</v>
      </c>
    </row>
    <row r="362" spans="18:18">
      <c r="R362" s="33" t="s">
        <v>2924</v>
      </c>
    </row>
    <row r="363" spans="18:18">
      <c r="R363" s="33" t="s">
        <v>2925</v>
      </c>
    </row>
    <row r="364" spans="18:18">
      <c r="R364" s="33" t="s">
        <v>2926</v>
      </c>
    </row>
    <row r="365" spans="18:18">
      <c r="R365" s="33" t="s">
        <v>2927</v>
      </c>
    </row>
    <row r="366" spans="18:18">
      <c r="R366" s="33" t="s">
        <v>2928</v>
      </c>
    </row>
    <row r="367" spans="18:18">
      <c r="R367" s="33" t="s">
        <v>2929</v>
      </c>
    </row>
    <row r="368" spans="18:18">
      <c r="R368" s="33" t="s">
        <v>2930</v>
      </c>
    </row>
    <row r="369" spans="18:18">
      <c r="R369" s="33" t="s">
        <v>2931</v>
      </c>
    </row>
    <row r="370" spans="18:18">
      <c r="R370" s="33" t="s">
        <v>2932</v>
      </c>
    </row>
    <row r="371" spans="18:18">
      <c r="R371" s="33" t="s">
        <v>2933</v>
      </c>
    </row>
    <row r="372" spans="18:18">
      <c r="R372" s="33" t="s">
        <v>2934</v>
      </c>
    </row>
    <row r="373" spans="18:18">
      <c r="R373" s="33" t="s">
        <v>2935</v>
      </c>
    </row>
    <row r="374" spans="18:18">
      <c r="R374" s="33" t="s">
        <v>2936</v>
      </c>
    </row>
    <row r="375" spans="18:18">
      <c r="R375" s="33" t="s">
        <v>2937</v>
      </c>
    </row>
    <row r="376" spans="18:18">
      <c r="R376" s="33" t="s">
        <v>2938</v>
      </c>
    </row>
    <row r="377" spans="18:18">
      <c r="R377" s="33" t="s">
        <v>2939</v>
      </c>
    </row>
    <row r="378" spans="18:18">
      <c r="R378" s="33" t="s">
        <v>2940</v>
      </c>
    </row>
    <row r="379" spans="18:18">
      <c r="R379" s="33" t="s">
        <v>2941</v>
      </c>
    </row>
    <row r="380" spans="18:18">
      <c r="R380" s="33" t="s">
        <v>2942</v>
      </c>
    </row>
    <row r="381" spans="18:18">
      <c r="R381" s="33" t="s">
        <v>2943</v>
      </c>
    </row>
    <row r="382" spans="18:18">
      <c r="R382" s="33" t="s">
        <v>2944</v>
      </c>
    </row>
    <row r="383" spans="18:18">
      <c r="R383" s="33" t="s">
        <v>2945</v>
      </c>
    </row>
    <row r="384" spans="18:18">
      <c r="R384" s="33" t="s">
        <v>2946</v>
      </c>
    </row>
    <row r="385" spans="18:18">
      <c r="R385" s="33" t="s">
        <v>2947</v>
      </c>
    </row>
    <row r="386" spans="18:18">
      <c r="R386" s="33" t="s">
        <v>2948</v>
      </c>
    </row>
    <row r="387" spans="18:18">
      <c r="R387" s="33" t="s">
        <v>2949</v>
      </c>
    </row>
    <row r="388" spans="18:18">
      <c r="R388" s="33" t="s">
        <v>2950</v>
      </c>
    </row>
    <row r="389" spans="18:18">
      <c r="R389" s="33" t="s">
        <v>2951</v>
      </c>
    </row>
    <row r="390" spans="18:18">
      <c r="R390" s="33" t="s">
        <v>2952</v>
      </c>
    </row>
    <row r="391" spans="18:18">
      <c r="R391" s="33" t="s">
        <v>2953</v>
      </c>
    </row>
    <row r="392" spans="18:18">
      <c r="R392" s="33" t="s">
        <v>2954</v>
      </c>
    </row>
    <row r="393" spans="18:18">
      <c r="R393" s="33" t="s">
        <v>2955</v>
      </c>
    </row>
    <row r="394" spans="18:18">
      <c r="R394" s="33" t="s">
        <v>2956</v>
      </c>
    </row>
    <row r="395" spans="18:18">
      <c r="R395" s="33" t="s">
        <v>2957</v>
      </c>
    </row>
    <row r="396" spans="18:18">
      <c r="R396" s="33" t="s">
        <v>2958</v>
      </c>
    </row>
    <row r="397" spans="18:18">
      <c r="R397" s="33" t="s">
        <v>2959</v>
      </c>
    </row>
    <row r="398" spans="18:18">
      <c r="R398" s="33" t="s">
        <v>2960</v>
      </c>
    </row>
    <row r="399" spans="18:18">
      <c r="R399" s="33" t="s">
        <v>2961</v>
      </c>
    </row>
    <row r="400" spans="18:18">
      <c r="R400" s="33" t="s">
        <v>2962</v>
      </c>
    </row>
    <row r="401" spans="18:18">
      <c r="R401" s="33" t="s">
        <v>2963</v>
      </c>
    </row>
    <row r="402" spans="18:18">
      <c r="R402" s="33" t="s">
        <v>2964</v>
      </c>
    </row>
    <row r="403" spans="18:18">
      <c r="R403" s="33" t="s">
        <v>2965</v>
      </c>
    </row>
    <row r="404" spans="18:18">
      <c r="R404" s="33" t="s">
        <v>2966</v>
      </c>
    </row>
    <row r="405" spans="18:18">
      <c r="R405" s="33" t="s">
        <v>2967</v>
      </c>
    </row>
    <row r="406" spans="18:18">
      <c r="R406" s="33" t="s">
        <v>2968</v>
      </c>
    </row>
    <row r="407" spans="18:18">
      <c r="R407" s="33" t="s">
        <v>2969</v>
      </c>
    </row>
    <row r="408" spans="18:18">
      <c r="R408" s="33" t="s">
        <v>2970</v>
      </c>
    </row>
    <row r="409" spans="18:18">
      <c r="R409" s="33" t="s">
        <v>2971</v>
      </c>
    </row>
    <row r="410" spans="18:18">
      <c r="R410" s="33" t="s">
        <v>2972</v>
      </c>
    </row>
    <row r="411" spans="18:18">
      <c r="R411" s="33" t="s">
        <v>2973</v>
      </c>
    </row>
    <row r="412" spans="18:18">
      <c r="R412" s="33" t="s">
        <v>2974</v>
      </c>
    </row>
    <row r="413" spans="18:18">
      <c r="R413" s="33" t="s">
        <v>2975</v>
      </c>
    </row>
    <row r="414" spans="18:18">
      <c r="R414" s="33" t="s">
        <v>2976</v>
      </c>
    </row>
    <row r="415" spans="18:18">
      <c r="R415" s="33" t="s">
        <v>2977</v>
      </c>
    </row>
    <row r="416" spans="18:18">
      <c r="R416" s="33" t="s">
        <v>2978</v>
      </c>
    </row>
    <row r="417" spans="18:18">
      <c r="R417" s="33" t="s">
        <v>2979</v>
      </c>
    </row>
    <row r="418" spans="18:18">
      <c r="R418" s="33" t="s">
        <v>2980</v>
      </c>
    </row>
    <row r="419" spans="18:18">
      <c r="R419" s="33" t="s">
        <v>2981</v>
      </c>
    </row>
    <row r="420" spans="18:18">
      <c r="R420" s="33" t="s">
        <v>2982</v>
      </c>
    </row>
    <row r="421" spans="18:18">
      <c r="R421" s="33" t="s">
        <v>2983</v>
      </c>
    </row>
    <row r="422" spans="18:18">
      <c r="R422" s="33" t="s">
        <v>2984</v>
      </c>
    </row>
    <row r="423" spans="18:18">
      <c r="R423" s="33" t="s">
        <v>2985</v>
      </c>
    </row>
    <row r="424" spans="18:18">
      <c r="R424" s="33" t="s">
        <v>2986</v>
      </c>
    </row>
    <row r="425" spans="18:18">
      <c r="R425" s="33" t="s">
        <v>2987</v>
      </c>
    </row>
    <row r="426" spans="18:18">
      <c r="R426" s="33" t="s">
        <v>2988</v>
      </c>
    </row>
    <row r="427" spans="18:18">
      <c r="R427" s="33" t="s">
        <v>2989</v>
      </c>
    </row>
    <row r="428" spans="18:18">
      <c r="R428" s="33" t="s">
        <v>2990</v>
      </c>
    </row>
    <row r="429" spans="18:18">
      <c r="R429" s="33" t="s">
        <v>2991</v>
      </c>
    </row>
    <row r="430" spans="18:18">
      <c r="R430" s="33" t="s">
        <v>2992</v>
      </c>
    </row>
    <row r="431" spans="18:18">
      <c r="R431" s="33" t="s">
        <v>2993</v>
      </c>
    </row>
    <row r="432" spans="18:18">
      <c r="R432" s="33" t="s">
        <v>2994</v>
      </c>
    </row>
    <row r="433" spans="18:18">
      <c r="R433" s="33" t="s">
        <v>2995</v>
      </c>
    </row>
    <row r="434" spans="18:18">
      <c r="R434" s="33" t="s">
        <v>2996</v>
      </c>
    </row>
    <row r="435" spans="18:18">
      <c r="R435" s="33" t="s">
        <v>2997</v>
      </c>
    </row>
    <row r="436" spans="18:18">
      <c r="R436" s="33" t="s">
        <v>2998</v>
      </c>
    </row>
    <row r="437" spans="18:18">
      <c r="R437" s="33" t="s">
        <v>2999</v>
      </c>
    </row>
    <row r="438" spans="18:18">
      <c r="R438" s="33" t="s">
        <v>3000</v>
      </c>
    </row>
    <row r="439" spans="18:18">
      <c r="R439" s="33" t="s">
        <v>3001</v>
      </c>
    </row>
    <row r="440" spans="18:18">
      <c r="R440" s="33" t="s">
        <v>3002</v>
      </c>
    </row>
    <row r="441" spans="18:18">
      <c r="R441" s="33" t="s">
        <v>3003</v>
      </c>
    </row>
    <row r="442" spans="18:18">
      <c r="R442" s="33" t="s">
        <v>3004</v>
      </c>
    </row>
    <row r="443" spans="18:18">
      <c r="R443" s="33" t="s">
        <v>3005</v>
      </c>
    </row>
  </sheetData>
  <mergeCells count="2">
    <mergeCell ref="C4:G4"/>
    <mergeCell ref="C5:G5"/>
  </mergeCells>
  <phoneticPr fontId="2"/>
  <hyperlinks>
    <hyperlink ref="H9" r:id="rId1" display="https://tools.l2.dwh.sb-sys.info/userhelp/data/komoku" xr:uid="{3F4BCDD7-4909-435E-B059-E70096807163}"/>
    <hyperlink ref="H10" r:id="rId2" display="https://tools.l2.dwh.sb-sys.info/userhelp/data/komoku" xr:uid="{C2CAA8DF-3BD8-4103-A1D0-215675D3EA55}"/>
    <hyperlink ref="H11" r:id="rId3" display="https://tools.l2.dwh.sb-sys.info/userhelp/data/komoku" xr:uid="{05906D43-FAAD-45FD-AC3F-59E1A1D92C0D}"/>
    <hyperlink ref="H12" r:id="rId4" display="https://tools.l2.dwh.sb-sys.info/userhelp/data/komoku" xr:uid="{44478E86-1C87-4279-8369-A40DF803D5BC}"/>
    <hyperlink ref="H13" r:id="rId5" display="https://tools.l2.dwh.sb-sys.info/userhelp/data/komoku" xr:uid="{8605F526-2FFB-4D9D-A58C-44C8BEBFD9B9}"/>
    <hyperlink ref="H14" r:id="rId6" display="https://tools.l2.dwh.sb-sys.info/userhelp/data/komoku" xr:uid="{DCCADCAB-FF20-461C-A2B7-91DAB8E596A6}"/>
    <hyperlink ref="H15" r:id="rId7" display="https://tools.l2.dwh.sb-sys.info/userhelp/data/komoku" xr:uid="{9EB4869B-7A9F-499E-BF00-6CFC155F4CDA}"/>
    <hyperlink ref="H16" r:id="rId8" display="https://tools.l2.dwh.sb-sys.info/userhelp/data/komoku" xr:uid="{3ABD96A1-C054-4CCF-98D3-B04E167C982A}"/>
    <hyperlink ref="H17" r:id="rId9" display="https://tools.l2.dwh.sb-sys.info/userhelp/data/komoku" xr:uid="{B555AF66-D08E-493E-91E8-B373E2B9B64E}"/>
    <hyperlink ref="H18" r:id="rId10" display="https://tools.l2.dwh.sb-sys.info/userhelp/data/komoku" xr:uid="{2AA16220-A9CA-491A-AF14-D676EFD5CDE0}"/>
    <hyperlink ref="H19" r:id="rId11" display="https://tools.l2.dwh.sb-sys.info/userhelp/data/komoku" xr:uid="{18C1D7C0-0DC8-493B-9575-9100230495F2}"/>
    <hyperlink ref="H20" r:id="rId12" display="https://tools.l2.dwh.sb-sys.info/userhelp/data/komoku" xr:uid="{CA84801D-7C16-40E8-BB67-8DA1A4475C75}"/>
    <hyperlink ref="H21" r:id="rId13" display="https://tools.l2.dwh.sb-sys.info/userhelp/data/komoku" xr:uid="{5A6AB7F8-55D9-4603-B9DA-EEFD9DDC4254}"/>
    <hyperlink ref="H22" r:id="rId14" display="https://tools.l2.dwh.sb-sys.info/userhelp/data/komoku" xr:uid="{BD9A2370-C7A5-4865-928F-498BB951AF3E}"/>
    <hyperlink ref="H23" r:id="rId15" display="https://tools.l2.dwh.sb-sys.info/userhelp/data/komoku" xr:uid="{859C57F0-62EA-4266-8E33-31DA09502A88}"/>
    <hyperlink ref="H24" r:id="rId16" display="https://tools.l2.dwh.sb-sys.info/userhelp/data/komoku" xr:uid="{C20CA1B1-C459-42E0-94EF-0424AAC7E7F1}"/>
    <hyperlink ref="H25" r:id="rId17" display="https://tools.l2.dwh.sb-sys.info/userhelp/data/komoku" xr:uid="{4F4C9BFB-494E-4AFC-A2DD-B5C8F537627D}"/>
    <hyperlink ref="H26" r:id="rId18" display="https://tools.l2.dwh.sb-sys.info/userhelp/data/komoku" xr:uid="{4047EDFD-46C8-437F-BACF-3B22EAD9AB81}"/>
    <hyperlink ref="H27" r:id="rId19" display="https://tools.l2.dwh.sb-sys.info/userhelp/data/komoku" xr:uid="{8AF5B3E3-AD32-4B94-B0B6-3DF3F7AAE52B}"/>
    <hyperlink ref="H28" r:id="rId20" display="https://tools.l2.dwh.sb-sys.info/userhelp/data/komoku" xr:uid="{7D65D1B5-110C-4811-AE6B-C567AE784863}"/>
    <hyperlink ref="H29" r:id="rId21" display="https://tools.l2.dwh.sb-sys.info/userhelp/data/komoku" xr:uid="{1000D010-BF19-421B-9153-F87CCBB69C56}"/>
    <hyperlink ref="H30" r:id="rId22" display="https://tools.l2.dwh.sb-sys.info/userhelp/data/komoku" xr:uid="{6E705474-FB36-4478-925D-86CB4451B5A0}"/>
    <hyperlink ref="H31" r:id="rId23" display="https://tools.l2.dwh.sb-sys.info/userhelp/data/komoku" xr:uid="{2BBC2888-37F3-46D6-B439-E4F823F34FED}"/>
    <hyperlink ref="H32" r:id="rId24" display="https://tools.l2.dwh.sb-sys.info/userhelp/data/komoku" xr:uid="{5642551A-8A62-4750-B46F-6AA442479053}"/>
    <hyperlink ref="H33" r:id="rId25" display="https://tools.l2.dwh.sb-sys.info/userhelp/data/komoku" xr:uid="{A965C3A0-7EE0-4C89-AD9D-9828DA0FACC1}"/>
    <hyperlink ref="H34" r:id="rId26" display="https://tools.l2.dwh.sb-sys.info/userhelp/data/komoku" xr:uid="{ED506D3B-937F-4612-AD28-07DF0F4561ED}"/>
    <hyperlink ref="H35" r:id="rId27" display="https://tools.l2.dwh.sb-sys.info/userhelp/data/komoku" xr:uid="{521EC660-70FA-4905-B040-489C2445CE62}"/>
    <hyperlink ref="H36" r:id="rId28" display="https://tools.l2.dwh.sb-sys.info/userhelp/data/komoku" xr:uid="{4088F31D-07C1-4BCA-864E-66BE87C7C8B6}"/>
    <hyperlink ref="H37" r:id="rId29" display="https://tools.l2.dwh.sb-sys.info/userhelp/data/komoku" xr:uid="{A2776E74-4812-4411-8011-7B86C383126C}"/>
    <hyperlink ref="H38" r:id="rId30" display="https://tools.l2.dwh.sb-sys.info/userhelp/data/komoku" xr:uid="{B05921EE-A87A-4B8B-9A76-B43BFAADD27D}"/>
    <hyperlink ref="H39" r:id="rId31" display="https://tools.l2.dwh.sb-sys.info/userhelp/data/komoku" xr:uid="{D4396031-0082-496A-85AA-C726C38885F9}"/>
    <hyperlink ref="H40" r:id="rId32" display="https://tools.l2.dwh.sb-sys.info/userhelp/data/komoku" xr:uid="{6E24C453-E682-4D21-9F0C-6D55264305DF}"/>
    <hyperlink ref="H41" r:id="rId33" display="https://tools.l2.dwh.sb-sys.info/userhelp/data/komoku" xr:uid="{2869411E-FC09-42F9-B5AC-FF304EDA46E2}"/>
    <hyperlink ref="H42" r:id="rId34" display="https://tools.l2.dwh.sb-sys.info/userhelp/data/komoku" xr:uid="{A62EA00D-DCFE-453B-A80E-E1805FD0A6CF}"/>
    <hyperlink ref="H43" r:id="rId35" display="https://tools.l2.dwh.sb-sys.info/userhelp/data/komoku" xr:uid="{9CB3BA34-E8F1-487B-B31D-429BBEE5B48A}"/>
    <hyperlink ref="H44" r:id="rId36" display="https://tools.l2.dwh.sb-sys.info/userhelp/data/komoku" xr:uid="{65FB5DEA-7AB3-4FA8-8231-7783FC1CCFA1}"/>
    <hyperlink ref="H45" r:id="rId37" display="https://tools.l2.dwh.sb-sys.info/userhelp/data/komoku" xr:uid="{E8573EA1-CA91-4032-BAEB-22D93A0AB959}"/>
    <hyperlink ref="H46" r:id="rId38" display="https://tools.l2.dwh.sb-sys.info/userhelp/data/komoku" xr:uid="{A042AB36-CF83-484E-B425-77101E18BF72}"/>
    <hyperlink ref="H47" r:id="rId39" display="https://tools.l2.dwh.sb-sys.info/userhelp/data/komoku" xr:uid="{9AF2DD68-E69D-412C-8162-77006EBC98EA}"/>
    <hyperlink ref="H48" r:id="rId40" display="https://tools.l2.dwh.sb-sys.info/userhelp/data/komoku" xr:uid="{DF184C20-5FFB-45DB-B011-F47732658892}"/>
    <hyperlink ref="H49" r:id="rId41" display="https://tools.l2.dwh.sb-sys.info/userhelp/data/komoku" xr:uid="{3B99F094-4CCF-43AF-8B50-7084E57442CD}"/>
    <hyperlink ref="H50" r:id="rId42" display="https://tools.l2.dwh.sb-sys.info/userhelp/data/komoku" xr:uid="{0429937D-FBD2-47BB-9237-2D45EB4884F9}"/>
    <hyperlink ref="H51" r:id="rId43" display="https://tools.l2.dwh.sb-sys.info/userhelp/data/komoku" xr:uid="{EC06A132-D27A-458D-B9A8-AC8460761508}"/>
    <hyperlink ref="H52" r:id="rId44" display="https://tools.l2.dwh.sb-sys.info/userhelp/data/komoku" xr:uid="{3B179269-D846-4AA0-BD85-4CA9C599A25A}"/>
    <hyperlink ref="H53" r:id="rId45" display="https://tools.l2.dwh.sb-sys.info/userhelp/data/komoku" xr:uid="{3231369A-0CCF-4E49-99AC-C4FDC725FF04}"/>
    <hyperlink ref="H54" r:id="rId46" display="https://tools.l2.dwh.sb-sys.info/userhelp/data/komoku" xr:uid="{B4BB045A-336B-4737-BB9B-FFDB64B058BD}"/>
    <hyperlink ref="H55" r:id="rId47" display="https://tools.l2.dwh.sb-sys.info/userhelp/data/komoku" xr:uid="{36EBB997-1103-4205-911A-C24ED40915DE}"/>
    <hyperlink ref="H56" r:id="rId48" display="https://tools.l2.dwh.sb-sys.info/userhelp/data/komoku" xr:uid="{E9F886E6-9A62-48C5-A17F-EBC5A2A86377}"/>
    <hyperlink ref="H57" r:id="rId49" display="https://tools.l2.dwh.sb-sys.info/userhelp/data/komoku" xr:uid="{F0DD5377-3CCE-43C2-B11E-C223D0FE4791}"/>
    <hyperlink ref="H58" r:id="rId50" display="https://tools.l2.dwh.sb-sys.info/userhelp/data/komoku" xr:uid="{BF6B275E-6578-4D89-B8F1-25149C9CEDB8}"/>
    <hyperlink ref="H59" r:id="rId51" display="https://tools.l2.dwh.sb-sys.info/userhelp/data/komoku" xr:uid="{89959D57-4E92-4BB6-A65A-F9B5B97316DD}"/>
    <hyperlink ref="H60" r:id="rId52" display="https://tools.l2.dwh.sb-sys.info/userhelp/data/komoku" xr:uid="{4B273AED-566E-40A6-B0B6-1F8A67AE5AA9}"/>
    <hyperlink ref="H61" r:id="rId53" display="https://tools.l2.dwh.sb-sys.info/userhelp/data/komoku" xr:uid="{99A8D298-E3F0-48D1-A4C5-D4A31DB48E48}"/>
    <hyperlink ref="H62" r:id="rId54" display="https://tools.l2.dwh.sb-sys.info/userhelp/data/komoku" xr:uid="{19A552DB-0336-4F7A-9794-20F7DC8816B9}"/>
    <hyperlink ref="H63" r:id="rId55" display="https://tools.l2.dwh.sb-sys.info/userhelp/data/komoku" xr:uid="{F82D28FA-F084-4D62-9A7A-819E421A7180}"/>
    <hyperlink ref="H64" r:id="rId56" display="https://tools.l2.dwh.sb-sys.info/userhelp/data/komoku" xr:uid="{AD039C7E-A325-41E7-B9DB-4CE7803674B5}"/>
    <hyperlink ref="H65" r:id="rId57" display="https://tools.l2.dwh.sb-sys.info/userhelp/data/komoku" xr:uid="{7230E26B-F44A-49EE-9CCD-85635F72EBE7}"/>
    <hyperlink ref="H66" r:id="rId58" display="https://tools.l2.dwh.sb-sys.info/userhelp/data/komoku" xr:uid="{134FA0CF-ED12-4D4B-8C5E-653BDC608147}"/>
    <hyperlink ref="H67" r:id="rId59" display="https://tools.l2.dwh.sb-sys.info/userhelp/data/komoku" xr:uid="{2BFF6E23-5532-43AD-8549-D5F5DA24E2AC}"/>
    <hyperlink ref="H68" r:id="rId60" display="https://tools.l2.dwh.sb-sys.info/userhelp/data/komoku" xr:uid="{9B172644-4363-413B-B14E-2D4D5985798B}"/>
    <hyperlink ref="H69" r:id="rId61" display="https://tools.l2.dwh.sb-sys.info/userhelp/data/komoku" xr:uid="{E3F43104-8D18-4681-9ADD-D325255C497B}"/>
    <hyperlink ref="H70" r:id="rId62" display="https://tools.l2.dwh.sb-sys.info/userhelp/data/komoku" xr:uid="{D56CCE27-4C72-4AEB-9F2E-3C38D5FD027D}"/>
    <hyperlink ref="H71" r:id="rId63" display="https://tools.l2.dwh.sb-sys.info/userhelp/data/komoku" xr:uid="{67D9E893-9804-446B-ADEB-4BEB4EF58E1A}"/>
    <hyperlink ref="H72" r:id="rId64" display="https://tools.l2.dwh.sb-sys.info/userhelp/data/komoku" xr:uid="{31432BD0-924D-44E1-9FC7-00FBAC65D428}"/>
    <hyperlink ref="H73" r:id="rId65" display="https://tools.l2.dwh.sb-sys.info/userhelp/data/komoku" xr:uid="{11D3F0F0-86A2-4EC3-A7EB-4F466FBF6AED}"/>
    <hyperlink ref="H74" r:id="rId66" display="https://tools.l2.dwh.sb-sys.info/userhelp/data/komoku" xr:uid="{081797D4-4A24-4157-A65B-08C1F260BE9C}"/>
    <hyperlink ref="H75" r:id="rId67" display="https://tools.l2.dwh.sb-sys.info/userhelp/data/komoku" xr:uid="{327995FF-330A-4EDD-8FB8-0713C66A74CD}"/>
    <hyperlink ref="H76" r:id="rId68" display="https://tools.l2.dwh.sb-sys.info/userhelp/data/komoku" xr:uid="{032447E0-8745-4E90-AC1A-C2EA2272F3F6}"/>
    <hyperlink ref="H77" r:id="rId69" display="https://tools.l2.dwh.sb-sys.info/userhelp/data/komoku" xr:uid="{3D9925D7-9EA4-4634-823A-C9BD5724A73E}"/>
    <hyperlink ref="H78" r:id="rId70" display="https://tools.l2.dwh.sb-sys.info/userhelp/data/komoku" xr:uid="{8076D20B-AFA1-4040-8943-EE49CC33523C}"/>
    <hyperlink ref="H79" r:id="rId71" display="https://tools.l2.dwh.sb-sys.info/userhelp/data/komoku" xr:uid="{DA69D547-170C-4968-BB6A-A4F6F3C89C4C}"/>
    <hyperlink ref="H80" r:id="rId72" display="https://tools.l2.dwh.sb-sys.info/userhelp/data/komoku" xr:uid="{D5410867-3B55-4C67-B0EC-E4148C7AAF94}"/>
    <hyperlink ref="H81" r:id="rId73" display="https://tools.l2.dwh.sb-sys.info/userhelp/data/komoku" xr:uid="{F2B75777-8B1A-483C-B715-9196910DEDB7}"/>
    <hyperlink ref="H82" r:id="rId74" display="https://tools.l2.dwh.sb-sys.info/userhelp/data/komoku" xr:uid="{DA00EE61-56A5-465A-BDBE-51C8AF45C3F8}"/>
    <hyperlink ref="H83" r:id="rId75" display="https://tools.l2.dwh.sb-sys.info/userhelp/data/komoku" xr:uid="{CEE0BFC5-C208-49BC-8E0E-2861416C4669}"/>
    <hyperlink ref="H84" r:id="rId76" display="https://tools.l2.dwh.sb-sys.info/userhelp/data/komoku" xr:uid="{8A0FC0FB-6494-4502-A508-6C45E58AA52D}"/>
    <hyperlink ref="H85" r:id="rId77" display="https://tools.l2.dwh.sb-sys.info/userhelp/data/komoku" xr:uid="{1F03E48C-E7A5-44D0-980F-FAEA8BCBC573}"/>
    <hyperlink ref="H86" r:id="rId78" display="https://tools.l2.dwh.sb-sys.info/userhelp/data/komoku" xr:uid="{F7E99478-DDF6-4369-AB06-C3352D9C6BAE}"/>
    <hyperlink ref="H87" r:id="rId79" display="https://tools.l2.dwh.sb-sys.info/userhelp/data/komoku" xr:uid="{6703093F-FF05-4509-836C-C437E2AED880}"/>
    <hyperlink ref="H88" r:id="rId80" display="https://tools.l2.dwh.sb-sys.info/userhelp/data/komoku" xr:uid="{E911A601-52F5-433B-BD03-185396DFDEA4}"/>
    <hyperlink ref="H89" r:id="rId81" display="https://tools.l2.dwh.sb-sys.info/userhelp/data/komoku" xr:uid="{F499A0A3-2C87-4040-A3AA-553E383A8F8B}"/>
    <hyperlink ref="H90" r:id="rId82" display="https://tools.l2.dwh.sb-sys.info/userhelp/data/komoku" xr:uid="{E77FC81A-B782-4C7F-BE1E-0AA23F88218B}"/>
    <hyperlink ref="H91" r:id="rId83" display="https://tools.l2.dwh.sb-sys.info/userhelp/data/komoku" xr:uid="{875D5BF3-7341-4B98-9103-0E4F7422396D}"/>
    <hyperlink ref="H92" r:id="rId84" display="https://tools.l2.dwh.sb-sys.info/userhelp/data/komoku" xr:uid="{8FB8F30D-BF58-414A-9EF7-AA6019FB8146}"/>
    <hyperlink ref="H93" r:id="rId85" display="https://tools.l2.dwh.sb-sys.info/userhelp/data/komoku" xr:uid="{9D3DCF8F-D4E8-43D4-83F5-D4B91B217B88}"/>
    <hyperlink ref="H94" r:id="rId86" display="https://tools.l2.dwh.sb-sys.info/userhelp/data/komoku" xr:uid="{4722F584-3C3C-4B59-A6A4-624D456B7F34}"/>
    <hyperlink ref="H95" r:id="rId87" display="https://tools.l2.dwh.sb-sys.info/userhelp/data/komoku" xr:uid="{27131CCC-1A83-40D3-96E0-C0F05164A3B2}"/>
    <hyperlink ref="H96" r:id="rId88" display="https://tools.l2.dwh.sb-sys.info/userhelp/data/komoku" xr:uid="{0DE34EA9-4412-4736-ADB7-8BF8BCCC3977}"/>
    <hyperlink ref="H97" r:id="rId89" display="https://tools.l2.dwh.sb-sys.info/userhelp/data/komoku" xr:uid="{593FDC09-113D-4F55-8813-3B34D19DED77}"/>
    <hyperlink ref="H98" r:id="rId90" display="https://tools.l2.dwh.sb-sys.info/userhelp/data/komoku" xr:uid="{B195C6F8-94B2-4A78-9A6B-9CA7B5063D37}"/>
    <hyperlink ref="H99" r:id="rId91" display="https://tools.l2.dwh.sb-sys.info/userhelp/data/komoku" xr:uid="{7C0B8349-D59B-48BE-A2D7-0644C48162EE}"/>
    <hyperlink ref="H100" r:id="rId92" display="https://tools.l2.dwh.sb-sys.info/userhelp/data/komoku" xr:uid="{5DCA981F-2D5E-4D97-9166-5F1132EEE7A0}"/>
    <hyperlink ref="H101" r:id="rId93" display="https://tools.l2.dwh.sb-sys.info/userhelp/data/komoku" xr:uid="{119DB441-7947-4AB3-B6E3-7737FEFDEEA4}"/>
    <hyperlink ref="H102" r:id="rId94" display="https://tools.l2.dwh.sb-sys.info/userhelp/data/komoku" xr:uid="{92D17B67-00CA-419D-BC3B-F67633BD5753}"/>
    <hyperlink ref="H103" r:id="rId95" display="https://tools.l2.dwh.sb-sys.info/userhelp/data/komoku" xr:uid="{4C37807F-F836-45BE-9339-104A2D153403}"/>
    <hyperlink ref="H104" r:id="rId96" display="https://tools.l2.dwh.sb-sys.info/userhelp/data/komoku" xr:uid="{4F2C2949-7679-4BC4-9FCE-1DF5AC28C2B6}"/>
    <hyperlink ref="H105" r:id="rId97" display="https://tools.l2.dwh.sb-sys.info/userhelp/data/komoku" xr:uid="{82ED9917-D721-44D3-9F83-5005FB3372EB}"/>
    <hyperlink ref="H106" r:id="rId98" display="https://tools.l2.dwh.sb-sys.info/userhelp/data/komoku" xr:uid="{CE43C190-A2FE-4501-82E4-D903EC3965A8}"/>
    <hyperlink ref="H107" r:id="rId99" display="https://tools.l2.dwh.sb-sys.info/userhelp/data/komoku" xr:uid="{BAC938FD-6B4D-4A08-BB42-2FF90E9DD977}"/>
    <hyperlink ref="H108" r:id="rId100" display="https://tools.l2.dwh.sb-sys.info/userhelp/data/komoku" xr:uid="{350A470E-728A-4636-BC76-E3FF9E52F4D3}"/>
    <hyperlink ref="H109" r:id="rId101" display="https://tools.l2.dwh.sb-sys.info/userhelp/data/komoku" xr:uid="{3A537CC8-2563-4528-9462-4F43F4666428}"/>
    <hyperlink ref="H110" r:id="rId102" display="https://tools.l2.dwh.sb-sys.info/userhelp/data/komoku" xr:uid="{B6CA53FD-8CA6-444D-83DC-DB05A82553FD}"/>
    <hyperlink ref="H111" r:id="rId103" display="https://tools.l2.dwh.sb-sys.info/userhelp/data/komoku" xr:uid="{1B7E9539-248E-498C-8B20-9312F6FBDC96}"/>
    <hyperlink ref="H112" r:id="rId104" display="https://tools.l2.dwh.sb-sys.info/userhelp/data/komoku" xr:uid="{F410A931-F25A-471A-8B60-580E7E57F5B0}"/>
    <hyperlink ref="H113" r:id="rId105" display="https://tools.l2.dwh.sb-sys.info/userhelp/data/komoku" xr:uid="{535D7541-CF5C-414A-9F0B-EF0B72CBE70C}"/>
    <hyperlink ref="H114" r:id="rId106" display="https://tools.l2.dwh.sb-sys.info/userhelp/data/komoku" xr:uid="{587EC692-D50B-4E4F-97ED-F01A685FC9C7}"/>
    <hyperlink ref="H115" r:id="rId107" display="https://tools.l2.dwh.sb-sys.info/userhelp/data/komoku" xr:uid="{2180E68B-8B0A-4A65-B5AC-97F1EA67F1E0}"/>
    <hyperlink ref="H116" r:id="rId108" display="https://tools.l2.dwh.sb-sys.info/userhelp/data/komoku" xr:uid="{B47691C3-7BD7-4D53-87A3-0684F2783C36}"/>
    <hyperlink ref="H117" r:id="rId109" display="https://tools.l2.dwh.sb-sys.info/userhelp/data/komoku" xr:uid="{6E29BA88-6EDA-4DF4-8124-9E6AA5953702}"/>
    <hyperlink ref="H118" r:id="rId110" display="https://tools.l2.dwh.sb-sys.info/userhelp/data/komoku" xr:uid="{1DFBD7A6-B80E-4C38-B4D2-D1887EC88972}"/>
    <hyperlink ref="H119" r:id="rId111" display="https://tools.l2.dwh.sb-sys.info/userhelp/data/komoku" xr:uid="{A7F577B1-9648-4822-92C9-475F9B71EB27}"/>
    <hyperlink ref="H120" r:id="rId112" display="https://tools.l2.dwh.sb-sys.info/userhelp/data/komoku" xr:uid="{A3C491E7-45A7-4CA0-95A9-04BC31FE3DB6}"/>
    <hyperlink ref="H121" r:id="rId113" display="https://tools.l2.dwh.sb-sys.info/userhelp/data/komoku" xr:uid="{5D9B34CB-C9A3-44E7-8F4B-E292F4360511}"/>
    <hyperlink ref="H122" r:id="rId114" display="https://tools.l2.dwh.sb-sys.info/userhelp/data/komoku" xr:uid="{07ABAE7E-E0A2-4DDB-B9FE-526779BDB186}"/>
    <hyperlink ref="H123" r:id="rId115" display="https://tools.l2.dwh.sb-sys.info/userhelp/data/komoku" xr:uid="{2FBBE2A6-A0DA-49E5-B216-9461E8CD5048}"/>
    <hyperlink ref="H124" r:id="rId116" display="https://tools.l2.dwh.sb-sys.info/userhelp/data/komoku" xr:uid="{7EE1DC29-AC9F-4B3C-B249-2557D11A5239}"/>
    <hyperlink ref="H125" r:id="rId117" display="https://tools.l2.dwh.sb-sys.info/userhelp/data/komoku" xr:uid="{33395F58-13B1-4A9D-857B-429E2C9D0B44}"/>
    <hyperlink ref="H126" r:id="rId118" display="https://tools.l2.dwh.sb-sys.info/userhelp/data/komoku" xr:uid="{706E89D6-F2AF-44CE-8C57-C58878A21171}"/>
    <hyperlink ref="H127" r:id="rId119" display="https://tools.l2.dwh.sb-sys.info/userhelp/data/komoku" xr:uid="{19BB6A64-F705-4EA8-8B43-18CACD91C913}"/>
    <hyperlink ref="H128" r:id="rId120" display="https://tools.l2.dwh.sb-sys.info/userhelp/data/komoku" xr:uid="{246E3947-9056-4A13-9B01-AEAEEADDF7F6}"/>
    <hyperlink ref="H129" r:id="rId121" display="https://tools.l2.dwh.sb-sys.info/userhelp/data/komoku" xr:uid="{2562CD1C-38F7-4474-A7BA-02920123A90D}"/>
    <hyperlink ref="H130" r:id="rId122" display="https://tools.l2.dwh.sb-sys.info/userhelp/data/komoku" xr:uid="{9D2907A6-63E3-4C7E-A74F-5BC6659A3045}"/>
    <hyperlink ref="H131" r:id="rId123" display="https://tools.l2.dwh.sb-sys.info/userhelp/data/komoku" xr:uid="{28835AA8-E017-4574-B204-D6F1BFE1F27C}"/>
    <hyperlink ref="H132" r:id="rId124" display="https://tools.l2.dwh.sb-sys.info/userhelp/data/komoku" xr:uid="{0411014A-7797-493E-ABFC-B0B88F7ADB49}"/>
    <hyperlink ref="H133" r:id="rId125" display="https://tools.l2.dwh.sb-sys.info/userhelp/data/komoku" xr:uid="{81F730C1-3F00-4771-853C-156D1593E3EB}"/>
    <hyperlink ref="H134" r:id="rId126" display="https://tools.l2.dwh.sb-sys.info/userhelp/data/komoku" xr:uid="{28B14C77-720C-44C5-9FDF-A2FED80C7BCC}"/>
    <hyperlink ref="H135" r:id="rId127" display="https://tools.l2.dwh.sb-sys.info/userhelp/data/komoku" xr:uid="{D1BFFF59-F42D-4680-9D04-591F2BC7237C}"/>
    <hyperlink ref="H136" r:id="rId128" display="https://tools.l2.dwh.sb-sys.info/userhelp/data/komoku" xr:uid="{28872C6A-35AF-4FD7-B506-3CBC2B1217DC}"/>
    <hyperlink ref="H137" r:id="rId129" display="https://tools.l2.dwh.sb-sys.info/userhelp/data/komoku" xr:uid="{1E5F5751-7801-490B-B67B-3F4B7FBF31FB}"/>
    <hyperlink ref="H138" r:id="rId130" display="https://tools.l2.dwh.sb-sys.info/userhelp/data/komoku" xr:uid="{C6C5F10D-5150-415A-A12C-C82C29D48327}"/>
    <hyperlink ref="H139" r:id="rId131" display="https://tools.l2.dwh.sb-sys.info/userhelp/data/komoku" xr:uid="{E5972DDB-7B47-4A80-9149-19566BD9D764}"/>
    <hyperlink ref="H140" r:id="rId132" display="https://tools.l2.dwh.sb-sys.info/userhelp/data/komoku" xr:uid="{309BB25A-4731-48EC-8D67-C7F75E27B722}"/>
    <hyperlink ref="H141" r:id="rId133" display="https://tools.l2.dwh.sb-sys.info/userhelp/data/komoku" xr:uid="{12395DD9-41B3-4355-97B6-184A27DBCB76}"/>
    <hyperlink ref="H142" r:id="rId134" display="https://tools.l2.dwh.sb-sys.info/userhelp/data/komoku" xr:uid="{590E478D-47FB-41E9-A606-0C1693036291}"/>
    <hyperlink ref="H143" r:id="rId135" display="https://tools.l2.dwh.sb-sys.info/userhelp/data/komoku" xr:uid="{0036CF1F-444E-485C-BC23-4CCB4F2C8E0C}"/>
    <hyperlink ref="H144" r:id="rId136" display="https://tools.l2.dwh.sb-sys.info/userhelp/data/komoku" xr:uid="{0CB0D45F-17D6-44BF-A18C-AD38746CC87F}"/>
    <hyperlink ref="H145" r:id="rId137" display="https://tools.l2.dwh.sb-sys.info/userhelp/data/komoku" xr:uid="{AD8AD35D-50C0-45CE-AF05-2A86D15D6037}"/>
    <hyperlink ref="H146" r:id="rId138" display="https://tools.l2.dwh.sb-sys.info/userhelp/data/komoku" xr:uid="{7B18550D-B703-49E4-A1FF-FB08AF6FE5E3}"/>
    <hyperlink ref="H147" r:id="rId139" display="https://tools.l2.dwh.sb-sys.info/userhelp/data/komoku" xr:uid="{7A33A33F-6C49-4A69-8241-19E614685C23}"/>
    <hyperlink ref="H148" r:id="rId140" display="https://tools.l2.dwh.sb-sys.info/userhelp/data/komoku" xr:uid="{79875D73-C96E-40DB-9DF9-411D87501677}"/>
    <hyperlink ref="H149" r:id="rId141" display="https://tools.l2.dwh.sb-sys.info/userhelp/data/komoku" xr:uid="{8CA587F8-5FE4-4F4A-91A5-BF655BFB962E}"/>
    <hyperlink ref="H150" r:id="rId142" display="https://tools.l2.dwh.sb-sys.info/userhelp/data/komoku" xr:uid="{1F1F385A-F540-4181-94F9-AADDADBA4D05}"/>
    <hyperlink ref="H151" r:id="rId143" display="https://tools.l2.dwh.sb-sys.info/userhelp/data/komoku" xr:uid="{DC5B9DDC-2F00-42A8-B953-F72A81B8D8F3}"/>
    <hyperlink ref="H152" r:id="rId144" display="https://tools.l2.dwh.sb-sys.info/userhelp/data/komoku" xr:uid="{7DC4D026-4DE4-4EF4-922A-EED38751EB40}"/>
    <hyperlink ref="H153" r:id="rId145" display="https://tools.l2.dwh.sb-sys.info/userhelp/data/komoku" xr:uid="{91BB8657-183D-4F36-9C56-772663914D91}"/>
    <hyperlink ref="H154" r:id="rId146" display="https://tools.l2.dwh.sb-sys.info/userhelp/data/komoku" xr:uid="{786E0744-330B-4C6E-A18D-A5633D70C083}"/>
    <hyperlink ref="H155" r:id="rId147" display="https://tools.l2.dwh.sb-sys.info/userhelp/data/komoku" xr:uid="{45A6B684-43D7-4AD0-B2E7-05EB4FACDE1C}"/>
    <hyperlink ref="H156" r:id="rId148" display="https://tools.l2.dwh.sb-sys.info/userhelp/data/komoku" xr:uid="{3C65369F-DA29-4D57-8792-6A4D062A6F9F}"/>
    <hyperlink ref="H157" r:id="rId149" display="https://tools.l2.dwh.sb-sys.info/userhelp/data/komoku" xr:uid="{931FB500-9CF6-4E20-A2C8-5DE629736739}"/>
    <hyperlink ref="H158" r:id="rId150" display="https://tools.l2.dwh.sb-sys.info/userhelp/data/komoku" xr:uid="{CC8D3433-F1D6-442D-8E47-F62B843C486F}"/>
    <hyperlink ref="H159" r:id="rId151" display="https://tools.l2.dwh.sb-sys.info/userhelp/data/komoku" xr:uid="{B8B0185A-BAE7-4589-9153-1A916E69968B}"/>
    <hyperlink ref="H160" r:id="rId152" display="https://tools.l2.dwh.sb-sys.info/userhelp/data/komoku" xr:uid="{D9281FFF-4B7D-45BA-ADB6-D5A2702D8637}"/>
    <hyperlink ref="H161" r:id="rId153" display="https://tools.l2.dwh.sb-sys.info/userhelp/data/komoku" xr:uid="{52727718-1988-4E6A-A76C-8761098D4511}"/>
    <hyperlink ref="H162" r:id="rId154" display="https://tools.l2.dwh.sb-sys.info/userhelp/data/komoku" xr:uid="{45360366-4157-4648-80EC-CCB26179AB1A}"/>
    <hyperlink ref="H163" r:id="rId155" display="https://tools.l2.dwh.sb-sys.info/userhelp/data/komoku" xr:uid="{B5AE5147-FFFF-437C-9D86-2B461F3BBAB4}"/>
    <hyperlink ref="H164" r:id="rId156" display="https://tools.l2.dwh.sb-sys.info/userhelp/data/komoku" xr:uid="{4811A172-3117-4680-9377-6D691D290F1E}"/>
    <hyperlink ref="H165" r:id="rId157" display="https://tools.l2.dwh.sb-sys.info/userhelp/data/komoku" xr:uid="{3AEFBDAC-7DF1-445C-88DC-402857BBDC4B}"/>
    <hyperlink ref="H166" r:id="rId158" display="https://tools.l2.dwh.sb-sys.info/userhelp/data/komoku" xr:uid="{C5D1E29A-B00C-41C7-AA98-DC190727E249}"/>
    <hyperlink ref="H167" r:id="rId159" display="https://tools.l2.dwh.sb-sys.info/userhelp/data/komoku" xr:uid="{26203A78-A1F0-4E70-B29B-811215A06102}"/>
    <hyperlink ref="H168" r:id="rId160" display="https://tools.l2.dwh.sb-sys.info/userhelp/data/komoku" xr:uid="{AA98773E-AFF0-4F87-AD17-218311C767AE}"/>
    <hyperlink ref="H169" r:id="rId161" display="https://tools.l2.dwh.sb-sys.info/userhelp/data/komoku" xr:uid="{E3D371E9-775A-43B7-97C3-127EA733FCC5}"/>
    <hyperlink ref="H170" r:id="rId162" display="https://tools.l2.dwh.sb-sys.info/userhelp/data/komoku" xr:uid="{C67597E6-8E5A-46EF-AD35-6154CC90DD7C}"/>
    <hyperlink ref="H171" r:id="rId163" display="https://tools.l2.dwh.sb-sys.info/userhelp/data/komoku" xr:uid="{F65D8C0C-9CBD-42BA-815D-542CAEFC8E13}"/>
    <hyperlink ref="H172" r:id="rId164" display="https://tools.l2.dwh.sb-sys.info/userhelp/data/komoku" xr:uid="{FB080C10-864D-4DF8-98AB-8CF81C672DA1}"/>
    <hyperlink ref="H173" r:id="rId165" display="https://tools.l2.dwh.sb-sys.info/userhelp/data/komoku" xr:uid="{BF17F794-4839-47D7-A2D2-BFD7B0F42BFD}"/>
    <hyperlink ref="H174" r:id="rId166" display="https://tools.l2.dwh.sb-sys.info/userhelp/data/komoku" xr:uid="{77D7FEF2-EBC3-456F-8ED4-855FB05EF735}"/>
    <hyperlink ref="H175" r:id="rId167" display="https://tools.l2.dwh.sb-sys.info/userhelp/data/komoku" xr:uid="{63539BDF-ABA5-4761-8D88-F03A1DB5AC8B}"/>
    <hyperlink ref="H176" r:id="rId168" display="https://tools.l2.dwh.sb-sys.info/userhelp/data/komoku" xr:uid="{DB559521-BBBC-43AC-8B50-6AE7D16D7249}"/>
    <hyperlink ref="H177" r:id="rId169" display="https://tools.l2.dwh.sb-sys.info/userhelp/data/komoku" xr:uid="{24CC1AC6-0FAD-40ED-9EE5-13780BD04FBB}"/>
    <hyperlink ref="H178" r:id="rId170" display="https://tools.l2.dwh.sb-sys.info/userhelp/data/komoku" xr:uid="{A7A71069-1CDA-4AA5-95D9-FFA20B5CCE23}"/>
    <hyperlink ref="H179" r:id="rId171" display="https://tools.l2.dwh.sb-sys.info/userhelp/data/komoku" xr:uid="{CCDEE200-A4C3-43DC-B798-B22D092F1F4B}"/>
    <hyperlink ref="H180" r:id="rId172" display="https://tools.l2.dwh.sb-sys.info/userhelp/data/komoku" xr:uid="{132DA51C-7C44-4C54-BDAA-392DB2A8AB45}"/>
    <hyperlink ref="H181" r:id="rId173" display="https://tools.l2.dwh.sb-sys.info/userhelp/data/komoku" xr:uid="{6ECD4A48-4404-41C3-97A9-9FCAD16A14EA}"/>
    <hyperlink ref="H182" r:id="rId174" display="https://tools.l2.dwh.sb-sys.info/userhelp/data/komoku" xr:uid="{99E268FD-6DC3-4C35-9BC0-E4CF6CA1C4ED}"/>
    <hyperlink ref="H183" r:id="rId175" display="https://tools.l2.dwh.sb-sys.info/userhelp/data/komoku" xr:uid="{3258A2D8-6018-4D25-AB8F-183A21634AE2}"/>
    <hyperlink ref="H184" r:id="rId176" display="https://tools.l2.dwh.sb-sys.info/userhelp/data/komoku" xr:uid="{66670C28-12F0-476E-BFC2-B7991B26916E}"/>
    <hyperlink ref="H185" r:id="rId177" display="https://tools.l2.dwh.sb-sys.info/userhelp/data/komoku" xr:uid="{1FDE2A89-9F72-42D6-AEC8-E5BF2EFF28CA}"/>
    <hyperlink ref="H186" r:id="rId178" display="https://tools.l2.dwh.sb-sys.info/userhelp/data/komoku" xr:uid="{16BC82A0-CD7E-4302-9B27-81CFBAC8689D}"/>
    <hyperlink ref="H187" r:id="rId179" display="https://tools.l2.dwh.sb-sys.info/userhelp/data/komoku" xr:uid="{23ECDDF1-2C3A-4050-B926-B903AB824BE3}"/>
    <hyperlink ref="H188" r:id="rId180" display="https://tools.l2.dwh.sb-sys.info/userhelp/data/komoku" xr:uid="{31DD2739-758E-4D45-944A-762A5E842954}"/>
    <hyperlink ref="H189" r:id="rId181" display="https://tools.l2.dwh.sb-sys.info/userhelp/data/komoku" xr:uid="{9F396BCD-192B-4890-A261-FF562BB338D1}"/>
    <hyperlink ref="H190" r:id="rId182" display="https://tools.l2.dwh.sb-sys.info/userhelp/data/komoku" xr:uid="{73C8FFFB-87B4-4AA5-BC52-D7B6115CD207}"/>
    <hyperlink ref="H191" r:id="rId183" display="https://tools.l2.dwh.sb-sys.info/userhelp/data/komoku" xr:uid="{42547CCD-BDCF-4063-BFD0-42C50F315DCC}"/>
    <hyperlink ref="H192" r:id="rId184" display="https://tools.l2.dwh.sb-sys.info/userhelp/data/komoku" xr:uid="{C47CC644-088B-4F0C-B10E-8F4E920878C1}"/>
    <hyperlink ref="H193" r:id="rId185" display="https://tools.l2.dwh.sb-sys.info/userhelp/data/komoku" xr:uid="{A86E6B92-E89E-451C-8E54-CDCBB04036DD}"/>
    <hyperlink ref="H194" r:id="rId186" display="https://tools.l2.dwh.sb-sys.info/userhelp/data/komoku" xr:uid="{FA5E1895-551C-4AA1-A5EB-D9EBB62A714E}"/>
    <hyperlink ref="H195" r:id="rId187" display="https://tools.l2.dwh.sb-sys.info/userhelp/data/komoku" xr:uid="{41F14401-0241-4A0E-8FDA-22B522216507}"/>
    <hyperlink ref="H196" r:id="rId188" display="https://tools.l2.dwh.sb-sys.info/userhelp/data/komoku" xr:uid="{D8D01768-D38B-4CC1-B6F6-D55466BE56C2}"/>
    <hyperlink ref="H197" r:id="rId189" display="https://tools.l2.dwh.sb-sys.info/userhelp/data/komoku" xr:uid="{707AC05B-6903-4137-9AC6-B9AF34AF9723}"/>
    <hyperlink ref="H198" r:id="rId190" display="https://tools.l2.dwh.sb-sys.info/userhelp/data/komoku" xr:uid="{6EE04041-D2F8-40CF-87C9-B698D3DADCB0}"/>
    <hyperlink ref="H199" r:id="rId191" display="https://tools.l2.dwh.sb-sys.info/userhelp/data/komoku" xr:uid="{D59A91BF-83FE-48C0-9812-D556818824F5}"/>
    <hyperlink ref="H200" r:id="rId192" display="https://tools.l2.dwh.sb-sys.info/userhelp/data/komoku" xr:uid="{DAEC0E66-C30B-4EFE-9D51-433F7FB64D9B}"/>
    <hyperlink ref="H201" r:id="rId193" display="https://tools.l2.dwh.sb-sys.info/userhelp/data/komoku" xr:uid="{9567F867-BD99-4085-803B-5FB41C51C384}"/>
    <hyperlink ref="H202" r:id="rId194" display="https://tools.l2.dwh.sb-sys.info/userhelp/data/komoku" xr:uid="{9648F4AB-A10B-432D-85C6-0C02991176B8}"/>
    <hyperlink ref="H203" r:id="rId195" display="https://tools.l2.dwh.sb-sys.info/userhelp/data/komoku" xr:uid="{BB907BF9-09D9-4CF5-93A2-57B1D2D8959E}"/>
    <hyperlink ref="H204" r:id="rId196" display="https://tools.l2.dwh.sb-sys.info/userhelp/data/komoku" xr:uid="{C3E74CC6-70B9-4E3F-9D50-4009EB2ED65B}"/>
    <hyperlink ref="H205" r:id="rId197" display="https://tools.l2.dwh.sb-sys.info/userhelp/data/komoku" xr:uid="{0D61F516-1289-45D6-BAC6-84963D37A0B3}"/>
    <hyperlink ref="H206" r:id="rId198" display="https://tools.l2.dwh.sb-sys.info/userhelp/data/komoku" xr:uid="{F1A26BCB-4687-4B53-BD73-E13637B3179D}"/>
    <hyperlink ref="H207" r:id="rId199" display="https://tools.l2.dwh.sb-sys.info/userhelp/data/komoku" xr:uid="{47F2061F-EEDD-44E3-B32D-C71D62240334}"/>
    <hyperlink ref="H208" r:id="rId200" display="https://tools.l2.dwh.sb-sys.info/userhelp/data/komoku" xr:uid="{CB2281F0-0E21-4103-A892-104264F58F59}"/>
    <hyperlink ref="H209" r:id="rId201" display="https://tools.l2.dwh.sb-sys.info/userhelp/data/komoku" xr:uid="{D9A7176E-201D-482C-AAEC-3B74E6BF39C4}"/>
    <hyperlink ref="H210" r:id="rId202" display="https://tools.l2.dwh.sb-sys.info/userhelp/data/komoku" xr:uid="{234141E3-F91C-4BCA-83D7-41273CEC53EA}"/>
    <hyperlink ref="H211" r:id="rId203" display="https://tools.l2.dwh.sb-sys.info/userhelp/data/komoku" xr:uid="{00521E13-D2A5-48A0-ABB6-178602920421}"/>
    <hyperlink ref="H212" r:id="rId204" display="https://tools.l2.dwh.sb-sys.info/userhelp/data/komoku" xr:uid="{ED141446-DF9B-47B8-999B-5A9BD27BF794}"/>
    <hyperlink ref="H213" r:id="rId205" display="https://tools.l2.dwh.sb-sys.info/userhelp/data/komoku" xr:uid="{DC19E02C-F909-456C-8CAA-229D7700B7A5}"/>
    <hyperlink ref="H214" r:id="rId206" display="https://tools.l2.dwh.sb-sys.info/userhelp/data/komoku" xr:uid="{C2A9CE67-29AB-4E4E-A436-84A0B5C32183}"/>
    <hyperlink ref="H215" r:id="rId207" display="https://tools.l2.dwh.sb-sys.info/userhelp/data/komoku" xr:uid="{4301DEB0-B8C9-4D3C-A93D-C77AB4F4098B}"/>
    <hyperlink ref="H216" r:id="rId208" display="https://tools.l2.dwh.sb-sys.info/userhelp/data/komoku" xr:uid="{28400140-37C1-4BBE-80AF-7672053969F6}"/>
    <hyperlink ref="H217" r:id="rId209" display="https://tools.l2.dwh.sb-sys.info/userhelp/data/komoku" xr:uid="{B6EB9E34-0277-49E6-B947-177363E30903}"/>
    <hyperlink ref="H218" r:id="rId210" display="https://tools.l2.dwh.sb-sys.info/userhelp/data/komoku" xr:uid="{D99C9107-30C1-4593-9BF2-357F8E0BAE61}"/>
    <hyperlink ref="H219" r:id="rId211" display="https://tools.l2.dwh.sb-sys.info/userhelp/data/komoku" xr:uid="{541CBE2A-0C4E-4C4A-8701-AA53DA30C4EF}"/>
    <hyperlink ref="H220" r:id="rId212" display="https://tools.l2.dwh.sb-sys.info/userhelp/data/komoku" xr:uid="{DA17C596-1C79-498C-859D-A18B5D4A06AB}"/>
    <hyperlink ref="H221" r:id="rId213" display="https://tools.l2.dwh.sb-sys.info/userhelp/data/komoku" xr:uid="{D2CE40AF-E8A7-4948-8C30-E7573883BFB1}"/>
    <hyperlink ref="H222" r:id="rId214" display="https://tools.l2.dwh.sb-sys.info/userhelp/data/komoku" xr:uid="{764528F3-4EEE-4459-AC89-42B72761C8E7}"/>
    <hyperlink ref="H223" r:id="rId215" display="https://tools.l2.dwh.sb-sys.info/userhelp/data/komoku" xr:uid="{3A39B48D-751F-4E2E-9FA7-3E038CE65328}"/>
    <hyperlink ref="H224" r:id="rId216" display="https://tools.l2.dwh.sb-sys.info/userhelp/data/komoku" xr:uid="{D46FC650-8424-4942-B618-652646B15B3B}"/>
  </hyperlinks>
  <pageMargins left="0.7" right="0.7" top="0.75" bottom="0.75" header="0.3" footer="0.3"/>
  <pageSetup paperSize="9" orientation="portrait" r:id="rId21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2067C-A8E8-4A40-A9DB-64D10F076611}">
  <sheetPr>
    <tabColor rgb="FFFFFF00"/>
  </sheetPr>
  <dimension ref="A1:R171"/>
  <sheetViews>
    <sheetView zoomScale="55" zoomScaleNormal="55" workbookViewId="0"/>
  </sheetViews>
  <sheetFormatPr defaultRowHeight="18.75"/>
  <cols>
    <col min="1" max="1" width="3.375" bestFit="1" customWidth="1"/>
    <col min="2" max="2" width="4.375" bestFit="1" customWidth="1"/>
    <col min="3" max="3" width="19" bestFit="1" customWidth="1"/>
    <col min="4" max="4" width="9.375" bestFit="1" customWidth="1"/>
    <col min="5" max="5" width="5" bestFit="1" customWidth="1"/>
    <col min="6" max="6" width="6" bestFit="1" customWidth="1"/>
    <col min="7" max="7" width="55" bestFit="1" customWidth="1"/>
    <col min="8" max="8" width="20.5" hidden="1" customWidth="1"/>
    <col min="9" max="9" width="4.5" hidden="1" customWidth="1"/>
    <col min="10" max="10" width="8.875" hidden="1" customWidth="1"/>
    <col min="11" max="11" width="30.25" customWidth="1"/>
    <col min="14" max="14" width="26.375" customWidth="1"/>
  </cols>
  <sheetData>
    <row r="1" spans="1:18" ht="19.5" thickBot="1"/>
    <row r="2" spans="1:18" ht="60.75" thickBot="1">
      <c r="F2" s="1" t="s">
        <v>41</v>
      </c>
      <c r="G2" s="1" t="s">
        <v>42</v>
      </c>
      <c r="H2" s="1" t="s">
        <v>43</v>
      </c>
      <c r="I2" s="1" t="s">
        <v>44</v>
      </c>
      <c r="J2" s="1" t="s">
        <v>45</v>
      </c>
    </row>
    <row r="3" spans="1:18" ht="30.75" thickBot="1">
      <c r="F3" s="2" t="s">
        <v>46</v>
      </c>
      <c r="G3" s="3" t="s">
        <v>3006</v>
      </c>
      <c r="H3" s="3"/>
      <c r="I3" s="3" t="s">
        <v>3007</v>
      </c>
      <c r="J3" s="3" t="s">
        <v>49</v>
      </c>
      <c r="K3" t="s">
        <v>3008</v>
      </c>
    </row>
    <row r="4" spans="1:18">
      <c r="F4" s="41" t="s">
        <v>51</v>
      </c>
      <c r="G4" s="42"/>
      <c r="H4" s="42"/>
      <c r="I4" s="42"/>
      <c r="J4" s="43"/>
    </row>
    <row r="5" spans="1:18" ht="19.5" thickBot="1">
      <c r="F5" s="44" t="s">
        <v>3009</v>
      </c>
      <c r="G5" s="45"/>
      <c r="H5" s="45"/>
      <c r="I5" s="45"/>
      <c r="J5" s="46"/>
    </row>
    <row r="6" spans="1:18" ht="19.5" thickBot="1">
      <c r="K6" t="str">
        <f>"DROP TABLE IF EXISTS "&amp;K3&amp;" CASCADE;"</f>
        <v>DROP TABLE IF EXISTS rms_contract_basic_information CASCADE;</v>
      </c>
      <c r="R6" s="33" t="s">
        <v>3010</v>
      </c>
    </row>
    <row r="7" spans="1:18" ht="19.5" thickBot="1">
      <c r="K7" t="str">
        <f>"CREATE TABLE IF NOT EXISTS "&amp;K3&amp;" ("</f>
        <v>CREATE TABLE IF NOT EXISTS rms_contract_basic_information (</v>
      </c>
      <c r="N7" s="40" t="str">
        <f>"COMMENT ON TABLE "&amp;K3&amp;" IS '"&amp;G3&amp;"';"</f>
        <v>COMMENT ON TABLE rms_contract_basic_information IS 'b_hjn_rms_契約基本情報';</v>
      </c>
      <c r="R7" s="33" t="s">
        <v>3011</v>
      </c>
    </row>
    <row r="8" spans="1:18" ht="19.5" thickBot="1">
      <c r="A8" s="4" t="s">
        <v>54</v>
      </c>
      <c r="B8" s="4" t="s">
        <v>55</v>
      </c>
      <c r="C8" s="4" t="s">
        <v>56</v>
      </c>
      <c r="D8" s="4" t="s">
        <v>57</v>
      </c>
      <c r="E8" s="4" t="s">
        <v>58</v>
      </c>
      <c r="F8" s="4" t="s">
        <v>59</v>
      </c>
      <c r="G8" s="4" t="s">
        <v>60</v>
      </c>
      <c r="H8" s="4" t="s">
        <v>61</v>
      </c>
      <c r="I8" s="4" t="s">
        <v>62</v>
      </c>
      <c r="J8" s="4" t="s">
        <v>63</v>
      </c>
      <c r="K8" t="s">
        <v>64</v>
      </c>
      <c r="N8" s="38" t="str">
        <f>"COMMENT ON COLUMN "&amp;$K$3&amp;".id IS 'id';"</f>
        <v>COMMENT ON COLUMN rms_contract_basic_information.id IS 'id';</v>
      </c>
      <c r="R8" s="34" t="s">
        <v>65</v>
      </c>
    </row>
    <row r="9" spans="1:18" ht="19.5" thickBot="1">
      <c r="A9" s="3"/>
      <c r="B9" s="3">
        <v>1</v>
      </c>
      <c r="C9" s="3" t="s">
        <v>3</v>
      </c>
      <c r="D9" s="3" t="s">
        <v>66</v>
      </c>
      <c r="E9" s="3">
        <v>48</v>
      </c>
      <c r="F9" s="2" t="s">
        <v>67</v>
      </c>
      <c r="G9" s="3"/>
      <c r="H9" s="5"/>
      <c r="I9" s="3"/>
      <c r="J9" s="3"/>
      <c r="K9" s="25" t="s">
        <v>3012</v>
      </c>
      <c r="L9" t="str">
        <f>D9&amp;"("&amp;E9&amp;"),"</f>
        <v>VARCHAR(48),</v>
      </c>
      <c r="N9" s="38" t="str">
        <f>"COMMENT ON COLUMN "&amp;$K$3&amp;"."&amp;$K9&amp;" IS '"&amp;C9&amp;"';"</f>
        <v>COMMENT ON COLUMN rms_contract_basic_information.order_number IS 'オーダ番号';</v>
      </c>
      <c r="R9" s="34" t="s">
        <v>3013</v>
      </c>
    </row>
    <row r="10" spans="1:18" ht="19.5" thickBot="1">
      <c r="A10" s="6"/>
      <c r="B10" s="6">
        <v>2</v>
      </c>
      <c r="C10" s="6" t="s">
        <v>3014</v>
      </c>
      <c r="D10" s="6" t="s">
        <v>66</v>
      </c>
      <c r="E10" s="6">
        <v>9</v>
      </c>
      <c r="F10" s="7" t="s">
        <v>67</v>
      </c>
      <c r="G10" s="6" t="s">
        <v>3015</v>
      </c>
      <c r="H10" s="8"/>
      <c r="I10" s="6"/>
      <c r="J10" s="6"/>
      <c r="K10" s="25" t="s">
        <v>3016</v>
      </c>
      <c r="L10" t="str">
        <f t="shared" ref="L10:L73" si="0">D10&amp;"("&amp;E10&amp;"),"</f>
        <v>VARCHAR(9),</v>
      </c>
      <c r="N10" s="38" t="str">
        <f>"COMMENT ON COLUMN "&amp;$K$3&amp;"."&amp;$K10&amp;" IS '"&amp;C10&amp;"';"</f>
        <v>COMMENT ON COLUMN rms_contract_basic_information.order_detail_line_number IS 'オーダ明細行番号';</v>
      </c>
      <c r="R10" s="34" t="s">
        <v>3017</v>
      </c>
    </row>
    <row r="11" spans="1:18" ht="19.5" thickBot="1">
      <c r="A11" s="3"/>
      <c r="B11" s="3">
        <v>3</v>
      </c>
      <c r="C11" s="3" t="s">
        <v>3018</v>
      </c>
      <c r="D11" s="3" t="s">
        <v>66</v>
      </c>
      <c r="E11" s="3">
        <v>48</v>
      </c>
      <c r="F11" s="2" t="s">
        <v>67</v>
      </c>
      <c r="G11" s="3" t="s">
        <v>3019</v>
      </c>
      <c r="H11" s="5"/>
      <c r="I11" s="3"/>
      <c r="J11" s="3"/>
      <c r="K11" s="25" t="s">
        <v>3020</v>
      </c>
      <c r="L11" t="str">
        <f t="shared" si="0"/>
        <v>VARCHAR(48),</v>
      </c>
      <c r="N11" s="38" t="str">
        <f t="shared" ref="N11:N73" si="1">"COMMENT ON COLUMN "&amp;$K$3&amp;"."&amp;$K11&amp;" IS '"&amp;C11&amp;"';"</f>
        <v>COMMENT ON COLUMN rms_contract_basic_information.g3_order_number IS 'g3オーダ番号';</v>
      </c>
      <c r="R11" s="34" t="s">
        <v>3021</v>
      </c>
    </row>
    <row r="12" spans="1:18" ht="19.5" thickBot="1">
      <c r="A12" s="6"/>
      <c r="B12" s="6">
        <v>4</v>
      </c>
      <c r="C12" s="6" t="s">
        <v>3022</v>
      </c>
      <c r="D12" s="6" t="s">
        <v>66</v>
      </c>
      <c r="E12" s="6">
        <v>48</v>
      </c>
      <c r="F12" s="7" t="s">
        <v>67</v>
      </c>
      <c r="G12" s="6" t="s">
        <v>3023</v>
      </c>
      <c r="H12" s="8"/>
      <c r="I12" s="6"/>
      <c r="J12" s="6"/>
      <c r="K12" s="25" t="s">
        <v>3024</v>
      </c>
      <c r="L12" t="str">
        <f t="shared" si="0"/>
        <v>VARCHAR(48),</v>
      </c>
      <c r="N12" s="38" t="str">
        <f t="shared" si="1"/>
        <v>COMMENT ON COLUMN rms_contract_basic_information.g3_order_line_code IS 'g3オーダ回線コード';</v>
      </c>
      <c r="R12" s="34" t="s">
        <v>3025</v>
      </c>
    </row>
    <row r="13" spans="1:18" ht="19.5" thickBot="1">
      <c r="A13" s="3"/>
      <c r="B13" s="3">
        <v>5</v>
      </c>
      <c r="C13" s="3" t="s">
        <v>7</v>
      </c>
      <c r="D13" s="3" t="s">
        <v>66</v>
      </c>
      <c r="E13" s="3">
        <v>30</v>
      </c>
      <c r="F13" s="2" t="s">
        <v>67</v>
      </c>
      <c r="G13" s="3"/>
      <c r="H13" s="5"/>
      <c r="I13" s="3"/>
      <c r="J13" s="3"/>
      <c r="K13" s="25" t="s">
        <v>3026</v>
      </c>
      <c r="L13" t="str">
        <f t="shared" si="0"/>
        <v>VARCHAR(30),</v>
      </c>
      <c r="N13" s="38" t="str">
        <f t="shared" si="1"/>
        <v>COMMENT ON COLUMN rms_contract_basic_information.ssharp IS 's#';</v>
      </c>
      <c r="R13" s="34" t="s">
        <v>3027</v>
      </c>
    </row>
    <row r="14" spans="1:18" ht="19.5" thickBot="1">
      <c r="A14" s="6"/>
      <c r="B14" s="6">
        <v>6</v>
      </c>
      <c r="C14" s="6" t="s">
        <v>10</v>
      </c>
      <c r="D14" s="6" t="s">
        <v>66</v>
      </c>
      <c r="E14" s="6">
        <v>30</v>
      </c>
      <c r="F14" s="7" t="s">
        <v>67</v>
      </c>
      <c r="G14" s="6" t="s">
        <v>3028</v>
      </c>
      <c r="H14" s="8"/>
      <c r="I14" s="6"/>
      <c r="J14" s="6"/>
      <c r="K14" s="25" t="s">
        <v>3029</v>
      </c>
      <c r="L14" t="str">
        <f t="shared" si="0"/>
        <v>VARCHAR(30),</v>
      </c>
      <c r="N14" s="38" t="str">
        <f t="shared" si="1"/>
        <v>COMMENT ON COLUMN rms_contract_basic_information.bsharp IS 'b#';</v>
      </c>
      <c r="R14" s="34" t="s">
        <v>3030</v>
      </c>
    </row>
    <row r="15" spans="1:18" ht="30.75" thickBot="1">
      <c r="A15" s="3"/>
      <c r="B15" s="3">
        <v>7</v>
      </c>
      <c r="C15" s="3" t="s">
        <v>3031</v>
      </c>
      <c r="D15" s="3" t="s">
        <v>66</v>
      </c>
      <c r="E15" s="3">
        <v>30</v>
      </c>
      <c r="F15" s="2" t="s">
        <v>67</v>
      </c>
      <c r="G15" s="3" t="s">
        <v>3032</v>
      </c>
      <c r="H15" s="5"/>
      <c r="I15" s="3"/>
      <c r="J15" s="3"/>
      <c r="K15" s="25" t="s">
        <v>3033</v>
      </c>
      <c r="L15" t="str">
        <f t="shared" si="0"/>
        <v>VARCHAR(30),</v>
      </c>
      <c r="N15" s="38" t="str">
        <f t="shared" si="1"/>
        <v>COMMENT ON COLUMN rms_contract_basic_information.model_contract_ssharp IS '機種契約s#';</v>
      </c>
      <c r="R15" s="34" t="s">
        <v>3034</v>
      </c>
    </row>
    <row r="16" spans="1:18" ht="30.75" thickBot="1">
      <c r="A16" s="6"/>
      <c r="B16" s="6">
        <v>8</v>
      </c>
      <c r="C16" s="6" t="s">
        <v>3035</v>
      </c>
      <c r="D16" s="6" t="s">
        <v>66</v>
      </c>
      <c r="E16" s="6">
        <v>30</v>
      </c>
      <c r="F16" s="7" t="s">
        <v>67</v>
      </c>
      <c r="G16" s="6" t="s">
        <v>3032</v>
      </c>
      <c r="H16" s="8"/>
      <c r="I16" s="6"/>
      <c r="J16" s="6"/>
      <c r="K16" s="25" t="s">
        <v>3036</v>
      </c>
      <c r="L16" t="str">
        <f t="shared" si="0"/>
        <v>VARCHAR(30),</v>
      </c>
      <c r="N16" s="38" t="str">
        <f t="shared" si="1"/>
        <v>COMMENT ON COLUMN rms_contract_basic_information.model_contract_bsharp IS '機種契約b#';</v>
      </c>
      <c r="R16" s="34" t="s">
        <v>3037</v>
      </c>
    </row>
    <row r="17" spans="1:18" ht="30.75" thickBot="1">
      <c r="A17" s="3"/>
      <c r="B17" s="3">
        <v>9</v>
      </c>
      <c r="C17" s="3" t="s">
        <v>3038</v>
      </c>
      <c r="D17" s="3" t="s">
        <v>66</v>
      </c>
      <c r="E17" s="3">
        <v>6</v>
      </c>
      <c r="F17" s="2" t="s">
        <v>67</v>
      </c>
      <c r="G17" s="3" t="s">
        <v>3039</v>
      </c>
      <c r="H17" s="5"/>
      <c r="I17" s="3"/>
      <c r="J17" s="3"/>
      <c r="K17" s="25" t="s">
        <v>3040</v>
      </c>
      <c r="L17" t="str">
        <f t="shared" si="0"/>
        <v>VARCHAR(6),</v>
      </c>
      <c r="N17" s="38" t="str">
        <f t="shared" si="1"/>
        <v>COMMENT ON COLUMN rms_contract_basic_information.group_number IS '群番号';</v>
      </c>
      <c r="R17" s="34" t="s">
        <v>3041</v>
      </c>
    </row>
    <row r="18" spans="1:18" ht="19.5" thickBot="1">
      <c r="A18" s="6"/>
      <c r="B18" s="6">
        <v>10</v>
      </c>
      <c r="C18" s="6" t="s">
        <v>3042</v>
      </c>
      <c r="D18" s="6" t="s">
        <v>66</v>
      </c>
      <c r="E18" s="6">
        <v>45</v>
      </c>
      <c r="F18" s="7" t="s">
        <v>67</v>
      </c>
      <c r="G18" s="6" t="s">
        <v>3043</v>
      </c>
      <c r="H18" s="8"/>
      <c r="I18" s="6"/>
      <c r="J18" s="6"/>
      <c r="K18" s="25" t="s">
        <v>3044</v>
      </c>
      <c r="L18" t="str">
        <f t="shared" si="0"/>
        <v>VARCHAR(45),</v>
      </c>
      <c r="N18" s="38" t="str">
        <f t="shared" si="1"/>
        <v>COMMENT ON COLUMN rms_contract_basic_information.catalog_item_code IS 'カタログ品目コード';</v>
      </c>
      <c r="R18" s="34" t="s">
        <v>3045</v>
      </c>
    </row>
    <row r="19" spans="1:18" ht="19.5" thickBot="1">
      <c r="A19" s="3"/>
      <c r="B19" s="3">
        <v>11</v>
      </c>
      <c r="C19" s="3" t="s">
        <v>3046</v>
      </c>
      <c r="D19" s="3" t="s">
        <v>66</v>
      </c>
      <c r="E19" s="3">
        <v>450</v>
      </c>
      <c r="F19" s="2" t="s">
        <v>67</v>
      </c>
      <c r="G19" s="3" t="s">
        <v>3047</v>
      </c>
      <c r="H19" s="5"/>
      <c r="I19" s="3"/>
      <c r="J19" s="3"/>
      <c r="K19" s="25" t="s">
        <v>3048</v>
      </c>
      <c r="L19" t="str">
        <f t="shared" si="0"/>
        <v>VARCHAR(450),</v>
      </c>
      <c r="N19" s="38" t="str">
        <f t="shared" si="1"/>
        <v>COMMENT ON COLUMN rms_contract_basic_information.catalog_item_code_name IS 'カタログ品目コード名';</v>
      </c>
      <c r="R19" s="34" t="s">
        <v>3049</v>
      </c>
    </row>
    <row r="20" spans="1:18" ht="19.5" thickBot="1">
      <c r="A20" s="6"/>
      <c r="B20" s="6">
        <v>12</v>
      </c>
      <c r="C20" s="6" t="s">
        <v>3050</v>
      </c>
      <c r="D20" s="6" t="s">
        <v>66</v>
      </c>
      <c r="E20" s="6">
        <v>45</v>
      </c>
      <c r="F20" s="7" t="s">
        <v>67</v>
      </c>
      <c r="G20" s="6" t="s">
        <v>3043</v>
      </c>
      <c r="H20" s="8"/>
      <c r="I20" s="6"/>
      <c r="J20" s="6"/>
      <c r="K20" s="25" t="s">
        <v>3051</v>
      </c>
      <c r="L20" t="str">
        <f t="shared" si="0"/>
        <v>VARCHAR(45),</v>
      </c>
      <c r="N20" s="38" t="str">
        <f t="shared" si="1"/>
        <v>COMMENT ON COLUMN rms_contract_basic_information.converted_catalog_item_cd IS '変換後カタログ品目cd';</v>
      </c>
      <c r="R20" s="34" t="s">
        <v>3052</v>
      </c>
    </row>
    <row r="21" spans="1:18" ht="19.5" thickBot="1">
      <c r="A21" s="3"/>
      <c r="B21" s="3">
        <v>13</v>
      </c>
      <c r="C21" s="3" t="s">
        <v>3053</v>
      </c>
      <c r="D21" s="3" t="s">
        <v>66</v>
      </c>
      <c r="E21" s="3">
        <v>450</v>
      </c>
      <c r="F21" s="2" t="s">
        <v>67</v>
      </c>
      <c r="G21" s="3" t="s">
        <v>3047</v>
      </c>
      <c r="H21" s="5"/>
      <c r="I21" s="3"/>
      <c r="J21" s="3"/>
      <c r="K21" s="25" t="s">
        <v>3054</v>
      </c>
      <c r="L21" t="str">
        <f t="shared" si="0"/>
        <v>VARCHAR(450),</v>
      </c>
      <c r="N21" s="38" t="str">
        <f t="shared" si="1"/>
        <v>COMMENT ON COLUMN rms_contract_basic_information.converted_catalog_item_cd_name IS '変換後catalogs品目cd名';</v>
      </c>
      <c r="R21" s="34" t="s">
        <v>3055</v>
      </c>
    </row>
    <row r="22" spans="1:18" ht="19.5" thickBot="1">
      <c r="A22" s="6"/>
      <c r="B22" s="6">
        <v>14</v>
      </c>
      <c r="C22" s="6" t="s">
        <v>3056</v>
      </c>
      <c r="D22" s="6" t="s">
        <v>66</v>
      </c>
      <c r="E22" s="6">
        <v>1800</v>
      </c>
      <c r="F22" s="7" t="s">
        <v>67</v>
      </c>
      <c r="G22" s="6" t="s">
        <v>3057</v>
      </c>
      <c r="H22" s="8"/>
      <c r="I22" s="6"/>
      <c r="J22" s="6"/>
      <c r="K22" s="25" t="s">
        <v>3058</v>
      </c>
      <c r="L22" t="str">
        <f t="shared" si="0"/>
        <v>VARCHAR(1800),</v>
      </c>
      <c r="N22" s="38" t="str">
        <f t="shared" si="1"/>
        <v>COMMENT ON COLUMN rms_contract_basic_information.color IS '色';</v>
      </c>
      <c r="R22" s="34" t="s">
        <v>3059</v>
      </c>
    </row>
    <row r="23" spans="1:18" ht="30.75" thickBot="1">
      <c r="A23" s="3"/>
      <c r="B23" s="3">
        <v>15</v>
      </c>
      <c r="C23" s="3" t="s">
        <v>3060</v>
      </c>
      <c r="D23" s="3" t="s">
        <v>66</v>
      </c>
      <c r="E23" s="3">
        <v>6</v>
      </c>
      <c r="F23" s="2" t="s">
        <v>67</v>
      </c>
      <c r="G23" s="3" t="s">
        <v>3061</v>
      </c>
      <c r="H23" s="5"/>
      <c r="I23" s="3"/>
      <c r="J23" s="3"/>
      <c r="K23" s="25" t="s">
        <v>3062</v>
      </c>
      <c r="L23" t="str">
        <f t="shared" si="0"/>
        <v>VARCHAR(6),</v>
      </c>
      <c r="N23" s="38" t="str">
        <f t="shared" si="1"/>
        <v>COMMENT ON COLUMN rms_contract_basic_information.old_mobile_device_sales_method IS '旧移動機販売方法';</v>
      </c>
      <c r="R23" s="34" t="s">
        <v>3063</v>
      </c>
    </row>
    <row r="24" spans="1:18" ht="19.5" thickBot="1">
      <c r="A24" s="6"/>
      <c r="B24" s="6">
        <v>16</v>
      </c>
      <c r="C24" s="6" t="s">
        <v>3064</v>
      </c>
      <c r="D24" s="6" t="s">
        <v>66</v>
      </c>
      <c r="E24" s="6">
        <v>2295</v>
      </c>
      <c r="F24" s="7" t="s">
        <v>67</v>
      </c>
      <c r="G24" s="6" t="s">
        <v>3065</v>
      </c>
      <c r="H24" s="8"/>
      <c r="I24" s="6"/>
      <c r="J24" s="6"/>
      <c r="K24" s="25" t="s">
        <v>3066</v>
      </c>
      <c r="L24" t="str">
        <f t="shared" si="0"/>
        <v>VARCHAR(2295),</v>
      </c>
      <c r="N24" s="38" t="str">
        <f t="shared" si="1"/>
        <v>COMMENT ON COLUMN rms_contract_basic_information.delivery_company_name IS '納品先社名';</v>
      </c>
      <c r="R24" s="34" t="s">
        <v>3067</v>
      </c>
    </row>
    <row r="25" spans="1:18" ht="19.5" thickBot="1">
      <c r="A25" s="3"/>
      <c r="B25" s="3">
        <v>17</v>
      </c>
      <c r="C25" s="3" t="s">
        <v>3068</v>
      </c>
      <c r="D25" s="3" t="s">
        <v>66</v>
      </c>
      <c r="E25" s="3">
        <v>270</v>
      </c>
      <c r="F25" s="2" t="s">
        <v>67</v>
      </c>
      <c r="G25" s="3" t="s">
        <v>3065</v>
      </c>
      <c r="H25" s="5"/>
      <c r="I25" s="3"/>
      <c r="J25" s="3"/>
      <c r="K25" s="25" t="s">
        <v>3069</v>
      </c>
      <c r="L25" t="str">
        <f t="shared" si="0"/>
        <v>VARCHAR(270),</v>
      </c>
      <c r="N25" s="38" t="str">
        <f t="shared" si="1"/>
        <v>COMMENT ON COLUMN rms_contract_basic_information.delivery_department_name IS '納品先部署名';</v>
      </c>
      <c r="R25" s="34" t="s">
        <v>3070</v>
      </c>
    </row>
    <row r="26" spans="1:18" ht="19.5" thickBot="1">
      <c r="A26" s="6"/>
      <c r="B26" s="6">
        <v>18</v>
      </c>
      <c r="C26" s="6" t="s">
        <v>3071</v>
      </c>
      <c r="D26" s="6" t="s">
        <v>66</v>
      </c>
      <c r="E26" s="6">
        <v>270</v>
      </c>
      <c r="F26" s="7" t="s">
        <v>67</v>
      </c>
      <c r="G26" s="6" t="s">
        <v>3065</v>
      </c>
      <c r="H26" s="8"/>
      <c r="I26" s="6"/>
      <c r="J26" s="6"/>
      <c r="K26" s="25" t="s">
        <v>3072</v>
      </c>
      <c r="L26" t="str">
        <f t="shared" si="0"/>
        <v>VARCHAR(270),</v>
      </c>
      <c r="N26" s="38" t="str">
        <f t="shared" si="1"/>
        <v>COMMENT ON COLUMN rms_contract_basic_information.delivery_contact_name IS '納品先ご担当者名';</v>
      </c>
      <c r="R26" s="34" t="s">
        <v>3073</v>
      </c>
    </row>
    <row r="27" spans="1:18" ht="19.5" thickBot="1">
      <c r="A27" s="3"/>
      <c r="B27" s="3">
        <v>19</v>
      </c>
      <c r="C27" s="3" t="s">
        <v>3074</v>
      </c>
      <c r="D27" s="3" t="s">
        <v>66</v>
      </c>
      <c r="E27" s="3">
        <v>540</v>
      </c>
      <c r="F27" s="2" t="s">
        <v>67</v>
      </c>
      <c r="G27" s="3" t="s">
        <v>3065</v>
      </c>
      <c r="H27" s="5"/>
      <c r="I27" s="3"/>
      <c r="J27" s="3"/>
      <c r="K27" s="25" t="s">
        <v>3075</v>
      </c>
      <c r="L27" t="str">
        <f t="shared" si="0"/>
        <v>VARCHAR(540),</v>
      </c>
      <c r="N27" s="38" t="str">
        <f t="shared" si="1"/>
        <v>COMMENT ON COLUMN rms_contract_basic_information.delivery_contact_name_kana IS '納品先ご担当者名カナ';</v>
      </c>
      <c r="R27" s="34" t="s">
        <v>3076</v>
      </c>
    </row>
    <row r="28" spans="1:18" ht="19.5" thickBot="1">
      <c r="A28" s="6"/>
      <c r="B28" s="6">
        <v>20</v>
      </c>
      <c r="C28" s="6" t="s">
        <v>3077</v>
      </c>
      <c r="D28" s="6" t="s">
        <v>66</v>
      </c>
      <c r="E28" s="6">
        <v>21</v>
      </c>
      <c r="F28" s="7" t="s">
        <v>67</v>
      </c>
      <c r="G28" s="6"/>
      <c r="H28" s="8"/>
      <c r="I28" s="6"/>
      <c r="J28" s="6"/>
      <c r="K28" s="25" t="s">
        <v>3078</v>
      </c>
      <c r="L28" t="str">
        <f t="shared" si="0"/>
        <v>VARCHAR(21),</v>
      </c>
      <c r="N28" s="38" t="str">
        <f t="shared" si="1"/>
        <v>COMMENT ON COLUMN rms_contract_basic_information.delivery_postal_code IS '納品先郵便番号';</v>
      </c>
      <c r="R28" s="34" t="s">
        <v>3079</v>
      </c>
    </row>
    <row r="29" spans="1:18" ht="19.5" thickBot="1">
      <c r="A29" s="3"/>
      <c r="B29" s="3">
        <v>21</v>
      </c>
      <c r="C29" s="3" t="s">
        <v>3080</v>
      </c>
      <c r="D29" s="3" t="s">
        <v>66</v>
      </c>
      <c r="E29" s="3">
        <v>90</v>
      </c>
      <c r="F29" s="2" t="s">
        <v>67</v>
      </c>
      <c r="G29" s="3" t="s">
        <v>3065</v>
      </c>
      <c r="H29" s="5"/>
      <c r="I29" s="3"/>
      <c r="J29" s="3"/>
      <c r="K29" s="25" t="s">
        <v>3081</v>
      </c>
      <c r="L29" t="str">
        <f t="shared" si="0"/>
        <v>VARCHAR(90),</v>
      </c>
      <c r="N29" s="38" t="str">
        <f t="shared" si="1"/>
        <v>COMMENT ON COLUMN rms_contract_basic_information.delivery_prefecture IS '納品先都道府県';</v>
      </c>
      <c r="R29" s="34" t="s">
        <v>3082</v>
      </c>
    </row>
    <row r="30" spans="1:18" ht="19.5" thickBot="1">
      <c r="A30" s="6"/>
      <c r="B30" s="6">
        <v>22</v>
      </c>
      <c r="C30" s="6" t="s">
        <v>3083</v>
      </c>
      <c r="D30" s="6" t="s">
        <v>66</v>
      </c>
      <c r="E30" s="6">
        <v>720</v>
      </c>
      <c r="F30" s="7" t="s">
        <v>67</v>
      </c>
      <c r="G30" s="6" t="s">
        <v>3065</v>
      </c>
      <c r="H30" s="8"/>
      <c r="I30" s="6"/>
      <c r="J30" s="6"/>
      <c r="K30" s="25" t="s">
        <v>3084</v>
      </c>
      <c r="L30" t="str">
        <f t="shared" si="0"/>
        <v>VARCHAR(720),</v>
      </c>
      <c r="N30" s="38" t="str">
        <f t="shared" si="1"/>
        <v>COMMENT ON COLUMN rms_contract_basic_information.delivery_address_city IS '納品先市区郡町村';</v>
      </c>
      <c r="R30" s="34" t="s">
        <v>3085</v>
      </c>
    </row>
    <row r="31" spans="1:18" ht="19.5" thickBot="1">
      <c r="A31" s="3"/>
      <c r="B31" s="3">
        <v>23</v>
      </c>
      <c r="C31" s="3" t="s">
        <v>3086</v>
      </c>
      <c r="D31" s="3" t="s">
        <v>66</v>
      </c>
      <c r="E31" s="3">
        <v>720</v>
      </c>
      <c r="F31" s="2" t="s">
        <v>67</v>
      </c>
      <c r="G31" s="3" t="s">
        <v>3065</v>
      </c>
      <c r="H31" s="5"/>
      <c r="I31" s="3"/>
      <c r="J31" s="3"/>
      <c r="K31" s="25" t="s">
        <v>3087</v>
      </c>
      <c r="L31" t="str">
        <f t="shared" si="0"/>
        <v>VARCHAR(720),</v>
      </c>
      <c r="N31" s="38" t="str">
        <f t="shared" si="1"/>
        <v>COMMENT ON COLUMN rms_contract_basic_information.delivery_address_oaza IS '納品先通称大字';</v>
      </c>
      <c r="R31" s="34" t="s">
        <v>3088</v>
      </c>
    </row>
    <row r="32" spans="1:18" ht="19.5" thickBot="1">
      <c r="A32" s="6"/>
      <c r="B32" s="6">
        <v>24</v>
      </c>
      <c r="C32" s="6" t="s">
        <v>3089</v>
      </c>
      <c r="D32" s="6" t="s">
        <v>66</v>
      </c>
      <c r="E32" s="6">
        <v>720</v>
      </c>
      <c r="F32" s="7" t="s">
        <v>67</v>
      </c>
      <c r="G32" s="6" t="s">
        <v>3065</v>
      </c>
      <c r="H32" s="8"/>
      <c r="I32" s="6"/>
      <c r="J32" s="6"/>
      <c r="K32" s="25" t="s">
        <v>3090</v>
      </c>
      <c r="L32" t="str">
        <f t="shared" si="0"/>
        <v>VARCHAR(720),</v>
      </c>
      <c r="N32" s="38" t="str">
        <f t="shared" si="1"/>
        <v>COMMENT ON COLUMN rms_contract_basic_information.delivery_address_block IS '納品先丁目字等';</v>
      </c>
      <c r="R32" s="34" t="s">
        <v>3091</v>
      </c>
    </row>
    <row r="33" spans="1:18" ht="19.5" thickBot="1">
      <c r="A33" s="3"/>
      <c r="B33" s="3">
        <v>25</v>
      </c>
      <c r="C33" s="3" t="s">
        <v>3092</v>
      </c>
      <c r="D33" s="3" t="s">
        <v>66</v>
      </c>
      <c r="E33" s="3">
        <v>720</v>
      </c>
      <c r="F33" s="2" t="s">
        <v>67</v>
      </c>
      <c r="G33" s="3" t="s">
        <v>3065</v>
      </c>
      <c r="H33" s="5"/>
      <c r="I33" s="3"/>
      <c r="J33" s="3"/>
      <c r="K33" s="25" t="s">
        <v>3093</v>
      </c>
      <c r="L33" t="str">
        <f t="shared" si="0"/>
        <v>VARCHAR(720),</v>
      </c>
      <c r="N33" s="38" t="str">
        <f t="shared" si="1"/>
        <v>COMMENT ON COLUMN rms_contract_basic_information.delivery_address_street IS '納品先番地';</v>
      </c>
      <c r="R33" s="34" t="s">
        <v>3094</v>
      </c>
    </row>
    <row r="34" spans="1:18" ht="19.5" thickBot="1">
      <c r="A34" s="6"/>
      <c r="B34" s="6">
        <v>26</v>
      </c>
      <c r="C34" s="6" t="s">
        <v>3095</v>
      </c>
      <c r="D34" s="6" t="s">
        <v>66</v>
      </c>
      <c r="E34" s="6">
        <v>2295</v>
      </c>
      <c r="F34" s="7" t="s">
        <v>67</v>
      </c>
      <c r="G34" s="6" t="s">
        <v>3065</v>
      </c>
      <c r="H34" s="8"/>
      <c r="I34" s="6"/>
      <c r="J34" s="6"/>
      <c r="K34" s="25" t="s">
        <v>3096</v>
      </c>
      <c r="L34" t="str">
        <f t="shared" si="0"/>
        <v>VARCHAR(2295),</v>
      </c>
      <c r="N34" s="38" t="str">
        <f t="shared" si="1"/>
        <v>COMMENT ON COLUMN rms_contract_basic_information.delivery_room_no IS '納品先_部屋no';</v>
      </c>
      <c r="R34" s="34" t="s">
        <v>3097</v>
      </c>
    </row>
    <row r="35" spans="1:18" ht="19.5" thickBot="1">
      <c r="A35" s="3"/>
      <c r="B35" s="3">
        <v>27</v>
      </c>
      <c r="C35" s="3" t="s">
        <v>3098</v>
      </c>
      <c r="D35" s="3" t="s">
        <v>66</v>
      </c>
      <c r="E35" s="3">
        <v>117</v>
      </c>
      <c r="F35" s="2" t="s">
        <v>67</v>
      </c>
      <c r="G35" s="3" t="s">
        <v>3065</v>
      </c>
      <c r="H35" s="5"/>
      <c r="I35" s="3"/>
      <c r="J35" s="3"/>
      <c r="K35" s="25" t="s">
        <v>3099</v>
      </c>
      <c r="L35" t="str">
        <f t="shared" si="0"/>
        <v>VARCHAR(117),</v>
      </c>
      <c r="N35" s="38" t="str">
        <f t="shared" si="1"/>
        <v>COMMENT ON COLUMN rms_contract_basic_information.delivery_phone_number IS '納品先電話番号';</v>
      </c>
      <c r="R35" s="34" t="s">
        <v>3100</v>
      </c>
    </row>
    <row r="36" spans="1:18" ht="19.5" thickBot="1">
      <c r="A36" s="6"/>
      <c r="B36" s="6">
        <v>28</v>
      </c>
      <c r="C36" s="6" t="s">
        <v>3101</v>
      </c>
      <c r="D36" s="6" t="s">
        <v>66</v>
      </c>
      <c r="E36" s="6">
        <v>6</v>
      </c>
      <c r="F36" s="7" t="s">
        <v>67</v>
      </c>
      <c r="G36" s="6" t="s">
        <v>3102</v>
      </c>
      <c r="H36" s="8"/>
      <c r="I36" s="6"/>
      <c r="J36" s="6"/>
      <c r="K36" s="25" t="s">
        <v>3103</v>
      </c>
      <c r="L36" t="str">
        <f t="shared" si="0"/>
        <v>VARCHAR(6),</v>
      </c>
      <c r="N36" s="38" t="str">
        <f t="shared" si="1"/>
        <v>COMMENT ON COLUMN rms_contract_basic_information.line_contract_status IS '回線契約ステータス';</v>
      </c>
      <c r="R36" s="34" t="s">
        <v>3104</v>
      </c>
    </row>
    <row r="37" spans="1:18" ht="19.5" thickBot="1">
      <c r="A37" s="3"/>
      <c r="B37" s="3">
        <v>29</v>
      </c>
      <c r="C37" s="3" t="s">
        <v>3105</v>
      </c>
      <c r="D37" s="3" t="s">
        <v>66</v>
      </c>
      <c r="E37" s="3">
        <v>300</v>
      </c>
      <c r="F37" s="2" t="s">
        <v>67</v>
      </c>
      <c r="G37" s="3" t="s">
        <v>3106</v>
      </c>
      <c r="H37" s="5"/>
      <c r="I37" s="3"/>
      <c r="J37" s="3"/>
      <c r="K37" s="25" t="s">
        <v>3107</v>
      </c>
      <c r="L37" t="str">
        <f t="shared" si="0"/>
        <v>VARCHAR(300),</v>
      </c>
      <c r="N37" s="38" t="str">
        <f t="shared" si="1"/>
        <v>COMMENT ON COLUMN rms_contract_basic_information.line_contract_status_name IS '回線契約ステータス名';</v>
      </c>
      <c r="R37" s="34" t="s">
        <v>3108</v>
      </c>
    </row>
    <row r="38" spans="1:18" ht="19.5" thickBot="1">
      <c r="A38" s="6"/>
      <c r="B38" s="6">
        <v>30</v>
      </c>
      <c r="C38" s="6" t="s">
        <v>3109</v>
      </c>
      <c r="D38" s="6" t="s">
        <v>89</v>
      </c>
      <c r="E38" s="6">
        <v>9</v>
      </c>
      <c r="F38" s="7" t="s">
        <v>67</v>
      </c>
      <c r="G38" s="6" t="s">
        <v>3110</v>
      </c>
      <c r="H38" s="8"/>
      <c r="I38" s="6"/>
      <c r="J38" s="6"/>
      <c r="K38" s="25" t="s">
        <v>3111</v>
      </c>
      <c r="L38" t="str">
        <f t="shared" si="0"/>
        <v>DECIMAL(9),</v>
      </c>
      <c r="N38" s="38" t="str">
        <f t="shared" si="1"/>
        <v>COMMENT ON COLUMN rms_contract_basic_information.usage_period IS '利用期間';</v>
      </c>
      <c r="R38" s="34" t="s">
        <v>3112</v>
      </c>
    </row>
    <row r="39" spans="1:18" ht="19.5" thickBot="1">
      <c r="A39" s="3"/>
      <c r="B39" s="3">
        <v>31</v>
      </c>
      <c r="C39" s="3" t="s">
        <v>3113</v>
      </c>
      <c r="D39" s="3" t="s">
        <v>89</v>
      </c>
      <c r="E39" s="3">
        <v>30</v>
      </c>
      <c r="F39" s="2" t="s">
        <v>67</v>
      </c>
      <c r="G39" s="3" t="s">
        <v>3114</v>
      </c>
      <c r="H39" s="5"/>
      <c r="I39" s="3"/>
      <c r="J39" s="3"/>
      <c r="K39" s="25" t="s">
        <v>3115</v>
      </c>
      <c r="L39" t="str">
        <f t="shared" si="0"/>
        <v>DECIMAL(30),</v>
      </c>
      <c r="N39" s="38" t="str">
        <f t="shared" si="1"/>
        <v>COMMENT ON COLUMN rms_contract_basic_information.allocation_points IS '充当ポイント';</v>
      </c>
      <c r="R39" s="34" t="s">
        <v>3116</v>
      </c>
    </row>
    <row r="40" spans="1:18" ht="19.5" thickBot="1">
      <c r="A40" s="6"/>
      <c r="B40" s="6">
        <v>32</v>
      </c>
      <c r="C40" s="6" t="s">
        <v>3117</v>
      </c>
      <c r="D40" s="6" t="s">
        <v>66</v>
      </c>
      <c r="E40" s="6">
        <v>6</v>
      </c>
      <c r="F40" s="7" t="s">
        <v>67</v>
      </c>
      <c r="G40" s="6" t="s">
        <v>3118</v>
      </c>
      <c r="H40" s="8"/>
      <c r="I40" s="6"/>
      <c r="J40" s="6"/>
      <c r="K40" s="25" t="s">
        <v>3119</v>
      </c>
      <c r="L40" t="str">
        <f t="shared" si="0"/>
        <v>VARCHAR(6),</v>
      </c>
      <c r="N40" s="38" t="str">
        <f t="shared" si="1"/>
        <v>COMMENT ON COLUMN rms_contract_basic_information.contract_status IS '契約ステータス';</v>
      </c>
      <c r="R40" s="34" t="s">
        <v>3120</v>
      </c>
    </row>
    <row r="41" spans="1:18" ht="19.5" thickBot="1">
      <c r="A41" s="3"/>
      <c r="B41" s="3">
        <v>33</v>
      </c>
      <c r="C41" s="3" t="s">
        <v>3121</v>
      </c>
      <c r="D41" s="3" t="s">
        <v>66</v>
      </c>
      <c r="E41" s="3">
        <v>300</v>
      </c>
      <c r="F41" s="2" t="s">
        <v>67</v>
      </c>
      <c r="G41" s="3" t="s">
        <v>3122</v>
      </c>
      <c r="H41" s="5"/>
      <c r="I41" s="3"/>
      <c r="J41" s="3"/>
      <c r="K41" s="25" t="s">
        <v>3123</v>
      </c>
      <c r="L41" t="str">
        <f t="shared" si="0"/>
        <v>VARCHAR(300),</v>
      </c>
      <c r="N41" s="38" t="str">
        <f t="shared" si="1"/>
        <v>COMMENT ON COLUMN rms_contract_basic_information.contract_status_name IS '契約ステータス名';</v>
      </c>
      <c r="R41" s="34" t="s">
        <v>3124</v>
      </c>
    </row>
    <row r="42" spans="1:18" ht="19.5" thickBot="1">
      <c r="A42" s="6"/>
      <c r="B42" s="6">
        <v>34</v>
      </c>
      <c r="C42" s="6" t="s">
        <v>3125</v>
      </c>
      <c r="D42" s="6" t="s">
        <v>66</v>
      </c>
      <c r="E42" s="6">
        <v>24</v>
      </c>
      <c r="F42" s="7" t="s">
        <v>67</v>
      </c>
      <c r="G42" s="6" t="s">
        <v>3126</v>
      </c>
      <c r="H42" s="8"/>
      <c r="I42" s="6"/>
      <c r="J42" s="6"/>
      <c r="K42" s="25" t="s">
        <v>3127</v>
      </c>
      <c r="L42" t="str">
        <f t="shared" si="0"/>
        <v>VARCHAR(24),</v>
      </c>
      <c r="N42" s="38" t="str">
        <f t="shared" si="1"/>
        <v>COMMENT ON COLUMN rms_contract_basic_information.contract_start_date IS '契約開始日';</v>
      </c>
      <c r="R42" s="34" t="s">
        <v>3128</v>
      </c>
    </row>
    <row r="43" spans="1:18" ht="19.5" thickBot="1">
      <c r="A43" s="3"/>
      <c r="B43" s="3">
        <v>35</v>
      </c>
      <c r="C43" s="3" t="s">
        <v>3129</v>
      </c>
      <c r="D43" s="3" t="s">
        <v>66</v>
      </c>
      <c r="E43" s="3">
        <v>24</v>
      </c>
      <c r="F43" s="2" t="s">
        <v>67</v>
      </c>
      <c r="G43" s="3" t="s">
        <v>3126</v>
      </c>
      <c r="H43" s="5"/>
      <c r="I43" s="3"/>
      <c r="J43" s="3"/>
      <c r="K43" s="25" t="s">
        <v>3130</v>
      </c>
      <c r="L43" t="str">
        <f t="shared" si="0"/>
        <v>VARCHAR(24),</v>
      </c>
      <c r="N43" s="38" t="str">
        <f t="shared" si="1"/>
        <v>COMMENT ON COLUMN rms_contract_basic_information.contract_end_date IS '契約終了日';</v>
      </c>
      <c r="R43" s="34" t="s">
        <v>3131</v>
      </c>
    </row>
    <row r="44" spans="1:18" ht="30.75" thickBot="1">
      <c r="A44" s="6"/>
      <c r="B44" s="6">
        <v>36</v>
      </c>
      <c r="C44" s="6" t="s">
        <v>3132</v>
      </c>
      <c r="D44" s="6" t="s">
        <v>89</v>
      </c>
      <c r="E44" s="6">
        <v>6</v>
      </c>
      <c r="F44" s="7" t="s">
        <v>67</v>
      </c>
      <c r="G44" s="6" t="s">
        <v>3133</v>
      </c>
      <c r="H44" s="8"/>
      <c r="I44" s="6"/>
      <c r="J44" s="6"/>
      <c r="K44" s="25" t="s">
        <v>3134</v>
      </c>
      <c r="L44" t="str">
        <f t="shared" si="0"/>
        <v>DECIMAL(6),</v>
      </c>
      <c r="N44" s="38" t="str">
        <f t="shared" si="1"/>
        <v>COMMENT ON COLUMN rms_contract_basic_information.contract_months IS '契約月数';</v>
      </c>
      <c r="R44" s="34" t="s">
        <v>3135</v>
      </c>
    </row>
    <row r="45" spans="1:18" ht="19.5" thickBot="1">
      <c r="A45" s="3"/>
      <c r="B45" s="3">
        <v>37</v>
      </c>
      <c r="C45" s="3" t="s">
        <v>3136</v>
      </c>
      <c r="D45" s="3" t="s">
        <v>66</v>
      </c>
      <c r="E45" s="3">
        <v>9</v>
      </c>
      <c r="F45" s="2" t="s">
        <v>67</v>
      </c>
      <c r="G45" s="3" t="s">
        <v>3137</v>
      </c>
      <c r="H45" s="5"/>
      <c r="I45" s="3"/>
      <c r="J45" s="3"/>
      <c r="K45" s="25" t="s">
        <v>1242</v>
      </c>
      <c r="L45" t="str">
        <f t="shared" si="0"/>
        <v>VARCHAR(9),</v>
      </c>
      <c r="N45" s="38" t="str">
        <f t="shared" si="1"/>
        <v>COMMENT ON COLUMN rms_contract_basic_information.generation_type IS '生成種別';</v>
      </c>
      <c r="R45" s="34" t="s">
        <v>3138</v>
      </c>
    </row>
    <row r="46" spans="1:18" ht="19.5" thickBot="1">
      <c r="A46" s="6"/>
      <c r="B46" s="6">
        <v>38</v>
      </c>
      <c r="C46" s="6" t="s">
        <v>3139</v>
      </c>
      <c r="D46" s="6" t="s">
        <v>66</v>
      </c>
      <c r="E46" s="6">
        <v>300</v>
      </c>
      <c r="F46" s="7" t="s">
        <v>67</v>
      </c>
      <c r="G46" s="6" t="s">
        <v>3140</v>
      </c>
      <c r="H46" s="8"/>
      <c r="I46" s="6"/>
      <c r="J46" s="6"/>
      <c r="K46" s="25" t="s">
        <v>3141</v>
      </c>
      <c r="L46" t="str">
        <f t="shared" si="0"/>
        <v>VARCHAR(300),</v>
      </c>
      <c r="N46" s="38" t="str">
        <f t="shared" si="1"/>
        <v>COMMENT ON COLUMN rms_contract_basic_information.generation_type_name IS '生成種別名';</v>
      </c>
      <c r="R46" s="34" t="s">
        <v>3142</v>
      </c>
    </row>
    <row r="47" spans="1:18" ht="19.5" thickBot="1">
      <c r="A47" s="3"/>
      <c r="B47" s="3">
        <v>39</v>
      </c>
      <c r="C47" s="3" t="s">
        <v>3143</v>
      </c>
      <c r="D47" s="3" t="s">
        <v>66</v>
      </c>
      <c r="E47" s="3">
        <v>9</v>
      </c>
      <c r="F47" s="2" t="s">
        <v>67</v>
      </c>
      <c r="G47" s="3" t="s">
        <v>3144</v>
      </c>
      <c r="H47" s="5"/>
      <c r="I47" s="3"/>
      <c r="J47" s="3"/>
      <c r="K47" s="25" t="s">
        <v>3145</v>
      </c>
      <c r="L47" t="str">
        <f t="shared" si="0"/>
        <v>VARCHAR(9),</v>
      </c>
      <c r="N47" s="38" t="str">
        <f t="shared" si="1"/>
        <v>COMMENT ON COLUMN rms_contract_basic_information.cancellation_type IS '解約種別';</v>
      </c>
      <c r="R47" s="34" t="s">
        <v>3146</v>
      </c>
    </row>
    <row r="48" spans="1:18" ht="19.5" thickBot="1">
      <c r="A48" s="6"/>
      <c r="B48" s="6">
        <v>40</v>
      </c>
      <c r="C48" s="6" t="s">
        <v>3147</v>
      </c>
      <c r="D48" s="6" t="s">
        <v>66</v>
      </c>
      <c r="E48" s="6">
        <v>300</v>
      </c>
      <c r="F48" s="7" t="s">
        <v>67</v>
      </c>
      <c r="G48" s="6" t="s">
        <v>3148</v>
      </c>
      <c r="H48" s="8"/>
      <c r="I48" s="6"/>
      <c r="J48" s="6"/>
      <c r="K48" s="25" t="s">
        <v>3149</v>
      </c>
      <c r="L48" t="str">
        <f t="shared" si="0"/>
        <v>VARCHAR(300),</v>
      </c>
      <c r="N48" s="38" t="str">
        <f t="shared" si="1"/>
        <v>COMMENT ON COLUMN rms_contract_basic_information.cancellation_type_name IS '解約種別名';</v>
      </c>
      <c r="R48" s="34" t="s">
        <v>3150</v>
      </c>
    </row>
    <row r="49" spans="1:18" ht="19.5" thickBot="1">
      <c r="A49" s="3"/>
      <c r="B49" s="3">
        <v>41</v>
      </c>
      <c r="C49" s="3" t="s">
        <v>3151</v>
      </c>
      <c r="D49" s="3" t="s">
        <v>66</v>
      </c>
      <c r="E49" s="3">
        <v>24</v>
      </c>
      <c r="F49" s="2" t="s">
        <v>67</v>
      </c>
      <c r="G49" s="3" t="s">
        <v>3126</v>
      </c>
      <c r="H49" s="5"/>
      <c r="I49" s="3"/>
      <c r="J49" s="3"/>
      <c r="K49" s="31" t="s">
        <v>3152</v>
      </c>
      <c r="L49" t="str">
        <f t="shared" si="0"/>
        <v>VARCHAR(24),</v>
      </c>
      <c r="N49" s="38" t="str">
        <f t="shared" si="1"/>
        <v>COMMENT ON COLUMN rms_contract_basic_information.cancellation_date IS '解約日';</v>
      </c>
      <c r="R49" s="34" t="s">
        <v>3153</v>
      </c>
    </row>
    <row r="50" spans="1:18" ht="19.5" thickBot="1">
      <c r="A50" s="6"/>
      <c r="B50" s="6">
        <v>42</v>
      </c>
      <c r="C50" s="6" t="s">
        <v>3154</v>
      </c>
      <c r="D50" s="6" t="s">
        <v>66</v>
      </c>
      <c r="E50" s="6">
        <v>48</v>
      </c>
      <c r="F50" s="7" t="s">
        <v>67</v>
      </c>
      <c r="G50" s="6" t="s">
        <v>3155</v>
      </c>
      <c r="H50" s="8"/>
      <c r="I50" s="6"/>
      <c r="J50" s="6"/>
      <c r="K50" s="25" t="s">
        <v>3156</v>
      </c>
      <c r="L50" t="str">
        <f t="shared" si="0"/>
        <v>VARCHAR(48),</v>
      </c>
      <c r="N50" s="38" t="str">
        <f t="shared" si="1"/>
        <v>COMMENT ON COLUMN rms_contract_basic_information.g3_cancellation_order_number IS 'g3解約時オーダ番号';</v>
      </c>
      <c r="R50" s="34" t="s">
        <v>3157</v>
      </c>
    </row>
    <row r="51" spans="1:18" ht="19.5" thickBot="1">
      <c r="A51" s="3"/>
      <c r="B51" s="3">
        <v>43</v>
      </c>
      <c r="C51" s="3" t="s">
        <v>3158</v>
      </c>
      <c r="D51" s="3" t="s">
        <v>66</v>
      </c>
      <c r="E51" s="3">
        <v>24</v>
      </c>
      <c r="F51" s="2" t="s">
        <v>67</v>
      </c>
      <c r="G51" s="3" t="s">
        <v>3126</v>
      </c>
      <c r="H51" s="5"/>
      <c r="I51" s="3"/>
      <c r="J51" s="3"/>
      <c r="K51" s="31" t="s">
        <v>3159</v>
      </c>
      <c r="L51" t="str">
        <f t="shared" si="0"/>
        <v>VARCHAR(24),</v>
      </c>
      <c r="N51" s="38" t="str">
        <f t="shared" si="1"/>
        <v>COMMENT ON COLUMN rms_contract_basic_information.order_cancellation_date IS 'キャンセル日';</v>
      </c>
      <c r="R51" s="34" t="s">
        <v>3160</v>
      </c>
    </row>
    <row r="52" spans="1:18" ht="19.5" thickBot="1">
      <c r="A52" s="6"/>
      <c r="B52" s="6">
        <v>44</v>
      </c>
      <c r="C52" s="6" t="s">
        <v>3161</v>
      </c>
      <c r="D52" s="6" t="s">
        <v>66</v>
      </c>
      <c r="E52" s="6">
        <v>3</v>
      </c>
      <c r="F52" s="7" t="s">
        <v>67</v>
      </c>
      <c r="G52" s="6" t="s">
        <v>3162</v>
      </c>
      <c r="H52" s="8"/>
      <c r="I52" s="6"/>
      <c r="J52" s="6"/>
      <c r="K52" s="31" t="s">
        <v>3163</v>
      </c>
      <c r="L52" t="str">
        <f t="shared" si="0"/>
        <v>VARCHAR(3),</v>
      </c>
      <c r="N52" s="38" t="str">
        <f t="shared" si="1"/>
        <v>COMMENT ON COLUMN rms_contract_basic_information.mobile_device_shipped_flg IS '移動機出荷有無';</v>
      </c>
      <c r="R52" s="34" t="s">
        <v>3164</v>
      </c>
    </row>
    <row r="53" spans="1:18" ht="19.5" thickBot="1">
      <c r="A53" s="3"/>
      <c r="B53" s="3">
        <v>45</v>
      </c>
      <c r="C53" s="3" t="s">
        <v>3165</v>
      </c>
      <c r="D53" s="3" t="s">
        <v>66</v>
      </c>
      <c r="E53" s="3">
        <v>3</v>
      </c>
      <c r="F53" s="2" t="s">
        <v>67</v>
      </c>
      <c r="G53" s="3" t="s">
        <v>3166</v>
      </c>
      <c r="H53" s="5"/>
      <c r="I53" s="3"/>
      <c r="J53" s="3"/>
      <c r="K53" s="31" t="s">
        <v>3167</v>
      </c>
      <c r="L53" t="str">
        <f t="shared" si="0"/>
        <v>VARCHAR(3),</v>
      </c>
      <c r="N53" s="38" t="str">
        <f t="shared" si="1"/>
        <v>COMMENT ON COLUMN rms_contract_basic_information.mobile_device_shipped IS '移動機出荷有無名';</v>
      </c>
      <c r="R53" s="34" t="s">
        <v>3168</v>
      </c>
    </row>
    <row r="54" spans="1:18" ht="19.5" thickBot="1">
      <c r="A54" s="6"/>
      <c r="B54" s="6">
        <v>46</v>
      </c>
      <c r="C54" s="6" t="s">
        <v>3169</v>
      </c>
      <c r="D54" s="6" t="s">
        <v>66</v>
      </c>
      <c r="E54" s="6">
        <v>3</v>
      </c>
      <c r="F54" s="7" t="s">
        <v>67</v>
      </c>
      <c r="G54" s="6" t="s">
        <v>3170</v>
      </c>
      <c r="H54" s="8"/>
      <c r="I54" s="6"/>
      <c r="J54" s="6"/>
      <c r="K54" s="31" t="s">
        <v>3171</v>
      </c>
      <c r="L54" t="str">
        <f t="shared" si="0"/>
        <v>VARCHAR(3),</v>
      </c>
      <c r="N54" s="38" t="str">
        <f t="shared" si="1"/>
        <v>COMMENT ON COLUMN rms_contract_basic_information.usim_shipped_flg IS 'usim出荷有無';</v>
      </c>
      <c r="R54" s="34" t="s">
        <v>3172</v>
      </c>
    </row>
    <row r="55" spans="1:18" ht="19.5" thickBot="1">
      <c r="A55" s="3"/>
      <c r="B55" s="3">
        <v>47</v>
      </c>
      <c r="C55" s="3" t="s">
        <v>3173</v>
      </c>
      <c r="D55" s="3" t="s">
        <v>66</v>
      </c>
      <c r="E55" s="3">
        <v>3</v>
      </c>
      <c r="F55" s="2" t="s">
        <v>67</v>
      </c>
      <c r="G55" s="3" t="s">
        <v>3166</v>
      </c>
      <c r="H55" s="5"/>
      <c r="I55" s="3"/>
      <c r="J55" s="3"/>
      <c r="K55" s="32" t="s">
        <v>3174</v>
      </c>
      <c r="L55" t="str">
        <f t="shared" si="0"/>
        <v>VARCHAR(3),</v>
      </c>
      <c r="N55" s="38" t="str">
        <f t="shared" si="1"/>
        <v>COMMENT ON COLUMN rms_contract_basic_information.usim_shipped IS 'usim出荷有無名';</v>
      </c>
      <c r="R55" s="34" t="s">
        <v>3175</v>
      </c>
    </row>
    <row r="56" spans="1:18" ht="19.5" thickBot="1">
      <c r="A56" s="6"/>
      <c r="B56" s="6">
        <v>48</v>
      </c>
      <c r="C56" s="6" t="s">
        <v>3176</v>
      </c>
      <c r="D56" s="6" t="s">
        <v>66</v>
      </c>
      <c r="E56" s="6">
        <v>24</v>
      </c>
      <c r="F56" s="7" t="s">
        <v>67</v>
      </c>
      <c r="G56" s="6" t="s">
        <v>3126</v>
      </c>
      <c r="H56" s="8"/>
      <c r="I56" s="6"/>
      <c r="J56" s="6"/>
      <c r="K56" s="25" t="s">
        <v>3177</v>
      </c>
      <c r="L56" t="str">
        <f t="shared" si="0"/>
        <v>VARCHAR(24),</v>
      </c>
      <c r="N56" s="38" t="str">
        <f t="shared" si="1"/>
        <v>COMMENT ON COLUMN rms_contract_basic_information.warehouse_shipment_date IS '倉庫出荷日';</v>
      </c>
      <c r="R56" s="34" t="s">
        <v>3178</v>
      </c>
    </row>
    <row r="57" spans="1:18" ht="19.5" thickBot="1">
      <c r="A57" s="3"/>
      <c r="B57" s="3">
        <v>49</v>
      </c>
      <c r="C57" s="3" t="s">
        <v>3179</v>
      </c>
      <c r="D57" s="3" t="s">
        <v>66</v>
      </c>
      <c r="E57" s="3">
        <v>24</v>
      </c>
      <c r="F57" s="2" t="s">
        <v>67</v>
      </c>
      <c r="G57" s="3" t="s">
        <v>3126</v>
      </c>
      <c r="H57" s="5"/>
      <c r="I57" s="3"/>
      <c r="J57" s="3"/>
      <c r="K57" s="25" t="s">
        <v>3180</v>
      </c>
      <c r="L57" t="str">
        <f t="shared" si="0"/>
        <v>VARCHAR(24),</v>
      </c>
      <c r="N57" s="38" t="str">
        <f t="shared" si="1"/>
        <v>COMMENT ON COLUMN rms_contract_basic_information.g3_shipment_import_date IS 'g3出荷取込日';</v>
      </c>
      <c r="R57" s="34" t="s">
        <v>3181</v>
      </c>
    </row>
    <row r="58" spans="1:18" ht="19.5" thickBot="1">
      <c r="A58" s="6"/>
      <c r="B58" s="6">
        <v>50</v>
      </c>
      <c r="C58" s="6" t="s">
        <v>3182</v>
      </c>
      <c r="D58" s="6" t="s">
        <v>66</v>
      </c>
      <c r="E58" s="6">
        <v>24</v>
      </c>
      <c r="F58" s="7" t="s">
        <v>67</v>
      </c>
      <c r="G58" s="6" t="s">
        <v>3126</v>
      </c>
      <c r="H58" s="8"/>
      <c r="I58" s="6"/>
      <c r="J58" s="6"/>
      <c r="K58" s="25" t="s">
        <v>3183</v>
      </c>
      <c r="L58" t="str">
        <f t="shared" si="0"/>
        <v>VARCHAR(24),</v>
      </c>
      <c r="N58" s="38" t="str">
        <f t="shared" si="1"/>
        <v>COMMENT ON COLUMN rms_contract_basic_information.line_activation_date IS '回線開通日';</v>
      </c>
      <c r="R58" s="34" t="s">
        <v>3184</v>
      </c>
    </row>
    <row r="59" spans="1:18" ht="30.75" thickBot="1">
      <c r="A59" s="3"/>
      <c r="B59" s="3">
        <v>51</v>
      </c>
      <c r="C59" s="3" t="s">
        <v>2434</v>
      </c>
      <c r="D59" s="3" t="s">
        <v>66</v>
      </c>
      <c r="E59" s="3">
        <v>6</v>
      </c>
      <c r="F59" s="2" t="s">
        <v>67</v>
      </c>
      <c r="G59" s="3" t="s">
        <v>3185</v>
      </c>
      <c r="H59" s="5"/>
      <c r="I59" s="3"/>
      <c r="J59" s="3"/>
      <c r="K59" s="25" t="s">
        <v>2435</v>
      </c>
      <c r="L59" t="str">
        <f t="shared" si="0"/>
        <v>VARCHAR(6),</v>
      </c>
      <c r="N59" s="38" t="str">
        <f t="shared" si="1"/>
        <v>COMMENT ON COLUMN rms_contract_basic_information.payment_method IS '支払方法';</v>
      </c>
      <c r="R59" s="34" t="s">
        <v>3186</v>
      </c>
    </row>
    <row r="60" spans="1:18" ht="30.75" thickBot="1">
      <c r="A60" s="6"/>
      <c r="B60" s="6">
        <v>52</v>
      </c>
      <c r="C60" s="6" t="s">
        <v>3187</v>
      </c>
      <c r="D60" s="6" t="s">
        <v>66</v>
      </c>
      <c r="E60" s="6">
        <v>15</v>
      </c>
      <c r="F60" s="7" t="s">
        <v>67</v>
      </c>
      <c r="G60" s="6" t="s">
        <v>3188</v>
      </c>
      <c r="H60" s="8"/>
      <c r="I60" s="6"/>
      <c r="J60" s="6"/>
      <c r="K60" s="25" t="s">
        <v>3189</v>
      </c>
      <c r="L60" t="str">
        <f t="shared" si="0"/>
        <v>VARCHAR(15),</v>
      </c>
      <c r="N60" s="38" t="str">
        <f t="shared" si="1"/>
        <v>COMMENT ON COLUMN rms_contract_basic_information.credit_card_company_code IS 'クレジット会社コード';</v>
      </c>
      <c r="R60" s="34" t="s">
        <v>3190</v>
      </c>
    </row>
    <row r="61" spans="1:18" ht="30.75" thickBot="1">
      <c r="A61" s="3"/>
      <c r="B61" s="3">
        <v>53</v>
      </c>
      <c r="C61" s="3" t="s">
        <v>3191</v>
      </c>
      <c r="D61" s="3" t="s">
        <v>66</v>
      </c>
      <c r="E61" s="3">
        <v>24</v>
      </c>
      <c r="F61" s="2" t="s">
        <v>67</v>
      </c>
      <c r="G61" s="3" t="s">
        <v>3192</v>
      </c>
      <c r="H61" s="5"/>
      <c r="I61" s="3"/>
      <c r="J61" s="3"/>
      <c r="K61" s="25" t="s">
        <v>3193</v>
      </c>
      <c r="L61" t="str">
        <f t="shared" si="0"/>
        <v>VARCHAR(24),</v>
      </c>
      <c r="N61" s="38" t="str">
        <f t="shared" si="1"/>
        <v>COMMENT ON COLUMN rms_contract_basic_information.bc_information_update IS 'bc情報更新';</v>
      </c>
      <c r="R61" s="34" t="s">
        <v>3194</v>
      </c>
    </row>
    <row r="62" spans="1:18" ht="19.5" thickBot="1">
      <c r="A62" s="6"/>
      <c r="B62" s="6">
        <v>54</v>
      </c>
      <c r="C62" s="6" t="s">
        <v>3195</v>
      </c>
      <c r="D62" s="6" t="s">
        <v>66</v>
      </c>
      <c r="E62" s="6">
        <v>24</v>
      </c>
      <c r="F62" s="7" t="s">
        <v>67</v>
      </c>
      <c r="G62" s="6" t="s">
        <v>3196</v>
      </c>
      <c r="H62" s="8"/>
      <c r="I62" s="6"/>
      <c r="J62" s="6"/>
      <c r="K62" s="25" t="s">
        <v>3197</v>
      </c>
      <c r="L62" t="str">
        <f t="shared" si="0"/>
        <v>VARCHAR(24),</v>
      </c>
      <c r="N62" s="38" t="str">
        <f t="shared" si="1"/>
        <v>COMMENT ON COLUMN rms_contract_basic_information.bc_information_bsharp_msn_conversion_date IS 'bc情報_b#_msn変換日';</v>
      </c>
      <c r="R62" s="34" t="s">
        <v>3198</v>
      </c>
    </row>
    <row r="63" spans="1:18" ht="19.5" thickBot="1">
      <c r="A63" s="3"/>
      <c r="B63" s="3">
        <v>55</v>
      </c>
      <c r="C63" s="3" t="s">
        <v>3199</v>
      </c>
      <c r="D63" s="3" t="s">
        <v>66</v>
      </c>
      <c r="E63" s="3">
        <v>24</v>
      </c>
      <c r="F63" s="2" t="s">
        <v>67</v>
      </c>
      <c r="G63" s="3" t="s">
        <v>3126</v>
      </c>
      <c r="H63" s="5"/>
      <c r="I63" s="3"/>
      <c r="J63" s="3"/>
      <c r="K63" s="25" t="s">
        <v>3200</v>
      </c>
      <c r="L63" t="str">
        <f t="shared" si="0"/>
        <v>VARCHAR(24),</v>
      </c>
      <c r="N63" s="38" t="str">
        <f t="shared" si="1"/>
        <v>COMMENT ON COLUMN rms_contract_basic_information.bc_information_cancellation_conversion_date IS 'bc情報_解約変換日';</v>
      </c>
      <c r="R63" s="34" t="s">
        <v>3201</v>
      </c>
    </row>
    <row r="64" spans="1:18" ht="19.5" thickBot="1">
      <c r="A64" s="6"/>
      <c r="B64" s="6">
        <v>56</v>
      </c>
      <c r="C64" s="6" t="s">
        <v>3202</v>
      </c>
      <c r="D64" s="6" t="s">
        <v>66</v>
      </c>
      <c r="E64" s="6">
        <v>69</v>
      </c>
      <c r="F64" s="7" t="s">
        <v>67</v>
      </c>
      <c r="G64" s="6" t="s">
        <v>3203</v>
      </c>
      <c r="H64" s="8"/>
      <c r="I64" s="6"/>
      <c r="J64" s="6"/>
      <c r="K64" s="25" t="s">
        <v>3204</v>
      </c>
      <c r="L64" t="str">
        <f t="shared" si="0"/>
        <v>VARCHAR(69),</v>
      </c>
      <c r="N64" s="38" t="str">
        <f t="shared" si="1"/>
        <v>COMMENT ON COLUMN rms_contract_basic_information.registration_date IS '登録日';</v>
      </c>
      <c r="R64" s="34" t="s">
        <v>3205</v>
      </c>
    </row>
    <row r="65" spans="1:18" ht="19.5" thickBot="1">
      <c r="A65" s="3"/>
      <c r="B65" s="3">
        <v>57</v>
      </c>
      <c r="C65" s="3" t="s">
        <v>3206</v>
      </c>
      <c r="D65" s="3" t="s">
        <v>66</v>
      </c>
      <c r="E65" s="3">
        <v>96</v>
      </c>
      <c r="F65" s="2" t="s">
        <v>67</v>
      </c>
      <c r="G65" s="3" t="s">
        <v>3207</v>
      </c>
      <c r="H65" s="5"/>
      <c r="I65" s="3"/>
      <c r="J65" s="3"/>
      <c r="K65" s="25" t="s">
        <v>3208</v>
      </c>
      <c r="L65" t="str">
        <f t="shared" si="0"/>
        <v>VARCHAR(96),</v>
      </c>
      <c r="N65" s="38" t="str">
        <f t="shared" si="1"/>
        <v>COMMENT ON COLUMN rms_contract_basic_information.registered_user IS '登録ユーザ';</v>
      </c>
      <c r="R65" s="34" t="s">
        <v>3209</v>
      </c>
    </row>
    <row r="66" spans="1:18" ht="19.5" thickBot="1">
      <c r="A66" s="6"/>
      <c r="B66" s="6">
        <v>58</v>
      </c>
      <c r="C66" s="6" t="s">
        <v>63</v>
      </c>
      <c r="D66" s="6" t="s">
        <v>66</v>
      </c>
      <c r="E66" s="6">
        <v>69</v>
      </c>
      <c r="F66" s="7" t="s">
        <v>67</v>
      </c>
      <c r="G66" s="6" t="s">
        <v>3210</v>
      </c>
      <c r="H66" s="8"/>
      <c r="I66" s="6"/>
      <c r="J66" s="6"/>
      <c r="K66" s="25" t="s">
        <v>3211</v>
      </c>
      <c r="L66" t="str">
        <f t="shared" si="0"/>
        <v>VARCHAR(69),</v>
      </c>
      <c r="N66" s="38" t="str">
        <f t="shared" si="1"/>
        <v>COMMENT ON COLUMN rms_contract_basic_information.update_date IS '更新日';</v>
      </c>
      <c r="R66" s="34" t="s">
        <v>3212</v>
      </c>
    </row>
    <row r="67" spans="1:18" ht="19.5" thickBot="1">
      <c r="A67" s="3"/>
      <c r="B67" s="3">
        <v>59</v>
      </c>
      <c r="C67" s="3" t="s">
        <v>3213</v>
      </c>
      <c r="D67" s="3" t="s">
        <v>66</v>
      </c>
      <c r="E67" s="3">
        <v>96</v>
      </c>
      <c r="F67" s="2" t="s">
        <v>67</v>
      </c>
      <c r="G67" s="3" t="s">
        <v>3214</v>
      </c>
      <c r="H67" s="5"/>
      <c r="I67" s="3"/>
      <c r="J67" s="3"/>
      <c r="K67" s="25" t="s">
        <v>3215</v>
      </c>
      <c r="L67" t="str">
        <f t="shared" si="0"/>
        <v>VARCHAR(96),</v>
      </c>
      <c r="N67" s="38" t="str">
        <f t="shared" si="1"/>
        <v>COMMENT ON COLUMN rms_contract_basic_information.updated_user IS '更新ユーザ';</v>
      </c>
      <c r="R67" s="34" t="s">
        <v>3216</v>
      </c>
    </row>
    <row r="68" spans="1:18" ht="19.5" thickBot="1">
      <c r="A68" s="6"/>
      <c r="B68" s="6">
        <v>60</v>
      </c>
      <c r="C68" s="6" t="s">
        <v>3217</v>
      </c>
      <c r="D68" s="6" t="s">
        <v>66</v>
      </c>
      <c r="E68" s="6">
        <v>48</v>
      </c>
      <c r="F68" s="7" t="s">
        <v>67</v>
      </c>
      <c r="G68" s="6"/>
      <c r="H68" s="8"/>
      <c r="I68" s="6"/>
      <c r="J68" s="6"/>
      <c r="K68" s="25" t="s">
        <v>3218</v>
      </c>
      <c r="L68" t="str">
        <f t="shared" si="0"/>
        <v>VARCHAR(48),</v>
      </c>
      <c r="N68" s="38" t="str">
        <f t="shared" si="1"/>
        <v>COMMENT ON COLUMN rms_contract_basic_information.summit_unified_company_number IS 'summit統一企業番号';</v>
      </c>
      <c r="R68" s="34" t="s">
        <v>3219</v>
      </c>
    </row>
    <row r="69" spans="1:18" ht="19.5" thickBot="1">
      <c r="A69" s="3"/>
      <c r="B69" s="3">
        <v>61</v>
      </c>
      <c r="C69" s="3" t="s">
        <v>3220</v>
      </c>
      <c r="D69" s="3" t="s">
        <v>66</v>
      </c>
      <c r="E69" s="3">
        <v>2295</v>
      </c>
      <c r="F69" s="2" t="s">
        <v>67</v>
      </c>
      <c r="G69" s="3" t="s">
        <v>3065</v>
      </c>
      <c r="H69" s="5"/>
      <c r="I69" s="3"/>
      <c r="J69" s="3"/>
      <c r="K69" s="25" t="s">
        <v>3221</v>
      </c>
      <c r="L69" t="str">
        <f t="shared" si="0"/>
        <v>VARCHAR(2295),</v>
      </c>
      <c r="N69" s="38" t="str">
        <f t="shared" si="1"/>
        <v>COMMENT ON COLUMN rms_contract_basic_information.summit_unified_company_name IS 'summit統一企業名';</v>
      </c>
      <c r="R69" s="34" t="s">
        <v>3222</v>
      </c>
    </row>
    <row r="70" spans="1:18" ht="19.5" thickBot="1">
      <c r="A70" s="6"/>
      <c r="B70" s="6">
        <v>62</v>
      </c>
      <c r="C70" s="6" t="s">
        <v>3223</v>
      </c>
      <c r="D70" s="6" t="s">
        <v>66</v>
      </c>
      <c r="E70" s="6">
        <v>24</v>
      </c>
      <c r="F70" s="7" t="s">
        <v>67</v>
      </c>
      <c r="G70" s="6" t="s">
        <v>3126</v>
      </c>
      <c r="H70" s="8"/>
      <c r="I70" s="6"/>
      <c r="J70" s="6"/>
      <c r="K70" s="31" t="s">
        <v>3224</v>
      </c>
      <c r="L70" t="str">
        <f t="shared" si="0"/>
        <v>VARCHAR(24),</v>
      </c>
      <c r="N70" s="38" t="str">
        <f t="shared" si="1"/>
        <v>COMMENT ON COLUMN rms_contract_basic_information.summit_owner_change_date IS 'summit名義変更日';</v>
      </c>
      <c r="R70" s="34" t="s">
        <v>3225</v>
      </c>
    </row>
    <row r="71" spans="1:18" ht="19.5" thickBot="1">
      <c r="A71" s="3"/>
      <c r="B71" s="3">
        <v>63</v>
      </c>
      <c r="C71" s="3" t="s">
        <v>3226</v>
      </c>
      <c r="D71" s="3" t="s">
        <v>66</v>
      </c>
      <c r="E71" s="3">
        <v>24</v>
      </c>
      <c r="F71" s="2" t="s">
        <v>67</v>
      </c>
      <c r="G71" s="3" t="s">
        <v>3126</v>
      </c>
      <c r="H71" s="5"/>
      <c r="I71" s="3"/>
      <c r="J71" s="3"/>
      <c r="K71" s="25" t="s">
        <v>3227</v>
      </c>
      <c r="L71" t="str">
        <f t="shared" si="0"/>
        <v>VARCHAR(24),</v>
      </c>
      <c r="N71" s="38" t="str">
        <f t="shared" si="1"/>
        <v>COMMENT ON COLUMN rms_contract_basic_information.model_change_date IS '機種変更日';</v>
      </c>
      <c r="R71" s="34" t="s">
        <v>3228</v>
      </c>
    </row>
    <row r="72" spans="1:18" ht="19.5" thickBot="1">
      <c r="A72" s="6"/>
      <c r="B72" s="6">
        <v>64</v>
      </c>
      <c r="C72" s="6" t="s">
        <v>3229</v>
      </c>
      <c r="D72" s="6" t="s">
        <v>66</v>
      </c>
      <c r="E72" s="6">
        <v>24</v>
      </c>
      <c r="F72" s="7" t="s">
        <v>67</v>
      </c>
      <c r="G72" s="6" t="s">
        <v>3126</v>
      </c>
      <c r="H72" s="8"/>
      <c r="I72" s="6"/>
      <c r="J72" s="6"/>
      <c r="K72" s="31" t="s">
        <v>3230</v>
      </c>
      <c r="L72" t="str">
        <f t="shared" si="0"/>
        <v>VARCHAR(24),</v>
      </c>
      <c r="N72" s="38" t="str">
        <f t="shared" si="1"/>
        <v>COMMENT ON COLUMN rms_contract_basic_information.summit_name_change_date IS 'summit名称変更日';</v>
      </c>
      <c r="R72" s="34" t="s">
        <v>3231</v>
      </c>
    </row>
    <row r="73" spans="1:18" ht="19.5" thickBot="1">
      <c r="A73" s="3"/>
      <c r="B73" s="3">
        <v>65</v>
      </c>
      <c r="C73" s="3" t="s">
        <v>3232</v>
      </c>
      <c r="D73" s="3" t="s">
        <v>66</v>
      </c>
      <c r="E73" s="3">
        <v>6</v>
      </c>
      <c r="F73" s="2" t="s">
        <v>67</v>
      </c>
      <c r="G73" s="3" t="s">
        <v>3233</v>
      </c>
      <c r="H73" s="5"/>
      <c r="I73" s="3"/>
      <c r="J73" s="3"/>
      <c r="K73" s="25" t="s">
        <v>3234</v>
      </c>
      <c r="L73" t="str">
        <f t="shared" si="0"/>
        <v>VARCHAR(6),</v>
      </c>
      <c r="N73" s="38" t="str">
        <f t="shared" si="1"/>
        <v>COMMENT ON COLUMN rms_contract_basic_information.rental_contract_substitution IS '転レンタル契約';</v>
      </c>
      <c r="R73" s="34" t="s">
        <v>3235</v>
      </c>
    </row>
    <row r="74" spans="1:18" ht="19.5" thickBot="1">
      <c r="A74" s="6"/>
      <c r="B74" s="6">
        <v>66</v>
      </c>
      <c r="C74" s="6" t="s">
        <v>3236</v>
      </c>
      <c r="D74" s="6" t="s">
        <v>66</v>
      </c>
      <c r="E74" s="6">
        <v>300</v>
      </c>
      <c r="F74" s="7" t="s">
        <v>67</v>
      </c>
      <c r="G74" s="6" t="s">
        <v>3237</v>
      </c>
      <c r="H74" s="8"/>
      <c r="I74" s="6"/>
      <c r="J74" s="6"/>
      <c r="K74" s="25" t="s">
        <v>3238</v>
      </c>
      <c r="L74" t="str">
        <f t="shared" ref="L74:L87" si="2">D74&amp;"("&amp;E74&amp;"),"</f>
        <v>VARCHAR(300),</v>
      </c>
      <c r="N74" s="38" t="str">
        <f t="shared" ref="N74:N88" si="3">"COMMENT ON COLUMN "&amp;$K$3&amp;"."&amp;$K74&amp;" IS '"&amp;C74&amp;"';"</f>
        <v>COMMENT ON COLUMN rms_contract_basic_information.rental_contract_substitution_name IS '転レンタル契約名';</v>
      </c>
      <c r="R74" s="34" t="s">
        <v>3239</v>
      </c>
    </row>
    <row r="75" spans="1:18" ht="19.5" thickBot="1">
      <c r="A75" s="3"/>
      <c r="B75" s="3">
        <v>67</v>
      </c>
      <c r="C75" s="3" t="s">
        <v>3240</v>
      </c>
      <c r="D75" s="3" t="s">
        <v>89</v>
      </c>
      <c r="E75" s="3">
        <v>9</v>
      </c>
      <c r="F75" s="2" t="s">
        <v>67</v>
      </c>
      <c r="G75" s="3" t="s">
        <v>3241</v>
      </c>
      <c r="H75" s="5"/>
      <c r="I75" s="3"/>
      <c r="J75" s="3"/>
      <c r="K75" s="25" t="s">
        <v>3242</v>
      </c>
      <c r="L75" t="str">
        <f t="shared" si="2"/>
        <v>DECIMAL(9),</v>
      </c>
      <c r="N75" s="38" t="str">
        <f t="shared" si="3"/>
        <v>COMMENT ON COLUMN rms_contract_basic_information.number_of_re_rentals IS '再レンタル回数';</v>
      </c>
      <c r="R75" s="34" t="s">
        <v>3243</v>
      </c>
    </row>
    <row r="76" spans="1:18" ht="19.5" thickBot="1">
      <c r="A76" s="6"/>
      <c r="B76" s="6">
        <v>68</v>
      </c>
      <c r="C76" s="6" t="s">
        <v>3244</v>
      </c>
      <c r="D76" s="6" t="s">
        <v>66</v>
      </c>
      <c r="E76" s="6">
        <v>24</v>
      </c>
      <c r="F76" s="7" t="s">
        <v>67</v>
      </c>
      <c r="G76" s="6" t="s">
        <v>3126</v>
      </c>
      <c r="H76" s="8"/>
      <c r="I76" s="6"/>
      <c r="J76" s="6"/>
      <c r="K76" s="25" t="s">
        <v>3245</v>
      </c>
      <c r="L76" t="str">
        <f t="shared" si="2"/>
        <v>VARCHAR(24),</v>
      </c>
      <c r="N76" s="38" t="str">
        <f t="shared" si="3"/>
        <v>COMMENT ON COLUMN rms_contract_basic_information.re_rental_contract_start_date IS '再レンタル契約開始日';</v>
      </c>
      <c r="R76" s="34" t="s">
        <v>3246</v>
      </c>
    </row>
    <row r="77" spans="1:18" ht="19.5" thickBot="1">
      <c r="A77" s="3"/>
      <c r="B77" s="3">
        <v>69</v>
      </c>
      <c r="C77" s="3" t="s">
        <v>3247</v>
      </c>
      <c r="D77" s="3" t="s">
        <v>66</v>
      </c>
      <c r="E77" s="3">
        <v>3</v>
      </c>
      <c r="F77" s="2" t="s">
        <v>67</v>
      </c>
      <c r="G77" s="3" t="s">
        <v>3248</v>
      </c>
      <c r="H77" s="5"/>
      <c r="I77" s="3"/>
      <c r="J77" s="3"/>
      <c r="K77" s="25" t="s">
        <v>3249</v>
      </c>
      <c r="L77" t="str">
        <f t="shared" si="2"/>
        <v>VARCHAR(3),</v>
      </c>
      <c r="N77" s="38" t="str">
        <f t="shared" si="3"/>
        <v>COMMENT ON COLUMN rms_contract_basic_information.point_availability_category IS 'ポイント利用可否区分';</v>
      </c>
      <c r="R77" s="34" t="s">
        <v>3250</v>
      </c>
    </row>
    <row r="78" spans="1:18" ht="19.5" thickBot="1">
      <c r="A78" s="6"/>
      <c r="B78" s="6">
        <v>70</v>
      </c>
      <c r="C78" s="6" t="s">
        <v>3251</v>
      </c>
      <c r="D78" s="6" t="s">
        <v>66</v>
      </c>
      <c r="E78" s="6">
        <v>3</v>
      </c>
      <c r="F78" s="7" t="s">
        <v>67</v>
      </c>
      <c r="G78" s="6" t="s">
        <v>3166</v>
      </c>
      <c r="H78" s="8"/>
      <c r="I78" s="6"/>
      <c r="J78" s="6"/>
      <c r="K78" s="25" t="s">
        <v>3252</v>
      </c>
      <c r="L78" t="str">
        <f t="shared" si="2"/>
        <v>VARCHAR(3),</v>
      </c>
      <c r="N78" s="38" t="str">
        <f t="shared" si="3"/>
        <v>COMMENT ON COLUMN rms_contract_basic_information.point_availability_kbn_name IS 'ポイント利用可否kbn名';</v>
      </c>
      <c r="R78" s="34" t="s">
        <v>3253</v>
      </c>
    </row>
    <row r="79" spans="1:18" ht="19.5" thickBot="1">
      <c r="A79" s="3"/>
      <c r="B79" s="3">
        <v>71</v>
      </c>
      <c r="C79" s="3" t="s">
        <v>3254</v>
      </c>
      <c r="D79" s="3" t="s">
        <v>66</v>
      </c>
      <c r="E79" s="3">
        <v>3</v>
      </c>
      <c r="F79" s="2" t="s">
        <v>67</v>
      </c>
      <c r="G79" s="3" t="s">
        <v>3255</v>
      </c>
      <c r="H79" s="5"/>
      <c r="I79" s="3"/>
      <c r="J79" s="3"/>
      <c r="K79" s="25" t="s">
        <v>3256</v>
      </c>
      <c r="L79" t="str">
        <f t="shared" si="2"/>
        <v>VARCHAR(3),</v>
      </c>
      <c r="N79" s="38" t="str">
        <f t="shared" si="3"/>
        <v>COMMENT ON COLUMN rms_contract_basic_information.rental_purpose IS 'レンタル用途';</v>
      </c>
      <c r="R79" s="34" t="s">
        <v>3257</v>
      </c>
    </row>
    <row r="80" spans="1:18" ht="19.5" thickBot="1">
      <c r="A80" s="6"/>
      <c r="B80" s="6">
        <v>72</v>
      </c>
      <c r="C80" s="6" t="s">
        <v>3258</v>
      </c>
      <c r="D80" s="6" t="s">
        <v>66</v>
      </c>
      <c r="E80" s="6">
        <v>300</v>
      </c>
      <c r="F80" s="7" t="s">
        <v>67</v>
      </c>
      <c r="G80" s="6" t="s">
        <v>3259</v>
      </c>
      <c r="H80" s="8"/>
      <c r="I80" s="6"/>
      <c r="J80" s="6"/>
      <c r="K80" s="25" t="s">
        <v>3260</v>
      </c>
      <c r="L80" t="str">
        <f t="shared" si="2"/>
        <v>VARCHAR(300),</v>
      </c>
      <c r="N80" s="38" t="str">
        <f t="shared" si="3"/>
        <v>COMMENT ON COLUMN rms_contract_basic_information.rental_purpose_name IS 'レンタル用途名';</v>
      </c>
      <c r="R80" s="34" t="s">
        <v>3261</v>
      </c>
    </row>
    <row r="81" spans="1:18" ht="19.5" thickBot="1">
      <c r="A81" s="3"/>
      <c r="B81" s="3">
        <v>73</v>
      </c>
      <c r="C81" s="3" t="s">
        <v>3262</v>
      </c>
      <c r="D81" s="3" t="s">
        <v>66</v>
      </c>
      <c r="E81" s="3">
        <v>27</v>
      </c>
      <c r="F81" s="2" t="s">
        <v>67</v>
      </c>
      <c r="G81" s="3" t="s">
        <v>2308</v>
      </c>
      <c r="H81" s="5"/>
      <c r="I81" s="3"/>
      <c r="J81" s="3"/>
      <c r="K81" s="25" t="s">
        <v>3263</v>
      </c>
      <c r="L81" t="str">
        <f t="shared" si="2"/>
        <v>VARCHAR(27),</v>
      </c>
      <c r="N81" s="38" t="str">
        <f t="shared" si="3"/>
        <v>COMMENT ON COLUMN rms_contract_basic_information.sbm_lease_company_code IS 'SBMリース会社コード';</v>
      </c>
      <c r="R81" s="34" t="s">
        <v>3264</v>
      </c>
    </row>
    <row r="82" spans="1:18" ht="19.5" thickBot="1">
      <c r="A82" s="6"/>
      <c r="B82" s="6">
        <v>74</v>
      </c>
      <c r="C82" s="6" t="s">
        <v>2195</v>
      </c>
      <c r="D82" s="6" t="s">
        <v>66</v>
      </c>
      <c r="E82" s="6">
        <v>6</v>
      </c>
      <c r="F82" s="7" t="s">
        <v>67</v>
      </c>
      <c r="G82" s="6" t="s">
        <v>3265</v>
      </c>
      <c r="H82" s="8"/>
      <c r="I82" s="6"/>
      <c r="J82" s="6"/>
      <c r="K82" s="25" t="s">
        <v>2196</v>
      </c>
      <c r="L82" t="str">
        <f t="shared" si="2"/>
        <v>VARCHAR(6),</v>
      </c>
      <c r="N82" s="38" t="str">
        <f t="shared" si="3"/>
        <v>COMMENT ON COLUMN rms_contract_basic_information.business_operator_category IS '事業者区分';</v>
      </c>
      <c r="R82" s="34" t="s">
        <v>3266</v>
      </c>
    </row>
    <row r="83" spans="1:18" ht="19.5" thickBot="1">
      <c r="A83" s="3"/>
      <c r="B83" s="3">
        <v>75</v>
      </c>
      <c r="C83" s="3" t="s">
        <v>3267</v>
      </c>
      <c r="D83" s="3" t="s">
        <v>66</v>
      </c>
      <c r="E83" s="3">
        <v>300</v>
      </c>
      <c r="F83" s="2" t="s">
        <v>67</v>
      </c>
      <c r="G83" s="3" t="s">
        <v>3268</v>
      </c>
      <c r="H83" s="5"/>
      <c r="I83" s="3"/>
      <c r="J83" s="3"/>
      <c r="K83" s="25" t="s">
        <v>3269</v>
      </c>
      <c r="L83" t="str">
        <f t="shared" si="2"/>
        <v>VARCHAR(300),</v>
      </c>
      <c r="N83" s="38" t="str">
        <f t="shared" si="3"/>
        <v>COMMENT ON COLUMN rms_contract_basic_information.business_operator_category_name IS '事業者区分名';</v>
      </c>
      <c r="R83" s="34" t="s">
        <v>3270</v>
      </c>
    </row>
    <row r="84" spans="1:18" ht="19.5" thickBot="1">
      <c r="A84" s="6"/>
      <c r="B84" s="6">
        <v>76</v>
      </c>
      <c r="C84" s="6" t="s">
        <v>3271</v>
      </c>
      <c r="D84" s="6" t="s">
        <v>66</v>
      </c>
      <c r="E84" s="6">
        <v>36</v>
      </c>
      <c r="F84" s="7" t="s">
        <v>67</v>
      </c>
      <c r="G84" s="6" t="s">
        <v>3272</v>
      </c>
      <c r="H84" s="8"/>
      <c r="I84" s="6"/>
      <c r="J84" s="6"/>
      <c r="K84" s="25" t="s">
        <v>3273</v>
      </c>
      <c r="L84" t="str">
        <f t="shared" si="2"/>
        <v>VARCHAR(36),</v>
      </c>
      <c r="N84" s="38" t="str">
        <f t="shared" si="3"/>
        <v>COMMENT ON COLUMN rms_contract_basic_information.campaign_code IS 'キャンペーンコード';</v>
      </c>
      <c r="R84" s="34" t="s">
        <v>3274</v>
      </c>
    </row>
    <row r="85" spans="1:18" ht="30.75" thickBot="1">
      <c r="A85" s="3"/>
      <c r="B85" s="3">
        <v>77</v>
      </c>
      <c r="C85" s="3" t="s">
        <v>3275</v>
      </c>
      <c r="D85" s="3" t="s">
        <v>66</v>
      </c>
      <c r="E85" s="3">
        <v>3</v>
      </c>
      <c r="F85" s="2" t="s">
        <v>67</v>
      </c>
      <c r="G85" s="3"/>
      <c r="H85" s="5"/>
      <c r="I85" s="3"/>
      <c r="J85" s="3" t="s">
        <v>3276</v>
      </c>
      <c r="K85" s="25" t="s">
        <v>3277</v>
      </c>
      <c r="L85" t="str">
        <f t="shared" si="2"/>
        <v>VARCHAR(3),</v>
      </c>
      <c r="N85" s="38" t="str">
        <f t="shared" si="3"/>
        <v>COMMENT ON COLUMN rms_contract_basic_information.rental_contract_type IS 'レンタル契約形態';</v>
      </c>
      <c r="R85" s="34" t="s">
        <v>3278</v>
      </c>
    </row>
    <row r="86" spans="1:18" ht="30.75" thickBot="1">
      <c r="A86" s="6"/>
      <c r="B86" s="6">
        <v>78</v>
      </c>
      <c r="C86" s="6" t="s">
        <v>3279</v>
      </c>
      <c r="D86" s="6" t="s">
        <v>66</v>
      </c>
      <c r="E86" s="6">
        <v>18</v>
      </c>
      <c r="F86" s="7" t="s">
        <v>67</v>
      </c>
      <c r="G86" s="6" t="s">
        <v>3280</v>
      </c>
      <c r="H86" s="8"/>
      <c r="I86" s="6"/>
      <c r="J86" s="6" t="s">
        <v>3276</v>
      </c>
      <c r="K86" s="25" t="s">
        <v>3281</v>
      </c>
      <c r="L86" t="str">
        <f t="shared" si="2"/>
        <v>VARCHAR(18),</v>
      </c>
      <c r="N86" s="38" t="str">
        <f t="shared" si="3"/>
        <v>COMMENT ON COLUMN rms_contract_basic_information.contract_year_and_month IS '契約年月';</v>
      </c>
      <c r="R86" s="34" t="s">
        <v>3282</v>
      </c>
    </row>
    <row r="87" spans="1:18" ht="30.75" thickBot="1">
      <c r="A87" s="3"/>
      <c r="B87" s="3">
        <v>79</v>
      </c>
      <c r="C87" s="3" t="s">
        <v>3283</v>
      </c>
      <c r="D87" s="3" t="s">
        <v>89</v>
      </c>
      <c r="E87" s="3" t="s">
        <v>3284</v>
      </c>
      <c r="F87" s="2" t="s">
        <v>67</v>
      </c>
      <c r="G87" s="3" t="s">
        <v>3285</v>
      </c>
      <c r="H87" s="5"/>
      <c r="I87" s="3"/>
      <c r="J87" s="3" t="s">
        <v>3276</v>
      </c>
      <c r="K87" s="25" t="s">
        <v>3286</v>
      </c>
      <c r="L87" t="str">
        <f t="shared" si="2"/>
        <v>DECIMAL(9,0),</v>
      </c>
      <c r="N87" s="38" t="str">
        <f t="shared" si="3"/>
        <v>COMMENT ON COLUMN rms_contract_basic_information.device_acquisition_cost IS '端末取得原価';</v>
      </c>
      <c r="R87" s="34" t="s">
        <v>3287</v>
      </c>
    </row>
    <row r="88" spans="1:18" ht="30.75" thickBot="1">
      <c r="A88" s="6"/>
      <c r="B88" s="6">
        <v>80</v>
      </c>
      <c r="C88" s="6" t="s">
        <v>3288</v>
      </c>
      <c r="D88" s="6" t="s">
        <v>89</v>
      </c>
      <c r="E88" s="6" t="s">
        <v>3289</v>
      </c>
      <c r="F88" s="7" t="s">
        <v>67</v>
      </c>
      <c r="G88" s="6" t="s">
        <v>3290</v>
      </c>
      <c r="H88" s="8"/>
      <c r="I88" s="6"/>
      <c r="J88" s="6" t="s">
        <v>3276</v>
      </c>
      <c r="K88" s="25" t="s">
        <v>3291</v>
      </c>
      <c r="L88" t="str">
        <f>D88&amp;"("&amp;E88&amp;"),"</f>
        <v>DECIMAL(11,2),</v>
      </c>
      <c r="N88" s="38" t="str">
        <f t="shared" si="3"/>
        <v>COMMENT ON COLUMN rms_contract_basic_information.device_acquisition_cost_amount_recorded IS '端末取得原価分割計上額';</v>
      </c>
      <c r="R88" s="34" t="s">
        <v>3292</v>
      </c>
    </row>
    <row r="89" spans="1:18">
      <c r="K89" t="str">
        <f>"CONSTRAINT pk_"&amp;K3&amp;" PRIMARY KEY (id));"</f>
        <v>CONSTRAINT pk_rms_contract_basic_information PRIMARY KEY (id));</v>
      </c>
      <c r="R89" s="33" t="s">
        <v>3293</v>
      </c>
    </row>
    <row r="90" spans="1:18">
      <c r="R90" s="33" t="s">
        <v>3294</v>
      </c>
    </row>
    <row r="91" spans="1:18">
      <c r="R91" s="33" t="s">
        <v>3295</v>
      </c>
    </row>
    <row r="92" spans="1:18">
      <c r="R92" s="33" t="s">
        <v>3296</v>
      </c>
    </row>
    <row r="93" spans="1:18">
      <c r="R93" s="33" t="s">
        <v>3297</v>
      </c>
    </row>
    <row r="94" spans="1:18">
      <c r="R94" s="33" t="s">
        <v>3298</v>
      </c>
    </row>
    <row r="95" spans="1:18">
      <c r="R95" s="33" t="s">
        <v>3299</v>
      </c>
    </row>
    <row r="96" spans="1:18">
      <c r="R96" s="33" t="s">
        <v>3300</v>
      </c>
    </row>
    <row r="97" spans="18:18">
      <c r="R97" s="33" t="s">
        <v>3301</v>
      </c>
    </row>
    <row r="98" spans="18:18">
      <c r="R98" s="33" t="s">
        <v>3302</v>
      </c>
    </row>
    <row r="99" spans="18:18">
      <c r="R99" s="33" t="s">
        <v>3303</v>
      </c>
    </row>
    <row r="100" spans="18:18">
      <c r="R100" s="33" t="s">
        <v>3304</v>
      </c>
    </row>
    <row r="101" spans="18:18">
      <c r="R101" s="33" t="s">
        <v>3305</v>
      </c>
    </row>
    <row r="102" spans="18:18">
      <c r="R102" s="33" t="s">
        <v>3306</v>
      </c>
    </row>
    <row r="103" spans="18:18">
      <c r="R103" s="33" t="s">
        <v>3307</v>
      </c>
    </row>
    <row r="104" spans="18:18">
      <c r="R104" s="33" t="s">
        <v>3308</v>
      </c>
    </row>
    <row r="105" spans="18:18">
      <c r="R105" s="33" t="s">
        <v>3309</v>
      </c>
    </row>
    <row r="106" spans="18:18">
      <c r="R106" s="33" t="s">
        <v>3310</v>
      </c>
    </row>
    <row r="107" spans="18:18">
      <c r="R107" s="33" t="s">
        <v>3311</v>
      </c>
    </row>
    <row r="108" spans="18:18">
      <c r="R108" s="33" t="s">
        <v>3312</v>
      </c>
    </row>
    <row r="109" spans="18:18">
      <c r="R109" s="33" t="s">
        <v>3313</v>
      </c>
    </row>
    <row r="110" spans="18:18">
      <c r="R110" s="33" t="s">
        <v>3314</v>
      </c>
    </row>
    <row r="111" spans="18:18">
      <c r="R111" s="33" t="s">
        <v>3315</v>
      </c>
    </row>
    <row r="112" spans="18:18">
      <c r="R112" s="33" t="s">
        <v>3316</v>
      </c>
    </row>
    <row r="113" spans="18:18">
      <c r="R113" s="33" t="s">
        <v>3317</v>
      </c>
    </row>
    <row r="114" spans="18:18">
      <c r="R114" s="33" t="s">
        <v>3318</v>
      </c>
    </row>
    <row r="115" spans="18:18">
      <c r="R115" s="33" t="s">
        <v>3319</v>
      </c>
    </row>
    <row r="116" spans="18:18">
      <c r="R116" s="33" t="s">
        <v>3320</v>
      </c>
    </row>
    <row r="117" spans="18:18">
      <c r="R117" s="33" t="s">
        <v>3321</v>
      </c>
    </row>
    <row r="118" spans="18:18">
      <c r="R118" s="33" t="s">
        <v>3322</v>
      </c>
    </row>
    <row r="119" spans="18:18">
      <c r="R119" s="33" t="s">
        <v>3323</v>
      </c>
    </row>
    <row r="120" spans="18:18">
      <c r="R120" s="33" t="s">
        <v>3324</v>
      </c>
    </row>
    <row r="121" spans="18:18">
      <c r="R121" s="33" t="s">
        <v>3325</v>
      </c>
    </row>
    <row r="122" spans="18:18">
      <c r="R122" s="33" t="s">
        <v>3326</v>
      </c>
    </row>
    <row r="123" spans="18:18">
      <c r="R123" s="33" t="s">
        <v>3327</v>
      </c>
    </row>
    <row r="124" spans="18:18">
      <c r="R124" s="33" t="s">
        <v>3328</v>
      </c>
    </row>
    <row r="125" spans="18:18">
      <c r="R125" s="33" t="s">
        <v>3329</v>
      </c>
    </row>
    <row r="126" spans="18:18">
      <c r="R126" s="33" t="s">
        <v>3330</v>
      </c>
    </row>
    <row r="127" spans="18:18">
      <c r="R127" s="33" t="s">
        <v>3331</v>
      </c>
    </row>
    <row r="128" spans="18:18">
      <c r="R128" s="33" t="s">
        <v>3332</v>
      </c>
    </row>
    <row r="129" spans="18:18">
      <c r="R129" s="33" t="s">
        <v>3333</v>
      </c>
    </row>
    <row r="130" spans="18:18">
      <c r="R130" s="33" t="s">
        <v>3334</v>
      </c>
    </row>
    <row r="131" spans="18:18">
      <c r="R131" s="33" t="s">
        <v>3335</v>
      </c>
    </row>
    <row r="132" spans="18:18">
      <c r="R132" s="33" t="s">
        <v>3336</v>
      </c>
    </row>
    <row r="133" spans="18:18">
      <c r="R133" s="33" t="s">
        <v>3337</v>
      </c>
    </row>
    <row r="134" spans="18:18">
      <c r="R134" s="33" t="s">
        <v>3338</v>
      </c>
    </row>
    <row r="135" spans="18:18">
      <c r="R135" s="33" t="s">
        <v>3339</v>
      </c>
    </row>
    <row r="136" spans="18:18">
      <c r="R136" s="33" t="s">
        <v>3340</v>
      </c>
    </row>
    <row r="137" spans="18:18">
      <c r="R137" s="33" t="s">
        <v>3341</v>
      </c>
    </row>
    <row r="138" spans="18:18">
      <c r="R138" s="33" t="s">
        <v>3342</v>
      </c>
    </row>
    <row r="139" spans="18:18">
      <c r="R139" s="33" t="s">
        <v>3343</v>
      </c>
    </row>
    <row r="140" spans="18:18">
      <c r="R140" s="33" t="s">
        <v>3344</v>
      </c>
    </row>
    <row r="141" spans="18:18">
      <c r="R141" s="33" t="s">
        <v>3345</v>
      </c>
    </row>
    <row r="142" spans="18:18">
      <c r="R142" s="33" t="s">
        <v>3346</v>
      </c>
    </row>
    <row r="143" spans="18:18">
      <c r="R143" s="33" t="s">
        <v>3347</v>
      </c>
    </row>
    <row r="144" spans="18:18">
      <c r="R144" s="33" t="s">
        <v>3348</v>
      </c>
    </row>
    <row r="145" spans="18:18">
      <c r="R145" s="33" t="s">
        <v>3349</v>
      </c>
    </row>
    <row r="146" spans="18:18">
      <c r="R146" s="33" t="s">
        <v>3350</v>
      </c>
    </row>
    <row r="147" spans="18:18">
      <c r="R147" s="33" t="s">
        <v>3351</v>
      </c>
    </row>
    <row r="148" spans="18:18">
      <c r="R148" s="33" t="s">
        <v>3352</v>
      </c>
    </row>
    <row r="149" spans="18:18">
      <c r="R149" s="33" t="s">
        <v>3353</v>
      </c>
    </row>
    <row r="150" spans="18:18">
      <c r="R150" s="33" t="s">
        <v>3354</v>
      </c>
    </row>
    <row r="151" spans="18:18">
      <c r="R151" s="33" t="s">
        <v>3355</v>
      </c>
    </row>
    <row r="152" spans="18:18">
      <c r="R152" s="33" t="s">
        <v>3356</v>
      </c>
    </row>
    <row r="153" spans="18:18">
      <c r="R153" s="33" t="s">
        <v>3357</v>
      </c>
    </row>
    <row r="154" spans="18:18">
      <c r="R154" s="33" t="s">
        <v>3358</v>
      </c>
    </row>
    <row r="155" spans="18:18">
      <c r="R155" s="33" t="s">
        <v>3359</v>
      </c>
    </row>
    <row r="156" spans="18:18">
      <c r="R156" s="33" t="s">
        <v>3360</v>
      </c>
    </row>
    <row r="157" spans="18:18">
      <c r="R157" s="33" t="s">
        <v>3361</v>
      </c>
    </row>
    <row r="158" spans="18:18">
      <c r="R158" s="33" t="s">
        <v>3362</v>
      </c>
    </row>
    <row r="159" spans="18:18">
      <c r="R159" s="33" t="s">
        <v>3363</v>
      </c>
    </row>
    <row r="160" spans="18:18">
      <c r="R160" s="33" t="s">
        <v>3364</v>
      </c>
    </row>
    <row r="161" spans="18:18">
      <c r="R161" s="33" t="s">
        <v>3365</v>
      </c>
    </row>
    <row r="162" spans="18:18">
      <c r="R162" s="33" t="s">
        <v>3366</v>
      </c>
    </row>
    <row r="163" spans="18:18">
      <c r="R163" s="33" t="s">
        <v>3367</v>
      </c>
    </row>
    <row r="164" spans="18:18">
      <c r="R164" s="33" t="s">
        <v>3368</v>
      </c>
    </row>
    <row r="165" spans="18:18">
      <c r="R165" s="33" t="s">
        <v>3369</v>
      </c>
    </row>
    <row r="166" spans="18:18">
      <c r="R166" s="33" t="s">
        <v>3370</v>
      </c>
    </row>
    <row r="167" spans="18:18">
      <c r="R167" s="33" t="s">
        <v>3371</v>
      </c>
    </row>
    <row r="168" spans="18:18">
      <c r="R168" s="33" t="s">
        <v>3372</v>
      </c>
    </row>
    <row r="169" spans="18:18">
      <c r="R169" s="33" t="s">
        <v>3373</v>
      </c>
    </row>
    <row r="170" spans="18:18">
      <c r="R170" s="33" t="s">
        <v>3374</v>
      </c>
    </row>
    <row r="171" spans="18:18">
      <c r="R171" s="33" t="s">
        <v>3375</v>
      </c>
    </row>
  </sheetData>
  <mergeCells count="2">
    <mergeCell ref="F4:J4"/>
    <mergeCell ref="F5:J5"/>
  </mergeCells>
  <phoneticPr fontId="2"/>
  <hyperlinks>
    <hyperlink ref="H9" r:id="rId1" display="https://tools.l2.dwh.sb-sys.info/userhelp/data/komoku" xr:uid="{06E2D3F9-B187-454D-9D40-CDE9D8A497B3}"/>
    <hyperlink ref="H10" r:id="rId2" display="https://tools.l2.dwh.sb-sys.info/userhelp/data/komoku" xr:uid="{D2450C20-2781-414B-81BA-7A9A8F8D45D4}"/>
    <hyperlink ref="H11" r:id="rId3" display="https://tools.l2.dwh.sb-sys.info/userhelp/data/komoku" xr:uid="{FC975722-7CFC-44D1-8EA1-5D4829ECCB2A}"/>
    <hyperlink ref="H12" r:id="rId4" display="https://tools.l2.dwh.sb-sys.info/userhelp/data/komoku" xr:uid="{9FA4B066-3F32-49DD-9400-FC3B033BE199}"/>
    <hyperlink ref="H13" r:id="rId5" display="https://tools.l2.dwh.sb-sys.info/userhelp/data/komoku" xr:uid="{0AC40D32-2586-4ECF-A92C-12121C775486}"/>
    <hyperlink ref="H14" r:id="rId6" display="https://tools.l2.dwh.sb-sys.info/userhelp/data/komoku" xr:uid="{015EFD15-A96B-4D64-802C-2EC029BD1116}"/>
    <hyperlink ref="H15" r:id="rId7" display="https://tools.l2.dwh.sb-sys.info/userhelp/data/komoku" xr:uid="{DB50AC77-9CEE-4315-B71A-D5AAA6071B89}"/>
    <hyperlink ref="H16" r:id="rId8" display="https://tools.l2.dwh.sb-sys.info/userhelp/data/komoku" xr:uid="{8678AB92-68AB-46CE-BC2A-02B1BC0931DB}"/>
    <hyperlink ref="H17" r:id="rId9" display="https://tools.l2.dwh.sb-sys.info/userhelp/data/komoku" xr:uid="{3E5593B3-CECD-4358-9B32-E05EFE0A6549}"/>
    <hyperlink ref="H18" r:id="rId10" display="https://tools.l2.dwh.sb-sys.info/userhelp/data/komoku" xr:uid="{7C3B1C01-3C58-4504-A676-6059A98A721C}"/>
    <hyperlink ref="H19" r:id="rId11" display="https://tools.l2.dwh.sb-sys.info/userhelp/data/komoku" xr:uid="{74C1ACE1-B8CA-43F2-93DF-74922E9B846C}"/>
    <hyperlink ref="H20" r:id="rId12" display="https://tools.l2.dwh.sb-sys.info/userhelp/data/komoku" xr:uid="{81C36052-47C3-46D3-908D-4708AD3C3CB4}"/>
    <hyperlink ref="H21" r:id="rId13" display="https://tools.l2.dwh.sb-sys.info/userhelp/data/komoku" xr:uid="{E39BB079-7CA8-48FD-A3FA-A71A516CAC25}"/>
    <hyperlink ref="H22" r:id="rId14" display="https://tools.l2.dwh.sb-sys.info/userhelp/data/komoku" xr:uid="{00F779C7-5B6E-4517-A891-5CE2A8B134B2}"/>
    <hyperlink ref="H23" r:id="rId15" display="https://tools.l2.dwh.sb-sys.info/userhelp/data/komoku" xr:uid="{2F990E29-D17C-41A9-AB6F-493C370CC52C}"/>
    <hyperlink ref="H24" r:id="rId16" display="https://tools.l2.dwh.sb-sys.info/userhelp/data/komoku" xr:uid="{71593ED6-C63D-4024-92F7-097F652150C9}"/>
    <hyperlink ref="H25" r:id="rId17" display="https://tools.l2.dwh.sb-sys.info/userhelp/data/komoku" xr:uid="{51BC09E5-6E6C-4406-AA94-8EF843B3823F}"/>
    <hyperlink ref="H26" r:id="rId18" display="https://tools.l2.dwh.sb-sys.info/userhelp/data/komoku" xr:uid="{3DFEE7F8-CB91-40FE-B2A7-E99A3AB26A2E}"/>
    <hyperlink ref="H27" r:id="rId19" display="https://tools.l2.dwh.sb-sys.info/userhelp/data/komoku" xr:uid="{CD86FAC8-BAE9-4396-A76B-A3C05FF28BBF}"/>
    <hyperlink ref="H28" r:id="rId20" display="https://tools.l2.dwh.sb-sys.info/userhelp/data/komoku" xr:uid="{F9E961CB-E9B7-4FFB-B367-FB22272DDB5D}"/>
    <hyperlink ref="H29" r:id="rId21" display="https://tools.l2.dwh.sb-sys.info/userhelp/data/komoku" xr:uid="{D4D6960B-996E-42D0-898E-509983F24F4E}"/>
    <hyperlink ref="H30" r:id="rId22" display="https://tools.l2.dwh.sb-sys.info/userhelp/data/komoku" xr:uid="{9F5E7A83-94C2-49B8-8DA6-F45E4E598008}"/>
    <hyperlink ref="H31" r:id="rId23" display="https://tools.l2.dwh.sb-sys.info/userhelp/data/komoku" xr:uid="{AE3063FC-98BB-4D03-9169-527B66C73E61}"/>
    <hyperlink ref="H32" r:id="rId24" display="https://tools.l2.dwh.sb-sys.info/userhelp/data/komoku" xr:uid="{77B10432-491A-44F0-AD07-92B601CC4DF7}"/>
    <hyperlink ref="H33" r:id="rId25" display="https://tools.l2.dwh.sb-sys.info/userhelp/data/komoku" xr:uid="{1D6528D8-6C2C-4199-931D-52EB74274A0E}"/>
    <hyperlink ref="H34" r:id="rId26" display="https://tools.l2.dwh.sb-sys.info/userhelp/data/komoku" xr:uid="{4C1C32DA-6DA7-4091-A683-4AA5BC3BC67A}"/>
    <hyperlink ref="H35" r:id="rId27" display="https://tools.l2.dwh.sb-sys.info/userhelp/data/komoku" xr:uid="{B9DF60C9-7887-46D5-AC23-B7EDB51E24E9}"/>
    <hyperlink ref="H36" r:id="rId28" display="https://tools.l2.dwh.sb-sys.info/userhelp/data/komoku" xr:uid="{FACB42C2-2B33-473A-9626-98763B47CD8C}"/>
    <hyperlink ref="H37" r:id="rId29" display="https://tools.l2.dwh.sb-sys.info/userhelp/data/komoku" xr:uid="{583817E4-F894-4FD1-AEB5-22DF4B639448}"/>
    <hyperlink ref="H38" r:id="rId30" display="https://tools.l2.dwh.sb-sys.info/userhelp/data/komoku" xr:uid="{884D51C4-F619-4802-A660-718D5730D0E3}"/>
    <hyperlink ref="H39" r:id="rId31" display="https://tools.l2.dwh.sb-sys.info/userhelp/data/komoku" xr:uid="{50738929-96CC-4AD9-9269-3D16D0777DDB}"/>
    <hyperlink ref="H40" r:id="rId32" display="https://tools.l2.dwh.sb-sys.info/userhelp/data/komoku" xr:uid="{A85B281B-84A5-4A13-99F2-850A15BBAF71}"/>
    <hyperlink ref="H41" r:id="rId33" display="https://tools.l2.dwh.sb-sys.info/userhelp/data/komoku" xr:uid="{3C6E5A2B-23AB-4E72-A66C-1FD33222BED7}"/>
    <hyperlink ref="H42" r:id="rId34" display="https://tools.l2.dwh.sb-sys.info/userhelp/data/komoku" xr:uid="{C4343E00-B776-4893-93E2-E4042C1B13B6}"/>
    <hyperlink ref="H43" r:id="rId35" display="https://tools.l2.dwh.sb-sys.info/userhelp/data/komoku" xr:uid="{E54680F1-BEBD-43EA-BA07-F6FB2D908154}"/>
    <hyperlink ref="H44" r:id="rId36" display="https://tools.l2.dwh.sb-sys.info/userhelp/data/komoku" xr:uid="{5BD06872-6281-401E-B673-7D8B9B163C8A}"/>
    <hyperlink ref="H45" r:id="rId37" display="https://tools.l2.dwh.sb-sys.info/userhelp/data/komoku" xr:uid="{F3610C9F-4569-4128-9419-D456C9B418EE}"/>
    <hyperlink ref="H46" r:id="rId38" display="https://tools.l2.dwh.sb-sys.info/userhelp/data/komoku" xr:uid="{2B46D329-380E-42EB-BD6F-4091E983550D}"/>
    <hyperlink ref="H47" r:id="rId39" display="https://tools.l2.dwh.sb-sys.info/userhelp/data/komoku" xr:uid="{39AE53BC-DA3F-45CB-9A2C-ECB8EBB6720D}"/>
    <hyperlink ref="H48" r:id="rId40" display="https://tools.l2.dwh.sb-sys.info/userhelp/data/komoku" xr:uid="{7416D300-8D14-48B7-B822-F1FF45404BFD}"/>
    <hyperlink ref="H49" r:id="rId41" display="https://tools.l2.dwh.sb-sys.info/userhelp/data/komoku" xr:uid="{813D4F9D-8075-49D1-BFA7-B5CFA2BC5B52}"/>
    <hyperlink ref="H50" r:id="rId42" display="https://tools.l2.dwh.sb-sys.info/userhelp/data/komoku" xr:uid="{E4368325-60D9-4A43-ADD6-01B92B62C3AE}"/>
    <hyperlink ref="H51" r:id="rId43" display="https://tools.l2.dwh.sb-sys.info/userhelp/data/komoku" xr:uid="{81F5887D-2B94-4783-9A1A-76865F0C86D1}"/>
    <hyperlink ref="H52" r:id="rId44" display="https://tools.l2.dwh.sb-sys.info/userhelp/data/komoku" xr:uid="{034920CC-2C2B-461E-937F-D23AC8E08174}"/>
    <hyperlink ref="H53" r:id="rId45" display="https://tools.l2.dwh.sb-sys.info/userhelp/data/komoku" xr:uid="{1A757B5A-1A62-449D-B5C3-840FB8260E96}"/>
    <hyperlink ref="H54" r:id="rId46" display="https://tools.l2.dwh.sb-sys.info/userhelp/data/komoku" xr:uid="{C150AEAD-325A-4F39-88BD-5C8D16866380}"/>
    <hyperlink ref="H55" r:id="rId47" display="https://tools.l2.dwh.sb-sys.info/userhelp/data/komoku" xr:uid="{A58C8EDD-2007-4CBC-BC47-FE34D79254F2}"/>
    <hyperlink ref="H56" r:id="rId48" display="https://tools.l2.dwh.sb-sys.info/userhelp/data/komoku" xr:uid="{559F0D94-7F50-4ED5-94C1-9AD7CD90382A}"/>
    <hyperlink ref="H57" r:id="rId49" display="https://tools.l2.dwh.sb-sys.info/userhelp/data/komoku" xr:uid="{E8DF4651-E8AD-4AE3-86B4-8350745E4DD1}"/>
    <hyperlink ref="H58" r:id="rId50" display="https://tools.l2.dwh.sb-sys.info/userhelp/data/komoku" xr:uid="{DA4499D0-02EB-49C1-949B-1D5A50BDA0C5}"/>
    <hyperlink ref="H59" r:id="rId51" display="https://tools.l2.dwh.sb-sys.info/userhelp/data/komoku" xr:uid="{301DFFBC-DCE9-4C32-A024-7EF71327F4DE}"/>
    <hyperlink ref="H60" r:id="rId52" display="https://tools.l2.dwh.sb-sys.info/userhelp/data/komoku" xr:uid="{87E5FE2B-A948-46FB-A8F6-38F1AC3D20F1}"/>
    <hyperlink ref="H61" r:id="rId53" display="https://tools.l2.dwh.sb-sys.info/userhelp/data/komoku" xr:uid="{0E671677-E2A9-445E-9C19-8129DC949237}"/>
    <hyperlink ref="H62" r:id="rId54" display="https://tools.l2.dwh.sb-sys.info/userhelp/data/komoku" xr:uid="{653CD7C7-AAE6-4FC1-A3EA-471CE1B10F90}"/>
    <hyperlink ref="H63" r:id="rId55" display="https://tools.l2.dwh.sb-sys.info/userhelp/data/komoku" xr:uid="{122ECAF3-C19C-4FFD-BCF6-0E236C63129E}"/>
    <hyperlink ref="H64" r:id="rId56" display="https://tools.l2.dwh.sb-sys.info/userhelp/data/komoku" xr:uid="{E57FFD98-79E2-4BB6-9C4D-DAEB0E565281}"/>
    <hyperlink ref="H65" r:id="rId57" display="https://tools.l2.dwh.sb-sys.info/userhelp/data/komoku" xr:uid="{22A91EC9-CF9F-4CCB-AECD-D5518E5F54DD}"/>
    <hyperlink ref="H66" r:id="rId58" display="https://tools.l2.dwh.sb-sys.info/userhelp/data/komoku" xr:uid="{6CAF4DC0-A4D3-4FFB-8007-080FA966CA79}"/>
    <hyperlink ref="H67" r:id="rId59" display="https://tools.l2.dwh.sb-sys.info/userhelp/data/komoku" xr:uid="{4AFCF577-21FF-4B75-99DB-43C5CD3D368B}"/>
    <hyperlink ref="H68" r:id="rId60" display="https://tools.l2.dwh.sb-sys.info/userhelp/data/komoku" xr:uid="{25682EB3-CCDB-4E5B-8C52-5BC9DC2D3C30}"/>
    <hyperlink ref="H69" r:id="rId61" display="https://tools.l2.dwh.sb-sys.info/userhelp/data/komoku" xr:uid="{69207F18-8092-4E66-BD5E-F91F1A10F8BC}"/>
    <hyperlink ref="H70" r:id="rId62" display="https://tools.l2.dwh.sb-sys.info/userhelp/data/komoku" xr:uid="{DE93A1E2-2D12-41A5-A49E-3A800541867B}"/>
    <hyperlink ref="H71" r:id="rId63" display="https://tools.l2.dwh.sb-sys.info/userhelp/data/komoku" xr:uid="{835244F4-2482-40E7-A99A-B38412097406}"/>
    <hyperlink ref="H72" r:id="rId64" display="https://tools.l2.dwh.sb-sys.info/userhelp/data/komoku" xr:uid="{2357F93B-DB69-42BB-9918-986CC739F87A}"/>
    <hyperlink ref="H73" r:id="rId65" display="https://tools.l2.dwh.sb-sys.info/userhelp/data/komoku" xr:uid="{CA36B7B1-3091-4284-A022-ACD322353C14}"/>
    <hyperlink ref="H74" r:id="rId66" display="https://tools.l2.dwh.sb-sys.info/userhelp/data/komoku" xr:uid="{6AFD5BA9-CBE5-45E1-88EC-48A0A4222621}"/>
    <hyperlink ref="H75" r:id="rId67" display="https://tools.l2.dwh.sb-sys.info/userhelp/data/komoku" xr:uid="{CAF900DD-1C0C-4D3F-9BA0-FF10BD0DD61F}"/>
    <hyperlink ref="H76" r:id="rId68" display="https://tools.l2.dwh.sb-sys.info/userhelp/data/komoku" xr:uid="{BF10F79B-AD4D-4F29-AA99-65E2120C4653}"/>
    <hyperlink ref="H77" r:id="rId69" display="https://tools.l2.dwh.sb-sys.info/userhelp/data/komoku" xr:uid="{D1D471A5-03E6-49A4-B560-37D5FB9D8500}"/>
    <hyperlink ref="H78" r:id="rId70" display="https://tools.l2.dwh.sb-sys.info/userhelp/data/komoku" xr:uid="{83CB3968-D8E1-4819-9FB5-D07F26FEAF5B}"/>
    <hyperlink ref="H79" r:id="rId71" display="https://tools.l2.dwh.sb-sys.info/userhelp/data/komoku" xr:uid="{B86C09C9-FB72-478D-B2BA-F90EA9D25323}"/>
    <hyperlink ref="H80" r:id="rId72" display="https://tools.l2.dwh.sb-sys.info/userhelp/data/komoku" xr:uid="{7F1457BF-815B-468B-A843-C215019FA279}"/>
    <hyperlink ref="H81" r:id="rId73" display="https://tools.l2.dwh.sb-sys.info/userhelp/data/komoku" xr:uid="{5F27187C-906C-44A3-A6CF-2BED0A5A6304}"/>
    <hyperlink ref="H82" r:id="rId74" display="https://tools.l2.dwh.sb-sys.info/userhelp/data/komoku" xr:uid="{2B1D641A-5129-41E9-AB85-C89F878D024F}"/>
    <hyperlink ref="H83" r:id="rId75" display="https://tools.l2.dwh.sb-sys.info/userhelp/data/komoku" xr:uid="{DE69EE4A-EB3E-4F91-ACF5-30976E02B77F}"/>
    <hyperlink ref="H84" r:id="rId76" display="https://tools.l2.dwh.sb-sys.info/userhelp/data/komoku" xr:uid="{48A7D68D-142C-4566-A873-4CABED379CE5}"/>
    <hyperlink ref="H85" r:id="rId77" display="https://tools.l2.dwh.sb-sys.info/userhelp/data/komoku" xr:uid="{728436EE-BC10-4495-9216-88F1F7CEA781}"/>
    <hyperlink ref="H86" r:id="rId78" display="https://tools.l2.dwh.sb-sys.info/userhelp/data/komoku" xr:uid="{67E18640-FB20-4467-935A-275BC9248521}"/>
    <hyperlink ref="H87" r:id="rId79" display="https://tools.l2.dwh.sb-sys.info/userhelp/data/komoku" xr:uid="{9BC5BEF7-35EE-4345-AD5F-17E2112B39E5}"/>
    <hyperlink ref="H88" r:id="rId80" display="https://tools.l2.dwh.sb-sys.info/userhelp/data/komoku" xr:uid="{EB2799A6-E7CE-4FC9-A933-B07C24B1BD8E}"/>
  </hyperlinks>
  <pageMargins left="0.7" right="0.7" top="0.75" bottom="0.75" header="0.3" footer="0.3"/>
  <pageSetup paperSize="9" orientation="portrait" r:id="rId8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4ACD0-CFB6-40CA-94E1-2092A58B168B}">
  <sheetPr>
    <tabColor rgb="FFFFFF00"/>
  </sheetPr>
  <dimension ref="A1:R77"/>
  <sheetViews>
    <sheetView zoomScale="70" zoomScaleNormal="70" workbookViewId="0"/>
  </sheetViews>
  <sheetFormatPr defaultRowHeight="18.75"/>
  <cols>
    <col min="1" max="1" width="3.375" bestFit="1" customWidth="1"/>
    <col min="2" max="2" width="4.375" bestFit="1" customWidth="1"/>
    <col min="3" max="3" width="17.5" bestFit="1" customWidth="1"/>
    <col min="4" max="4" width="9.375" bestFit="1" customWidth="1"/>
    <col min="5" max="5" width="4.125" bestFit="1" customWidth="1"/>
    <col min="6" max="6" width="6" bestFit="1" customWidth="1"/>
    <col min="7" max="7" width="66.25" bestFit="1" customWidth="1"/>
    <col min="8" max="8" width="20.5" hidden="1" customWidth="1"/>
    <col min="9" max="9" width="4.5" hidden="1" customWidth="1"/>
    <col min="10" max="10" width="6" hidden="1" customWidth="1"/>
    <col min="11" max="11" width="26.25" customWidth="1"/>
    <col min="14" max="14" width="40.25" customWidth="1"/>
  </cols>
  <sheetData>
    <row r="1" spans="1:18" ht="19.5" thickBot="1"/>
    <row r="2" spans="1:18" ht="60.75" thickBot="1">
      <c r="F2" s="1" t="s">
        <v>41</v>
      </c>
      <c r="G2" s="1" t="s">
        <v>42</v>
      </c>
      <c r="H2" s="1" t="s">
        <v>43</v>
      </c>
      <c r="I2" s="1" t="s">
        <v>44</v>
      </c>
      <c r="J2" s="1" t="s">
        <v>45</v>
      </c>
    </row>
    <row r="3" spans="1:18" ht="60.75" customHeight="1" thickBot="1">
      <c r="F3" s="2" t="s">
        <v>46</v>
      </c>
      <c r="G3" s="3" t="s">
        <v>3376</v>
      </c>
      <c r="H3" s="3"/>
      <c r="I3" s="3" t="s">
        <v>3377</v>
      </c>
      <c r="J3" s="3" t="s">
        <v>49</v>
      </c>
      <c r="K3" s="28" t="s">
        <v>3378</v>
      </c>
    </row>
    <row r="4" spans="1:18">
      <c r="F4" s="41" t="s">
        <v>51</v>
      </c>
      <c r="G4" s="42"/>
      <c r="H4" s="42"/>
      <c r="I4" s="42"/>
      <c r="J4" s="43"/>
    </row>
    <row r="5" spans="1:18" ht="19.5" thickBot="1">
      <c r="F5" s="44" t="s">
        <v>3379</v>
      </c>
      <c r="G5" s="45"/>
      <c r="H5" s="45"/>
      <c r="I5" s="45"/>
      <c r="J5" s="46"/>
    </row>
    <row r="6" spans="1:18" ht="19.5" thickBot="1">
      <c r="K6" t="str">
        <f>"DROP TABLE IF EXISTS "&amp;K3&amp;" CASCADE;"</f>
        <v>DROP TABLE IF EXISTS rms_contract_fee_information CASCADE;</v>
      </c>
      <c r="R6" s="33" t="s">
        <v>3380</v>
      </c>
    </row>
    <row r="7" spans="1:18" ht="19.5" thickBot="1">
      <c r="K7" t="str">
        <f>"CREATE TABLE IF NOT EXISTS "&amp;K3&amp;" ("</f>
        <v>CREATE TABLE IF NOT EXISTS rms_contract_fee_information (</v>
      </c>
      <c r="N7" s="40" t="str">
        <f>"COMMENT ON TABLE "&amp;K3&amp;" IS '"&amp;G3&amp;"';"</f>
        <v>COMMENT ON TABLE rms_contract_fee_information IS 'b_hjn_rms_契約料金情報';</v>
      </c>
      <c r="R7" s="33" t="s">
        <v>3381</v>
      </c>
    </row>
    <row r="8" spans="1:18" ht="19.5" thickBot="1">
      <c r="A8" s="4" t="s">
        <v>54</v>
      </c>
      <c r="B8" s="4" t="s">
        <v>55</v>
      </c>
      <c r="C8" s="4" t="s">
        <v>56</v>
      </c>
      <c r="D8" s="4" t="s">
        <v>57</v>
      </c>
      <c r="E8" s="4" t="s">
        <v>58</v>
      </c>
      <c r="F8" s="4" t="s">
        <v>59</v>
      </c>
      <c r="G8" s="4" t="s">
        <v>60</v>
      </c>
      <c r="H8" s="4" t="s">
        <v>61</v>
      </c>
      <c r="I8" s="4" t="s">
        <v>62</v>
      </c>
      <c r="J8" s="4" t="s">
        <v>63</v>
      </c>
      <c r="K8" t="s">
        <v>64</v>
      </c>
      <c r="N8" s="38" t="str">
        <f>"COMMENT ON COLUMN "&amp;$K$3&amp;".id IS 'id';"</f>
        <v>COMMENT ON COLUMN rms_contract_fee_information.id IS 'id';</v>
      </c>
      <c r="R8" s="34" t="s">
        <v>65</v>
      </c>
    </row>
    <row r="9" spans="1:18" ht="19.5" thickBot="1">
      <c r="A9" s="3"/>
      <c r="B9" s="3">
        <v>1</v>
      </c>
      <c r="C9" s="3" t="s">
        <v>3382</v>
      </c>
      <c r="D9" s="3" t="s">
        <v>66</v>
      </c>
      <c r="E9" s="3">
        <v>48</v>
      </c>
      <c r="F9" s="2" t="s">
        <v>67</v>
      </c>
      <c r="G9" s="3"/>
      <c r="H9" s="5"/>
      <c r="I9" s="3"/>
      <c r="J9" s="3"/>
      <c r="K9" t="s">
        <v>3012</v>
      </c>
      <c r="L9" t="str">
        <f>D9&amp;"("&amp;E9&amp;"),"</f>
        <v>VARCHAR(48),</v>
      </c>
      <c r="N9" s="38" t="str">
        <f>"COMMENT ON COLUMN "&amp;$K$3&amp;"."&amp;$K9&amp;" IS '"&amp;C9&amp;"';"</f>
        <v>COMMENT ON COLUMN rms_contract_fee_information.order_number IS 'オーダ番号';</v>
      </c>
      <c r="R9" s="34" t="s">
        <v>3013</v>
      </c>
    </row>
    <row r="10" spans="1:18" ht="19.5" thickBot="1">
      <c r="A10" s="6"/>
      <c r="B10" s="6">
        <v>2</v>
      </c>
      <c r="C10" s="6" t="s">
        <v>3014</v>
      </c>
      <c r="D10" s="6" t="s">
        <v>66</v>
      </c>
      <c r="E10" s="6">
        <v>9</v>
      </c>
      <c r="F10" s="7" t="s">
        <v>67</v>
      </c>
      <c r="G10" s="6"/>
      <c r="H10" s="8"/>
      <c r="I10" s="6"/>
      <c r="J10" s="6"/>
      <c r="K10" t="s">
        <v>3016</v>
      </c>
      <c r="L10" t="str">
        <f t="shared" ref="L10:L41" si="0">D10&amp;"("&amp;E10&amp;"),"</f>
        <v>VARCHAR(9),</v>
      </c>
      <c r="N10" s="38" t="str">
        <f t="shared" ref="N10:N41" si="1">"COMMENT ON COLUMN "&amp;$K$3&amp;"."&amp;$K10&amp;" IS '"&amp;C10&amp;"';"</f>
        <v>COMMENT ON COLUMN rms_contract_fee_information.order_detail_line_number IS 'オーダ明細行番号';</v>
      </c>
      <c r="R10" s="34" t="s">
        <v>3017</v>
      </c>
    </row>
    <row r="11" spans="1:18" ht="19.5" thickBot="1">
      <c r="A11" s="3"/>
      <c r="B11" s="3">
        <v>3</v>
      </c>
      <c r="C11" s="3" t="s">
        <v>3383</v>
      </c>
      <c r="D11" s="3" t="s">
        <v>66</v>
      </c>
      <c r="E11" s="3">
        <v>9</v>
      </c>
      <c r="F11" s="2" t="s">
        <v>67</v>
      </c>
      <c r="G11" s="3"/>
      <c r="H11" s="5"/>
      <c r="I11" s="3"/>
      <c r="J11" s="3"/>
      <c r="K11" t="s">
        <v>3384</v>
      </c>
      <c r="L11" t="str">
        <f t="shared" si="0"/>
        <v>VARCHAR(9),</v>
      </c>
      <c r="N11" s="38" t="str">
        <f t="shared" si="1"/>
        <v>COMMENT ON COLUMN rms_contract_fee_information.order_charge_detail_line_number IS 'オーダ料金明細行番号';</v>
      </c>
      <c r="R11" s="34" t="s">
        <v>3385</v>
      </c>
    </row>
    <row r="12" spans="1:18" ht="19.5" thickBot="1">
      <c r="A12" s="6"/>
      <c r="B12" s="6">
        <v>4</v>
      </c>
      <c r="C12" s="6" t="s">
        <v>3386</v>
      </c>
      <c r="D12" s="6" t="s">
        <v>66</v>
      </c>
      <c r="E12" s="6">
        <v>18</v>
      </c>
      <c r="F12" s="7" t="s">
        <v>67</v>
      </c>
      <c r="G12" s="6"/>
      <c r="H12" s="8"/>
      <c r="I12" s="6"/>
      <c r="J12" s="6"/>
      <c r="K12" t="s">
        <v>3387</v>
      </c>
      <c r="L12" t="str">
        <f t="shared" si="0"/>
        <v>VARCHAR(18),</v>
      </c>
      <c r="N12" s="38" t="str">
        <f t="shared" si="1"/>
        <v>COMMENT ON COLUMN rms_contract_fee_information.charge_item_id IS '料金項目id';</v>
      </c>
      <c r="R12" s="34" t="s">
        <v>3388</v>
      </c>
    </row>
    <row r="13" spans="1:18" ht="19.5" thickBot="1">
      <c r="A13" s="3"/>
      <c r="B13" s="3">
        <v>5</v>
      </c>
      <c r="C13" s="3" t="s">
        <v>3389</v>
      </c>
      <c r="D13" s="3" t="s">
        <v>66</v>
      </c>
      <c r="E13" s="3">
        <v>600</v>
      </c>
      <c r="F13" s="2" t="s">
        <v>67</v>
      </c>
      <c r="G13" s="3" t="s">
        <v>3390</v>
      </c>
      <c r="H13" s="5"/>
      <c r="I13" s="3"/>
      <c r="J13" s="3"/>
      <c r="K13" t="s">
        <v>3391</v>
      </c>
      <c r="L13" t="str">
        <f t="shared" si="0"/>
        <v>VARCHAR(600),</v>
      </c>
      <c r="N13" s="38" t="str">
        <f t="shared" si="1"/>
        <v>COMMENT ON COLUMN rms_contract_fee_information.charge_item_name IS '料金項目名称';</v>
      </c>
      <c r="R13" s="34" t="s">
        <v>3392</v>
      </c>
    </row>
    <row r="14" spans="1:18" ht="19.5" thickBot="1">
      <c r="A14" s="6"/>
      <c r="B14" s="6">
        <v>6</v>
      </c>
      <c r="C14" s="6" t="s">
        <v>3393</v>
      </c>
      <c r="D14" s="6" t="s">
        <v>66</v>
      </c>
      <c r="E14" s="6">
        <v>9</v>
      </c>
      <c r="F14" s="7" t="s">
        <v>67</v>
      </c>
      <c r="G14" s="6" t="s">
        <v>3394</v>
      </c>
      <c r="H14" s="8"/>
      <c r="I14" s="6"/>
      <c r="J14" s="6"/>
      <c r="K14" t="s">
        <v>3395</v>
      </c>
      <c r="L14" t="str">
        <f t="shared" si="0"/>
        <v>VARCHAR(9),</v>
      </c>
      <c r="N14" s="38" t="str">
        <f t="shared" si="1"/>
        <v>COMMENT ON COLUMN rms_contract_fee_information.charge_item_classification_code IS '料金項目分類コード';</v>
      </c>
      <c r="R14" s="34" t="s">
        <v>3396</v>
      </c>
    </row>
    <row r="15" spans="1:18" ht="19.5" thickBot="1">
      <c r="A15" s="3"/>
      <c r="B15" s="3">
        <v>7</v>
      </c>
      <c r="C15" s="3" t="s">
        <v>3397</v>
      </c>
      <c r="D15" s="3" t="s">
        <v>66</v>
      </c>
      <c r="E15" s="3">
        <v>300</v>
      </c>
      <c r="F15" s="2" t="s">
        <v>67</v>
      </c>
      <c r="G15" s="3" t="s">
        <v>3398</v>
      </c>
      <c r="H15" s="5"/>
      <c r="I15" s="3"/>
      <c r="J15" s="3"/>
      <c r="K15" t="s">
        <v>3399</v>
      </c>
      <c r="L15" t="str">
        <f t="shared" si="0"/>
        <v>VARCHAR(300),</v>
      </c>
      <c r="N15" s="38" t="str">
        <f t="shared" si="1"/>
        <v>COMMENT ON COLUMN rms_contract_fee_information.charge_item_classification_code_name IS '料金項目分類コード名';</v>
      </c>
      <c r="R15" s="34" t="s">
        <v>3400</v>
      </c>
    </row>
    <row r="16" spans="1:18" ht="19.5" thickBot="1">
      <c r="A16" s="6"/>
      <c r="B16" s="6">
        <v>8</v>
      </c>
      <c r="C16" s="6" t="s">
        <v>3401</v>
      </c>
      <c r="D16" s="6" t="s">
        <v>89</v>
      </c>
      <c r="E16" s="6">
        <v>12</v>
      </c>
      <c r="F16" s="7" t="s">
        <v>67</v>
      </c>
      <c r="G16" s="6" t="s">
        <v>3402</v>
      </c>
      <c r="H16" s="8"/>
      <c r="I16" s="6"/>
      <c r="J16" s="6"/>
      <c r="K16" t="s">
        <v>3403</v>
      </c>
      <c r="L16" t="str">
        <f t="shared" si="0"/>
        <v>DECIMAL(12),</v>
      </c>
      <c r="N16" s="38" t="str">
        <f t="shared" si="1"/>
        <v>COMMENT ON COLUMN rms_contract_fee_information.display_sort_control IS '表示ソート制御';</v>
      </c>
      <c r="R16" s="34" t="s">
        <v>3404</v>
      </c>
    </row>
    <row r="17" spans="1:18" ht="19.5" thickBot="1">
      <c r="A17" s="3"/>
      <c r="B17" s="3">
        <v>9</v>
      </c>
      <c r="C17" s="3" t="s">
        <v>3125</v>
      </c>
      <c r="D17" s="3" t="s">
        <v>66</v>
      </c>
      <c r="E17" s="3">
        <v>24</v>
      </c>
      <c r="F17" s="2" t="s">
        <v>67</v>
      </c>
      <c r="G17" s="3" t="s">
        <v>3126</v>
      </c>
      <c r="H17" s="5"/>
      <c r="I17" s="3"/>
      <c r="J17" s="3"/>
      <c r="K17" t="s">
        <v>3127</v>
      </c>
      <c r="L17" t="str">
        <f t="shared" si="0"/>
        <v>VARCHAR(24),</v>
      </c>
      <c r="N17" s="38" t="str">
        <f t="shared" si="1"/>
        <v>COMMENT ON COLUMN rms_contract_fee_information.contract_start_date IS '契約開始日';</v>
      </c>
      <c r="R17" s="34" t="s">
        <v>3128</v>
      </c>
    </row>
    <row r="18" spans="1:18" ht="19.5" thickBot="1">
      <c r="A18" s="6"/>
      <c r="B18" s="6">
        <v>10</v>
      </c>
      <c r="C18" s="6" t="s">
        <v>3129</v>
      </c>
      <c r="D18" s="6" t="s">
        <v>66</v>
      </c>
      <c r="E18" s="6">
        <v>24</v>
      </c>
      <c r="F18" s="7" t="s">
        <v>67</v>
      </c>
      <c r="G18" s="6" t="s">
        <v>3126</v>
      </c>
      <c r="H18" s="8"/>
      <c r="I18" s="6"/>
      <c r="J18" s="6"/>
      <c r="K18" t="s">
        <v>3130</v>
      </c>
      <c r="L18" t="str">
        <f t="shared" si="0"/>
        <v>VARCHAR(24),</v>
      </c>
      <c r="N18" s="38" t="str">
        <f t="shared" si="1"/>
        <v>COMMENT ON COLUMN rms_contract_fee_information.contract_end_date IS '契約終了日';</v>
      </c>
      <c r="R18" s="34" t="s">
        <v>3131</v>
      </c>
    </row>
    <row r="19" spans="1:18" ht="30.75" thickBot="1">
      <c r="A19" s="3"/>
      <c r="B19" s="3">
        <v>11</v>
      </c>
      <c r="C19" s="3" t="s">
        <v>3405</v>
      </c>
      <c r="D19" s="3" t="s">
        <v>66</v>
      </c>
      <c r="E19" s="3">
        <v>24</v>
      </c>
      <c r="F19" s="2" t="s">
        <v>67</v>
      </c>
      <c r="G19" s="3" t="s">
        <v>3406</v>
      </c>
      <c r="H19" s="5"/>
      <c r="I19" s="3"/>
      <c r="J19" s="3"/>
      <c r="K19" t="s">
        <v>3407</v>
      </c>
      <c r="L19" t="str">
        <f t="shared" si="0"/>
        <v>VARCHAR(24),</v>
      </c>
      <c r="N19" s="38" t="str">
        <f t="shared" si="1"/>
        <v>COMMENT ON COLUMN rms_contract_fee_information.billing_start_date IS '課金開始日';</v>
      </c>
      <c r="R19" s="34" t="s">
        <v>3408</v>
      </c>
    </row>
    <row r="20" spans="1:18" ht="45.75" thickBot="1">
      <c r="A20" s="6"/>
      <c r="B20" s="6">
        <v>12</v>
      </c>
      <c r="C20" s="6" t="s">
        <v>3409</v>
      </c>
      <c r="D20" s="6" t="s">
        <v>66</v>
      </c>
      <c r="E20" s="6">
        <v>24</v>
      </c>
      <c r="F20" s="7" t="s">
        <v>67</v>
      </c>
      <c r="G20" s="6" t="s">
        <v>3410</v>
      </c>
      <c r="H20" s="8"/>
      <c r="I20" s="6"/>
      <c r="J20" s="6"/>
      <c r="K20" t="s">
        <v>3411</v>
      </c>
      <c r="L20" t="str">
        <f t="shared" si="0"/>
        <v>VARCHAR(24),</v>
      </c>
      <c r="N20" s="38" t="str">
        <f t="shared" si="1"/>
        <v>COMMENT ON COLUMN rms_contract_fee_information.billing_end_date IS '課金終了日';</v>
      </c>
      <c r="R20" s="34" t="s">
        <v>3412</v>
      </c>
    </row>
    <row r="21" spans="1:18" ht="30.75" thickBot="1">
      <c r="A21" s="3"/>
      <c r="B21" s="3">
        <v>13</v>
      </c>
      <c r="C21" s="3" t="s">
        <v>3413</v>
      </c>
      <c r="D21" s="3" t="s">
        <v>66</v>
      </c>
      <c r="E21" s="3">
        <v>24</v>
      </c>
      <c r="F21" s="2" t="s">
        <v>67</v>
      </c>
      <c r="G21" s="3" t="s">
        <v>3414</v>
      </c>
      <c r="H21" s="5"/>
      <c r="I21" s="3"/>
      <c r="J21" s="3"/>
      <c r="K21" t="s">
        <v>3415</v>
      </c>
      <c r="L21" t="str">
        <f t="shared" si="0"/>
        <v>VARCHAR(24),</v>
      </c>
      <c r="N21" s="38" t="str">
        <f t="shared" si="1"/>
        <v>COMMENT ON COLUMN rms_contract_fee_information.charge_information_registration_date IS '料金情報登録日';</v>
      </c>
      <c r="R21" s="34" t="s">
        <v>3416</v>
      </c>
    </row>
    <row r="22" spans="1:18" ht="19.5" thickBot="1">
      <c r="A22" s="6"/>
      <c r="B22" s="6">
        <v>14</v>
      </c>
      <c r="C22" s="6" t="s">
        <v>3417</v>
      </c>
      <c r="D22" s="6" t="s">
        <v>66</v>
      </c>
      <c r="E22" s="6">
        <v>3</v>
      </c>
      <c r="F22" s="7" t="s">
        <v>67</v>
      </c>
      <c r="G22" s="6" t="s">
        <v>3418</v>
      </c>
      <c r="H22" s="8"/>
      <c r="I22" s="6"/>
      <c r="J22" s="6"/>
      <c r="K22" t="s">
        <v>3419</v>
      </c>
      <c r="L22" t="str">
        <f t="shared" si="0"/>
        <v>VARCHAR(3),</v>
      </c>
      <c r="N22" s="38" t="str">
        <f t="shared" si="1"/>
        <v>COMMENT ON COLUMN rms_contract_fee_information.monthly_lump_sum_category IS '月額一時金区分';</v>
      </c>
      <c r="R22" s="34" t="s">
        <v>3420</v>
      </c>
    </row>
    <row r="23" spans="1:18" ht="19.5" thickBot="1">
      <c r="A23" s="3"/>
      <c r="B23" s="3">
        <v>15</v>
      </c>
      <c r="C23" s="3" t="s">
        <v>3421</v>
      </c>
      <c r="D23" s="3" t="s">
        <v>66</v>
      </c>
      <c r="E23" s="3">
        <v>300</v>
      </c>
      <c r="F23" s="2" t="s">
        <v>67</v>
      </c>
      <c r="G23" s="3" t="s">
        <v>3422</v>
      </c>
      <c r="H23" s="5"/>
      <c r="I23" s="3"/>
      <c r="J23" s="3"/>
      <c r="K23" t="s">
        <v>3423</v>
      </c>
      <c r="L23" t="str">
        <f t="shared" si="0"/>
        <v>VARCHAR(300),</v>
      </c>
      <c r="N23" s="38" t="str">
        <f t="shared" si="1"/>
        <v>COMMENT ON COLUMN rms_contract_fee_information.monthly_lump_sum_category_name IS '月額一時金区分名';</v>
      </c>
      <c r="R23" s="34" t="s">
        <v>3424</v>
      </c>
    </row>
    <row r="24" spans="1:18" ht="19.5" thickBot="1">
      <c r="A24" s="6"/>
      <c r="B24" s="6">
        <v>16</v>
      </c>
      <c r="C24" s="6" t="s">
        <v>3425</v>
      </c>
      <c r="D24" s="6" t="s">
        <v>66</v>
      </c>
      <c r="E24" s="6">
        <v>3</v>
      </c>
      <c r="F24" s="7" t="s">
        <v>67</v>
      </c>
      <c r="G24" s="6" t="s">
        <v>3426</v>
      </c>
      <c r="H24" s="8"/>
      <c r="I24" s="6"/>
      <c r="J24" s="6"/>
      <c r="K24" t="s">
        <v>3427</v>
      </c>
      <c r="L24" t="str">
        <f t="shared" si="0"/>
        <v>VARCHAR(3),</v>
      </c>
      <c r="N24" s="38" t="str">
        <f t="shared" si="1"/>
        <v>COMMENT ON COLUMN rms_contract_fee_information.tax_category IS '税区分';</v>
      </c>
      <c r="R24" s="34" t="s">
        <v>3428</v>
      </c>
    </row>
    <row r="25" spans="1:18" ht="19.5" thickBot="1">
      <c r="A25" s="3"/>
      <c r="B25" s="3">
        <v>17</v>
      </c>
      <c r="C25" s="3" t="s">
        <v>3429</v>
      </c>
      <c r="D25" s="3" t="s">
        <v>66</v>
      </c>
      <c r="E25" s="3">
        <v>300</v>
      </c>
      <c r="F25" s="2" t="s">
        <v>67</v>
      </c>
      <c r="G25" s="3" t="s">
        <v>3430</v>
      </c>
      <c r="H25" s="5"/>
      <c r="I25" s="3"/>
      <c r="J25" s="3"/>
      <c r="K25" t="s">
        <v>3431</v>
      </c>
      <c r="L25" t="str">
        <f t="shared" si="0"/>
        <v>VARCHAR(300),</v>
      </c>
      <c r="N25" s="38" t="str">
        <f t="shared" si="1"/>
        <v>COMMENT ON COLUMN rms_contract_fee_information.tax_category_name IS '税区分名';</v>
      </c>
      <c r="R25" s="34" t="s">
        <v>3432</v>
      </c>
    </row>
    <row r="26" spans="1:18" ht="19.5" thickBot="1">
      <c r="A26" s="6"/>
      <c r="B26" s="6">
        <v>18</v>
      </c>
      <c r="C26" s="6" t="s">
        <v>3433</v>
      </c>
      <c r="D26" s="6" t="s">
        <v>89</v>
      </c>
      <c r="E26" s="6">
        <v>27</v>
      </c>
      <c r="F26" s="7" t="s">
        <v>67</v>
      </c>
      <c r="G26" s="6" t="s">
        <v>3434</v>
      </c>
      <c r="H26" s="8"/>
      <c r="I26" s="6"/>
      <c r="J26" s="6"/>
      <c r="K26" t="s">
        <v>3435</v>
      </c>
      <c r="L26" t="str">
        <f t="shared" si="0"/>
        <v>DECIMAL(27),</v>
      </c>
      <c r="N26" s="38" t="str">
        <f t="shared" si="1"/>
        <v>COMMENT ON COLUMN rms_contract_fee_information.amount IS '金額';</v>
      </c>
      <c r="R26" s="34" t="s">
        <v>3436</v>
      </c>
    </row>
    <row r="27" spans="1:18" ht="30.75" thickBot="1">
      <c r="A27" s="3"/>
      <c r="B27" s="3">
        <v>19</v>
      </c>
      <c r="C27" s="3" t="s">
        <v>3437</v>
      </c>
      <c r="D27" s="3" t="s">
        <v>66</v>
      </c>
      <c r="E27" s="3">
        <v>270</v>
      </c>
      <c r="F27" s="2" t="s">
        <v>67</v>
      </c>
      <c r="G27" s="3" t="s">
        <v>3438</v>
      </c>
      <c r="H27" s="5"/>
      <c r="I27" s="3"/>
      <c r="J27" s="3"/>
      <c r="K27" t="s">
        <v>3439</v>
      </c>
      <c r="L27" t="str">
        <f t="shared" si="0"/>
        <v>VARCHAR(270),</v>
      </c>
      <c r="N27" s="38" t="str">
        <f t="shared" si="1"/>
        <v>COMMENT ON COLUMN rms_contract_fee_information.approval_number IS '決裁番号';</v>
      </c>
      <c r="R27" s="34" t="s">
        <v>3440</v>
      </c>
    </row>
    <row r="28" spans="1:18" ht="19.5" thickBot="1">
      <c r="A28" s="6"/>
      <c r="B28" s="6">
        <v>20</v>
      </c>
      <c r="C28" s="6" t="s">
        <v>3441</v>
      </c>
      <c r="D28" s="6" t="s">
        <v>66</v>
      </c>
      <c r="E28" s="6">
        <v>6</v>
      </c>
      <c r="F28" s="7" t="s">
        <v>67</v>
      </c>
      <c r="G28" s="6" t="s">
        <v>3442</v>
      </c>
      <c r="H28" s="8"/>
      <c r="I28" s="6"/>
      <c r="J28" s="6"/>
      <c r="K28" t="s">
        <v>3443</v>
      </c>
      <c r="L28" t="str">
        <f t="shared" si="0"/>
        <v>VARCHAR(6),</v>
      </c>
      <c r="N28" s="38" t="str">
        <f t="shared" si="1"/>
        <v>COMMENT ON COLUMN rms_contract_fee_information.billing_status IS '請求ステータス';</v>
      </c>
      <c r="R28" s="34" t="s">
        <v>3444</v>
      </c>
    </row>
    <row r="29" spans="1:18" ht="19.5" thickBot="1">
      <c r="A29" s="3"/>
      <c r="B29" s="3">
        <v>21</v>
      </c>
      <c r="C29" s="3" t="s">
        <v>3445</v>
      </c>
      <c r="D29" s="3" t="s">
        <v>66</v>
      </c>
      <c r="E29" s="3">
        <v>300</v>
      </c>
      <c r="F29" s="2" t="s">
        <v>67</v>
      </c>
      <c r="G29" s="3" t="s">
        <v>3446</v>
      </c>
      <c r="H29" s="5"/>
      <c r="I29" s="3"/>
      <c r="J29" s="3"/>
      <c r="K29" t="s">
        <v>3447</v>
      </c>
      <c r="L29" t="str">
        <f t="shared" si="0"/>
        <v>VARCHAR(300),</v>
      </c>
      <c r="N29" s="38" t="str">
        <f t="shared" si="1"/>
        <v>COMMENT ON COLUMN rms_contract_fee_information.billing_status_name IS '請求ステータス名';</v>
      </c>
      <c r="R29" s="34" t="s">
        <v>3448</v>
      </c>
    </row>
    <row r="30" spans="1:18" ht="30.75" thickBot="1">
      <c r="A30" s="6"/>
      <c r="B30" s="6">
        <v>22</v>
      </c>
      <c r="C30" s="6" t="s">
        <v>3449</v>
      </c>
      <c r="D30" s="6" t="s">
        <v>89</v>
      </c>
      <c r="E30" s="6">
        <v>9</v>
      </c>
      <c r="F30" s="7" t="s">
        <v>67</v>
      </c>
      <c r="G30" s="6" t="s">
        <v>3450</v>
      </c>
      <c r="H30" s="8"/>
      <c r="I30" s="6"/>
      <c r="J30" s="6"/>
      <c r="K30" t="s">
        <v>3451</v>
      </c>
      <c r="L30" t="str">
        <f t="shared" si="0"/>
        <v>DECIMAL(9),</v>
      </c>
      <c r="N30" s="38" t="str">
        <f t="shared" si="1"/>
        <v>COMMENT ON COLUMN rms_contract_fee_information.number_of_bills_completed IS '請求済回数';</v>
      </c>
      <c r="R30" s="34" t="s">
        <v>3452</v>
      </c>
    </row>
    <row r="31" spans="1:18" ht="19.5" thickBot="1">
      <c r="A31" s="3"/>
      <c r="B31" s="3">
        <v>23</v>
      </c>
      <c r="C31" s="3" t="s">
        <v>3453</v>
      </c>
      <c r="D31" s="3" t="s">
        <v>66</v>
      </c>
      <c r="E31" s="3">
        <v>18</v>
      </c>
      <c r="F31" s="2" t="s">
        <v>67</v>
      </c>
      <c r="G31" s="3" t="s">
        <v>3454</v>
      </c>
      <c r="H31" s="5"/>
      <c r="I31" s="3"/>
      <c r="J31" s="3"/>
      <c r="K31" t="s">
        <v>3455</v>
      </c>
      <c r="L31" t="str">
        <f t="shared" si="0"/>
        <v>VARCHAR(18),</v>
      </c>
      <c r="N31" s="38" t="str">
        <f t="shared" si="1"/>
        <v>COMMENT ON COLUMN rms_contract_fee_information.last_billing_year_month IS '最終請求年月';</v>
      </c>
      <c r="R31" s="34" t="s">
        <v>3456</v>
      </c>
    </row>
    <row r="32" spans="1:18" ht="30.75" thickBot="1">
      <c r="A32" s="6"/>
      <c r="B32" s="6">
        <v>24</v>
      </c>
      <c r="C32" s="6" t="s">
        <v>3457</v>
      </c>
      <c r="D32" s="6" t="s">
        <v>66</v>
      </c>
      <c r="E32" s="6">
        <v>3</v>
      </c>
      <c r="F32" s="7" t="s">
        <v>67</v>
      </c>
      <c r="G32" s="6" t="s">
        <v>3458</v>
      </c>
      <c r="H32" s="8"/>
      <c r="I32" s="6"/>
      <c r="J32" s="6"/>
      <c r="K32" t="s">
        <v>3459</v>
      </c>
      <c r="L32" t="str">
        <f t="shared" si="0"/>
        <v>VARCHAR(3),</v>
      </c>
      <c r="N32" s="38" t="str">
        <f t="shared" si="1"/>
        <v>COMMENT ON COLUMN rms_contract_fee_information.non_billable_flag IS '請求対象外フラグ';</v>
      </c>
      <c r="R32" s="34" t="s">
        <v>3460</v>
      </c>
    </row>
    <row r="33" spans="1:18" ht="19.5" thickBot="1">
      <c r="A33" s="3"/>
      <c r="B33" s="3">
        <v>25</v>
      </c>
      <c r="C33" s="3" t="s">
        <v>3461</v>
      </c>
      <c r="D33" s="3" t="s">
        <v>66</v>
      </c>
      <c r="E33" s="3">
        <v>3</v>
      </c>
      <c r="F33" s="2" t="s">
        <v>67</v>
      </c>
      <c r="G33" s="3" t="s">
        <v>3166</v>
      </c>
      <c r="H33" s="5"/>
      <c r="I33" s="3"/>
      <c r="J33" s="3"/>
      <c r="K33" t="s">
        <v>3462</v>
      </c>
      <c r="L33" t="str">
        <f t="shared" si="0"/>
        <v>VARCHAR(3),</v>
      </c>
      <c r="N33" s="38" t="str">
        <f t="shared" si="1"/>
        <v>COMMENT ON COLUMN rms_contract_fee_information.non_billable_flag_name IS '請求対象外フラグ名';</v>
      </c>
      <c r="R33" s="34" t="s">
        <v>3463</v>
      </c>
    </row>
    <row r="34" spans="1:18" ht="19.5" thickBot="1">
      <c r="A34" s="6"/>
      <c r="B34" s="6">
        <v>26</v>
      </c>
      <c r="C34" s="6" t="s">
        <v>3202</v>
      </c>
      <c r="D34" s="6" t="s">
        <v>66</v>
      </c>
      <c r="E34" s="6">
        <v>69</v>
      </c>
      <c r="F34" s="7" t="s">
        <v>67</v>
      </c>
      <c r="G34" s="6" t="s">
        <v>3203</v>
      </c>
      <c r="H34" s="8"/>
      <c r="I34" s="6"/>
      <c r="J34" s="6"/>
      <c r="K34" t="s">
        <v>3204</v>
      </c>
      <c r="L34" t="str">
        <f t="shared" si="0"/>
        <v>VARCHAR(69),</v>
      </c>
      <c r="N34" s="38" t="str">
        <f t="shared" si="1"/>
        <v>COMMENT ON COLUMN rms_contract_fee_information.registration_date IS '登録日';</v>
      </c>
      <c r="R34" s="34" t="s">
        <v>3205</v>
      </c>
    </row>
    <row r="35" spans="1:18" ht="19.5" thickBot="1">
      <c r="A35" s="3"/>
      <c r="B35" s="3">
        <v>27</v>
      </c>
      <c r="C35" s="3" t="s">
        <v>3206</v>
      </c>
      <c r="D35" s="3" t="s">
        <v>66</v>
      </c>
      <c r="E35" s="3">
        <v>96</v>
      </c>
      <c r="F35" s="2" t="s">
        <v>67</v>
      </c>
      <c r="G35" s="3" t="s">
        <v>3207</v>
      </c>
      <c r="H35" s="5"/>
      <c r="I35" s="3"/>
      <c r="J35" s="3"/>
      <c r="K35" t="s">
        <v>3208</v>
      </c>
      <c r="L35" t="str">
        <f t="shared" si="0"/>
        <v>VARCHAR(96),</v>
      </c>
      <c r="N35" s="38" t="str">
        <f t="shared" si="1"/>
        <v>COMMENT ON COLUMN rms_contract_fee_information.registered_user IS '登録ユーザ';</v>
      </c>
      <c r="R35" s="34" t="s">
        <v>3209</v>
      </c>
    </row>
    <row r="36" spans="1:18" ht="19.5" thickBot="1">
      <c r="A36" s="6"/>
      <c r="B36" s="6">
        <v>28</v>
      </c>
      <c r="C36" s="6" t="s">
        <v>63</v>
      </c>
      <c r="D36" s="6" t="s">
        <v>66</v>
      </c>
      <c r="E36" s="6">
        <v>69</v>
      </c>
      <c r="F36" s="7" t="s">
        <v>67</v>
      </c>
      <c r="G36" s="6" t="s">
        <v>3210</v>
      </c>
      <c r="H36" s="8"/>
      <c r="I36" s="6"/>
      <c r="J36" s="6"/>
      <c r="K36" t="s">
        <v>3211</v>
      </c>
      <c r="L36" t="str">
        <f t="shared" si="0"/>
        <v>VARCHAR(69),</v>
      </c>
      <c r="N36" s="38" t="str">
        <f t="shared" si="1"/>
        <v>COMMENT ON COLUMN rms_contract_fee_information.update_date IS '更新日';</v>
      </c>
      <c r="R36" s="34" t="s">
        <v>3212</v>
      </c>
    </row>
    <row r="37" spans="1:18" ht="19.5" thickBot="1">
      <c r="A37" s="3"/>
      <c r="B37" s="3">
        <v>29</v>
      </c>
      <c r="C37" s="3" t="s">
        <v>3213</v>
      </c>
      <c r="D37" s="3" t="s">
        <v>66</v>
      </c>
      <c r="E37" s="3">
        <v>96</v>
      </c>
      <c r="F37" s="2" t="s">
        <v>67</v>
      </c>
      <c r="G37" s="3" t="s">
        <v>3214</v>
      </c>
      <c r="H37" s="5"/>
      <c r="I37" s="3"/>
      <c r="J37" s="3"/>
      <c r="K37" t="s">
        <v>3215</v>
      </c>
      <c r="L37" t="str">
        <f t="shared" si="0"/>
        <v>VARCHAR(96),</v>
      </c>
      <c r="N37" s="38" t="str">
        <f t="shared" si="1"/>
        <v>COMMENT ON COLUMN rms_contract_fee_information.updated_user IS '更新ユーザ';</v>
      </c>
      <c r="R37" s="34" t="s">
        <v>3216</v>
      </c>
    </row>
    <row r="38" spans="1:18" ht="19.5" thickBot="1">
      <c r="A38" s="6"/>
      <c r="B38" s="6">
        <v>30</v>
      </c>
      <c r="C38" s="6" t="s">
        <v>3464</v>
      </c>
      <c r="D38" s="6" t="s">
        <v>66</v>
      </c>
      <c r="E38" s="6">
        <v>3</v>
      </c>
      <c r="F38" s="7" t="s">
        <v>67</v>
      </c>
      <c r="G38" s="6" t="s">
        <v>3465</v>
      </c>
      <c r="H38" s="8"/>
      <c r="I38" s="6"/>
      <c r="J38" s="6"/>
      <c r="K38" t="s">
        <v>3466</v>
      </c>
      <c r="L38" t="str">
        <f t="shared" si="0"/>
        <v>VARCHAR(3),</v>
      </c>
      <c r="N38" s="38" t="str">
        <f t="shared" si="1"/>
        <v>COMMENT ON COLUMN rms_contract_fee_information.simulation_flag IS 'シミュレーションflg';</v>
      </c>
      <c r="R38" s="34" t="s">
        <v>3467</v>
      </c>
    </row>
    <row r="39" spans="1:18" ht="19.5" thickBot="1">
      <c r="A39" s="3"/>
      <c r="B39" s="3">
        <v>31</v>
      </c>
      <c r="C39" s="3" t="s">
        <v>3468</v>
      </c>
      <c r="D39" s="3" t="s">
        <v>89</v>
      </c>
      <c r="E39" s="3">
        <v>48</v>
      </c>
      <c r="F39" s="2" t="s">
        <v>67</v>
      </c>
      <c r="G39" s="3" t="s">
        <v>3469</v>
      </c>
      <c r="H39" s="5"/>
      <c r="I39" s="3"/>
      <c r="J39" s="3"/>
      <c r="K39" t="s">
        <v>3470</v>
      </c>
      <c r="L39" t="str">
        <f t="shared" si="0"/>
        <v>DECIMAL(48),</v>
      </c>
      <c r="N39" s="38" t="str">
        <f t="shared" si="1"/>
        <v>COMMENT ON COLUMN rms_contract_fee_information.point_usage_management_number IS 'ポイント利用管理番号';</v>
      </c>
      <c r="R39" s="34" t="s">
        <v>3471</v>
      </c>
    </row>
    <row r="40" spans="1:18" ht="19.5" thickBot="1">
      <c r="A40" s="6"/>
      <c r="B40" s="6">
        <v>32</v>
      </c>
      <c r="C40" s="6" t="s">
        <v>3472</v>
      </c>
      <c r="D40" s="6" t="s">
        <v>66</v>
      </c>
      <c r="E40" s="6">
        <v>3</v>
      </c>
      <c r="F40" s="7" t="s">
        <v>67</v>
      </c>
      <c r="G40" s="6" t="s">
        <v>3473</v>
      </c>
      <c r="H40" s="8"/>
      <c r="I40" s="6"/>
      <c r="J40" s="6"/>
      <c r="K40" t="s">
        <v>3474</v>
      </c>
      <c r="L40" t="str">
        <f t="shared" si="0"/>
        <v>VARCHAR(3),</v>
      </c>
      <c r="N40" s="38" t="str">
        <f t="shared" si="1"/>
        <v>COMMENT ON COLUMN rms_contract_fee_information.point_used_flag IS 'ポイント利用済みflg';</v>
      </c>
      <c r="R40" s="34" t="s">
        <v>3475</v>
      </c>
    </row>
    <row r="41" spans="1:18" ht="19.5" thickBot="1">
      <c r="A41" s="3"/>
      <c r="B41" s="3">
        <v>33</v>
      </c>
      <c r="C41" s="3" t="s">
        <v>3476</v>
      </c>
      <c r="D41" s="3" t="s">
        <v>66</v>
      </c>
      <c r="E41" s="3">
        <v>3</v>
      </c>
      <c r="F41" s="2" t="s">
        <v>67</v>
      </c>
      <c r="G41" s="3" t="s">
        <v>3166</v>
      </c>
      <c r="H41" s="5"/>
      <c r="I41" s="3"/>
      <c r="J41" s="3"/>
      <c r="K41" t="s">
        <v>3477</v>
      </c>
      <c r="L41" t="str">
        <f t="shared" si="0"/>
        <v>VARCHAR(3),</v>
      </c>
      <c r="N41" s="38" t="str">
        <f t="shared" si="1"/>
        <v>COMMENT ON COLUMN rms_contract_fee_information.point_used_flag_name IS 'ポイント利用済みflg名';</v>
      </c>
      <c r="R41" s="34" t="s">
        <v>3478</v>
      </c>
    </row>
    <row r="42" spans="1:18">
      <c r="K42" t="str">
        <f>"CONSTRAINT pk_"&amp;K3&amp;" PRIMARY KEY (id));"</f>
        <v>CONSTRAINT pk_rms_contract_fee_information PRIMARY KEY (id));</v>
      </c>
      <c r="R42" s="33" t="s">
        <v>3479</v>
      </c>
    </row>
    <row r="43" spans="1:18">
      <c r="R43" s="33" t="s">
        <v>3480</v>
      </c>
    </row>
    <row r="44" spans="1:18">
      <c r="R44" s="33" t="s">
        <v>3481</v>
      </c>
    </row>
    <row r="45" spans="1:18">
      <c r="R45" s="33" t="s">
        <v>3482</v>
      </c>
    </row>
    <row r="46" spans="1:18">
      <c r="R46" s="33" t="s">
        <v>3483</v>
      </c>
    </row>
    <row r="47" spans="1:18">
      <c r="R47" s="33" t="s">
        <v>3484</v>
      </c>
    </row>
    <row r="48" spans="1:18">
      <c r="R48" s="33" t="s">
        <v>3485</v>
      </c>
    </row>
    <row r="49" spans="18:18">
      <c r="R49" s="33" t="s">
        <v>3486</v>
      </c>
    </row>
    <row r="50" spans="18:18">
      <c r="R50" s="33" t="s">
        <v>3487</v>
      </c>
    </row>
    <row r="51" spans="18:18">
      <c r="R51" s="33" t="s">
        <v>3488</v>
      </c>
    </row>
    <row r="52" spans="18:18">
      <c r="R52" s="33" t="s">
        <v>3489</v>
      </c>
    </row>
    <row r="53" spans="18:18">
      <c r="R53" s="33" t="s">
        <v>3490</v>
      </c>
    </row>
    <row r="54" spans="18:18">
      <c r="R54" s="33" t="s">
        <v>3491</v>
      </c>
    </row>
    <row r="55" spans="18:18">
      <c r="R55" s="33" t="s">
        <v>3492</v>
      </c>
    </row>
    <row r="56" spans="18:18">
      <c r="R56" s="33" t="s">
        <v>3493</v>
      </c>
    </row>
    <row r="57" spans="18:18">
      <c r="R57" s="33" t="s">
        <v>3494</v>
      </c>
    </row>
    <row r="58" spans="18:18">
      <c r="R58" s="33" t="s">
        <v>3495</v>
      </c>
    </row>
    <row r="59" spans="18:18">
      <c r="R59" s="33" t="s">
        <v>3496</v>
      </c>
    </row>
    <row r="60" spans="18:18">
      <c r="R60" s="33" t="s">
        <v>3497</v>
      </c>
    </row>
    <row r="61" spans="18:18">
      <c r="R61" s="33" t="s">
        <v>3498</v>
      </c>
    </row>
    <row r="62" spans="18:18">
      <c r="R62" s="33" t="s">
        <v>3499</v>
      </c>
    </row>
    <row r="63" spans="18:18">
      <c r="R63" s="33" t="s">
        <v>3500</v>
      </c>
    </row>
    <row r="64" spans="18:18">
      <c r="R64" s="33" t="s">
        <v>3501</v>
      </c>
    </row>
    <row r="65" spans="18:18">
      <c r="R65" s="33" t="s">
        <v>3502</v>
      </c>
    </row>
    <row r="66" spans="18:18">
      <c r="R66" s="33" t="s">
        <v>3503</v>
      </c>
    </row>
    <row r="67" spans="18:18">
      <c r="R67" s="33" t="s">
        <v>3504</v>
      </c>
    </row>
    <row r="68" spans="18:18">
      <c r="R68" s="33" t="s">
        <v>3505</v>
      </c>
    </row>
    <row r="69" spans="18:18">
      <c r="R69" s="33" t="s">
        <v>3506</v>
      </c>
    </row>
    <row r="70" spans="18:18">
      <c r="R70" s="33" t="s">
        <v>3507</v>
      </c>
    </row>
    <row r="71" spans="18:18">
      <c r="R71" s="33" t="s">
        <v>3508</v>
      </c>
    </row>
    <row r="72" spans="18:18">
      <c r="R72" s="33" t="s">
        <v>3509</v>
      </c>
    </row>
    <row r="73" spans="18:18">
      <c r="R73" s="33" t="s">
        <v>3510</v>
      </c>
    </row>
    <row r="74" spans="18:18">
      <c r="R74" s="33" t="s">
        <v>3511</v>
      </c>
    </row>
    <row r="75" spans="18:18">
      <c r="R75" s="33" t="s">
        <v>3512</v>
      </c>
    </row>
    <row r="76" spans="18:18">
      <c r="R76" s="33" t="s">
        <v>3513</v>
      </c>
    </row>
    <row r="77" spans="18:18">
      <c r="R77" s="33" t="s">
        <v>3514</v>
      </c>
    </row>
  </sheetData>
  <mergeCells count="2">
    <mergeCell ref="F4:J4"/>
    <mergeCell ref="F5:J5"/>
  </mergeCells>
  <phoneticPr fontId="2"/>
  <hyperlinks>
    <hyperlink ref="H9" r:id="rId1" display="https://tools.l2.dwh.sb-sys.info/userhelp/data/komoku" xr:uid="{0758FADA-D68B-41B1-BC18-96DBEA72009D}"/>
    <hyperlink ref="H10" r:id="rId2" display="https://tools.l2.dwh.sb-sys.info/userhelp/data/komoku" xr:uid="{B00157CD-4D18-4ABF-9EC3-E319F3EE855C}"/>
    <hyperlink ref="H11" r:id="rId3" display="https://tools.l2.dwh.sb-sys.info/userhelp/data/komoku" xr:uid="{C68E7E7F-AF52-406C-9FA9-22493D68EDB4}"/>
    <hyperlink ref="H12" r:id="rId4" display="https://tools.l2.dwh.sb-sys.info/userhelp/data/komoku" xr:uid="{4E8B25A0-132C-4BC5-AA73-B541071D11D6}"/>
    <hyperlink ref="H13" r:id="rId5" display="https://tools.l2.dwh.sb-sys.info/userhelp/data/komoku" xr:uid="{FC7E177E-964C-48F6-A984-2462215CFB18}"/>
    <hyperlink ref="H14" r:id="rId6" display="https://tools.l2.dwh.sb-sys.info/userhelp/data/komoku" xr:uid="{6C104397-5487-48B0-94F5-1134C648C827}"/>
    <hyperlink ref="H15" r:id="rId7" display="https://tools.l2.dwh.sb-sys.info/userhelp/data/komoku" xr:uid="{D02377C3-9289-4814-9F9E-9810C272D4DA}"/>
    <hyperlink ref="H16" r:id="rId8" display="https://tools.l2.dwh.sb-sys.info/userhelp/data/komoku" xr:uid="{79D4715B-31C4-4D55-A8A5-27B6CDDE9D6A}"/>
    <hyperlink ref="H17" r:id="rId9" display="https://tools.l2.dwh.sb-sys.info/userhelp/data/komoku" xr:uid="{4637145D-C913-4822-B01E-AA67A7191B40}"/>
    <hyperlink ref="H18" r:id="rId10" display="https://tools.l2.dwh.sb-sys.info/userhelp/data/komoku" xr:uid="{A81183C2-B586-4DB6-82F5-110A49397771}"/>
    <hyperlink ref="H19" r:id="rId11" display="https://tools.l2.dwh.sb-sys.info/userhelp/data/komoku" xr:uid="{C5440C50-9BED-4BD0-9A9F-1F63A7876C62}"/>
    <hyperlink ref="H20" r:id="rId12" display="https://tools.l2.dwh.sb-sys.info/userhelp/data/komoku" xr:uid="{8C806E77-2095-4E0E-85D4-B856C7BA3C15}"/>
    <hyperlink ref="H21" r:id="rId13" display="https://tools.l2.dwh.sb-sys.info/userhelp/data/komoku" xr:uid="{098448CB-5A15-435F-8CE1-E42C5C18BFF9}"/>
    <hyperlink ref="H22" r:id="rId14" display="https://tools.l2.dwh.sb-sys.info/userhelp/data/komoku" xr:uid="{D68EDEBA-8FA5-45DE-A4AA-93A921AD797F}"/>
    <hyperlink ref="H23" r:id="rId15" display="https://tools.l2.dwh.sb-sys.info/userhelp/data/komoku" xr:uid="{E033D35A-B491-4A78-9036-506360E66A94}"/>
    <hyperlink ref="H24" r:id="rId16" display="https://tools.l2.dwh.sb-sys.info/userhelp/data/komoku" xr:uid="{EC486548-9F62-4C00-B18B-64CFD306FE8D}"/>
    <hyperlink ref="H25" r:id="rId17" display="https://tools.l2.dwh.sb-sys.info/userhelp/data/komoku" xr:uid="{ADEB04E4-EFCB-4412-B9D7-5B43CEB88399}"/>
    <hyperlink ref="H26" r:id="rId18" display="https://tools.l2.dwh.sb-sys.info/userhelp/data/komoku" xr:uid="{DE53A77C-4AD7-4CB8-8ED8-7148969B5045}"/>
    <hyperlink ref="H27" r:id="rId19" display="https://tools.l2.dwh.sb-sys.info/userhelp/data/komoku" xr:uid="{9018E45A-DEA6-4B97-9C47-18E78D6F1296}"/>
    <hyperlink ref="H28" r:id="rId20" display="https://tools.l2.dwh.sb-sys.info/userhelp/data/komoku" xr:uid="{99E433DA-9561-41F5-8F9E-3C3AB55D52D8}"/>
    <hyperlink ref="H29" r:id="rId21" display="https://tools.l2.dwh.sb-sys.info/userhelp/data/komoku" xr:uid="{85EEE75A-955A-46B6-8D97-08B8C7E50DB3}"/>
    <hyperlink ref="H30" r:id="rId22" display="https://tools.l2.dwh.sb-sys.info/userhelp/data/komoku" xr:uid="{37F8C830-0C08-4F11-AC07-6566B10AF482}"/>
    <hyperlink ref="H31" r:id="rId23" display="https://tools.l2.dwh.sb-sys.info/userhelp/data/komoku" xr:uid="{3EFE18C0-B147-4559-8DDE-854CD84E7D75}"/>
    <hyperlink ref="H32" r:id="rId24" display="https://tools.l2.dwh.sb-sys.info/userhelp/data/komoku" xr:uid="{98811529-486E-4CDE-9CEC-172BC13CF7A9}"/>
    <hyperlink ref="H33" r:id="rId25" display="https://tools.l2.dwh.sb-sys.info/userhelp/data/komoku" xr:uid="{204B08C4-ECBD-412D-814D-F519FAD92ADD}"/>
    <hyperlink ref="H34" r:id="rId26" display="https://tools.l2.dwh.sb-sys.info/userhelp/data/komoku" xr:uid="{2DF3B417-5448-4A5F-9497-42224AC4CA37}"/>
    <hyperlink ref="H35" r:id="rId27" display="https://tools.l2.dwh.sb-sys.info/userhelp/data/komoku" xr:uid="{3F73EDFD-DF34-4047-AEF3-439E33FB53D4}"/>
    <hyperlink ref="H36" r:id="rId28" display="https://tools.l2.dwh.sb-sys.info/userhelp/data/komoku" xr:uid="{ED8BD030-FBD2-4BB1-844C-B714E1B4D703}"/>
    <hyperlink ref="H37" r:id="rId29" display="https://tools.l2.dwh.sb-sys.info/userhelp/data/komoku" xr:uid="{5603817B-96F4-4959-B9C9-81ED7A9C2AA2}"/>
    <hyperlink ref="H38" r:id="rId30" display="https://tools.l2.dwh.sb-sys.info/userhelp/data/komoku" xr:uid="{78233301-4BCD-42D8-BCAB-5F626D6704F6}"/>
    <hyperlink ref="H39" r:id="rId31" display="https://tools.l2.dwh.sb-sys.info/userhelp/data/komoku" xr:uid="{EF6A45C7-0B27-442F-B843-B236B5ADE7D2}"/>
    <hyperlink ref="H40" r:id="rId32" display="https://tools.l2.dwh.sb-sys.info/userhelp/data/komoku" xr:uid="{CACCFF92-9EC1-4D80-8649-0128AB15C8A9}"/>
    <hyperlink ref="H41" r:id="rId33" display="https://tools.l2.dwh.sb-sys.info/userhelp/data/komoku" xr:uid="{1F8EFF2D-0FF7-4EA2-B65B-8BD9A649A23B}"/>
  </hyperlinks>
  <pageMargins left="0.7" right="0.7" top="0.75" bottom="0.75" header="0.3" footer="0.3"/>
  <pageSetup paperSize="9" orientation="portrait" r:id="rId3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EC40F-3D9B-45E3-B2B8-35E52BD5498D}">
  <sheetPr>
    <tabColor rgb="FF00B050"/>
  </sheetPr>
  <dimension ref="A1:R51"/>
  <sheetViews>
    <sheetView topLeftCell="B1" zoomScale="85" zoomScaleNormal="85" workbookViewId="0">
      <selection activeCell="B1" sqref="B1"/>
    </sheetView>
  </sheetViews>
  <sheetFormatPr defaultRowHeight="18.75"/>
  <cols>
    <col min="1" max="1" width="2.75" bestFit="1" customWidth="1"/>
    <col min="2" max="2" width="3.5" bestFit="1" customWidth="1"/>
    <col min="3" max="3" width="11.375" bestFit="1" customWidth="1"/>
    <col min="4" max="4" width="5.75" bestFit="1" customWidth="1"/>
    <col min="5" max="5" width="3" bestFit="1" customWidth="1"/>
    <col min="6" max="6" width="4.5" bestFit="1" customWidth="1"/>
    <col min="7" max="7" width="49.625" bestFit="1" customWidth="1"/>
    <col min="8" max="8" width="28.375" hidden="1" customWidth="1"/>
    <col min="9" max="9" width="25.75" hidden="1" customWidth="1"/>
    <col min="10" max="10" width="13.875" hidden="1" customWidth="1"/>
    <col min="11" max="11" width="9" customWidth="1"/>
    <col min="14" max="14" width="32.5" customWidth="1"/>
  </cols>
  <sheetData>
    <row r="1" spans="1:18" ht="19.5" thickBot="1"/>
    <row r="2" spans="1:18" ht="19.5" thickBot="1">
      <c r="F2" s="9" t="s">
        <v>41</v>
      </c>
      <c r="G2" s="9" t="s">
        <v>42</v>
      </c>
      <c r="H2" s="9" t="s">
        <v>43</v>
      </c>
      <c r="I2" s="9" t="s">
        <v>44</v>
      </c>
      <c r="J2" s="9" t="s">
        <v>45</v>
      </c>
    </row>
    <row r="3" spans="1:18" ht="20.25" thickBot="1">
      <c r="F3" s="10" t="s">
        <v>46</v>
      </c>
      <c r="G3" s="11" t="s">
        <v>3515</v>
      </c>
      <c r="H3" s="11" t="s">
        <v>3516</v>
      </c>
      <c r="I3" s="11" t="s">
        <v>3517</v>
      </c>
      <c r="J3" s="11" t="s">
        <v>3518</v>
      </c>
      <c r="K3" s="18" t="s">
        <v>3519</v>
      </c>
    </row>
    <row r="4" spans="1:18">
      <c r="F4" s="62" t="s">
        <v>51</v>
      </c>
      <c r="G4" s="63"/>
      <c r="H4" s="63"/>
      <c r="I4" s="63"/>
      <c r="J4" s="64"/>
    </row>
    <row r="5" spans="1:18" ht="19.5" thickBot="1">
      <c r="F5" s="65" t="s">
        <v>3520</v>
      </c>
      <c r="G5" s="66"/>
      <c r="H5" s="66"/>
      <c r="I5" s="66"/>
      <c r="J5" s="67"/>
    </row>
    <row r="6" spans="1:18" ht="19.5" thickBot="1">
      <c r="K6" t="str">
        <f>"DROP TABLE IF EXISTS "&amp;K3&amp;" CASCADE;"</f>
        <v>DROP TABLE IF EXISTS cop_payment_information CASCADE;</v>
      </c>
      <c r="R6" s="33" t="s">
        <v>3521</v>
      </c>
    </row>
    <row r="7" spans="1:18" ht="19.5" thickBot="1">
      <c r="K7" t="str">
        <f>"CREATE TABLE IF NOT EXISTS "&amp;K3&amp;" ("</f>
        <v>CREATE TABLE IF NOT EXISTS cop_payment_information (</v>
      </c>
      <c r="N7" s="40" t="str">
        <f>"COMMENT ON TABLE "&amp;K3&amp;" IS '"&amp;G3&amp;"';"</f>
        <v>COMMENT ON TABLE cop_payment_information IS 'b_cop_支払情報';</v>
      </c>
      <c r="R7" s="33" t="s">
        <v>3522</v>
      </c>
    </row>
    <row r="8" spans="1:18" ht="19.5" thickBot="1">
      <c r="A8" s="12" t="s">
        <v>54</v>
      </c>
      <c r="B8" s="12" t="s">
        <v>55</v>
      </c>
      <c r="C8" s="12" t="s">
        <v>56</v>
      </c>
      <c r="D8" s="12" t="s">
        <v>57</v>
      </c>
      <c r="E8" s="12" t="s">
        <v>58</v>
      </c>
      <c r="F8" s="12" t="s">
        <v>59</v>
      </c>
      <c r="G8" s="12" t="s">
        <v>60</v>
      </c>
      <c r="H8" s="12" t="s">
        <v>61</v>
      </c>
      <c r="I8" s="12" t="s">
        <v>62</v>
      </c>
      <c r="J8" s="12" t="s">
        <v>63</v>
      </c>
      <c r="K8" t="s">
        <v>64</v>
      </c>
      <c r="N8" s="38" t="str">
        <f>"COMMENT ON COLUMN "&amp;$K$3&amp;".id IS 'id';"</f>
        <v>COMMENT ON COLUMN cop_payment_information.id IS 'id';</v>
      </c>
      <c r="R8" s="34" t="s">
        <v>65</v>
      </c>
    </row>
    <row r="9" spans="1:18" ht="19.5" thickBot="1">
      <c r="A9" s="10" t="s">
        <v>3523</v>
      </c>
      <c r="B9" s="11">
        <v>1</v>
      </c>
      <c r="C9" s="11" t="s">
        <v>3524</v>
      </c>
      <c r="D9" s="11" t="s">
        <v>89</v>
      </c>
      <c r="E9" s="11" t="s">
        <v>3525</v>
      </c>
      <c r="F9" s="10" t="s">
        <v>67</v>
      </c>
      <c r="G9" s="11" t="s">
        <v>3524</v>
      </c>
      <c r="H9" s="5"/>
      <c r="I9" s="11" t="s">
        <v>3526</v>
      </c>
      <c r="J9" s="11"/>
      <c r="K9" t="s">
        <v>3527</v>
      </c>
      <c r="L9" t="str">
        <f>D9&amp;"("&amp;E9&amp;"),"</f>
        <v>DECIMAL(38,0),</v>
      </c>
      <c r="N9" s="38" t="str">
        <f>"COMMENT ON COLUMN "&amp;$K$3&amp;"."&amp;$K9&amp;" IS '"&amp;C9&amp;"';"</f>
        <v>COMMENT ON COLUMN cop_payment_information.record_serial_number IS 'レコード通番';</v>
      </c>
      <c r="R9" s="34" t="s">
        <v>3528</v>
      </c>
    </row>
    <row r="10" spans="1:18" ht="19.5" thickBot="1">
      <c r="A10" s="13"/>
      <c r="B10" s="13">
        <v>2</v>
      </c>
      <c r="C10" s="13" t="s">
        <v>3529</v>
      </c>
      <c r="D10" s="13" t="s">
        <v>66</v>
      </c>
      <c r="E10" s="13">
        <v>40</v>
      </c>
      <c r="F10" s="14" t="s">
        <v>3523</v>
      </c>
      <c r="G10" s="13" t="s">
        <v>11</v>
      </c>
      <c r="H10" s="8"/>
      <c r="I10" s="13" t="s">
        <v>3530</v>
      </c>
      <c r="J10" s="13"/>
      <c r="K10" t="s">
        <v>3531</v>
      </c>
      <c r="L10" t="str">
        <f>D10&amp;"("&amp;E10&amp;"),"</f>
        <v>VARCHAR(40),</v>
      </c>
      <c r="N10" s="38" t="str">
        <f t="shared" ref="N10:N50" si="0">"COMMENT ON COLUMN "&amp;$K$3&amp;"."&amp;$K10&amp;" IS '"&amp;C10&amp;"';"</f>
        <v>COMMENT ON COLUMN cop_payment_information.billing_group_id IS '請求グループid';</v>
      </c>
      <c r="R10" s="34" t="s">
        <v>3532</v>
      </c>
    </row>
    <row r="11" spans="1:18">
      <c r="A11" s="47"/>
      <c r="B11" s="47">
        <v>3</v>
      </c>
      <c r="C11" s="47" t="s">
        <v>3533</v>
      </c>
      <c r="D11" s="47" t="s">
        <v>66</v>
      </c>
      <c r="E11" s="47">
        <v>16</v>
      </c>
      <c r="F11" s="60" t="s">
        <v>67</v>
      </c>
      <c r="G11" s="17" t="s">
        <v>3534</v>
      </c>
      <c r="H11" s="58"/>
      <c r="I11" s="47"/>
      <c r="J11" s="47" t="s">
        <v>3535</v>
      </c>
      <c r="K11" t="s">
        <v>3536</v>
      </c>
      <c r="L11" t="str">
        <f t="shared" ref="L11:L50" si="1">D11&amp;"("&amp;E11&amp;"),"</f>
        <v>VARCHAR(16),</v>
      </c>
      <c r="N11" s="38" t="str">
        <f t="shared" si="0"/>
        <v>COMMENT ON COLUMN cop_payment_information.effective_start_date IS '有効開始日';</v>
      </c>
      <c r="R11" s="34" t="s">
        <v>3537</v>
      </c>
    </row>
    <row r="12" spans="1:18" ht="18.75" customHeight="1">
      <c r="A12" s="68"/>
      <c r="B12" s="68"/>
      <c r="C12" s="68"/>
      <c r="D12" s="68"/>
      <c r="E12" s="68"/>
      <c r="F12" s="69"/>
      <c r="G12" s="18" t="s">
        <v>3538</v>
      </c>
      <c r="H12" s="70"/>
      <c r="I12" s="68"/>
      <c r="J12" s="68"/>
      <c r="L12" t="str">
        <f t="shared" si="1"/>
        <v>(),</v>
      </c>
      <c r="N12" s="38" t="str">
        <f t="shared" si="0"/>
        <v>COMMENT ON COLUMN cop_payment_information. IS '';</v>
      </c>
      <c r="R12" s="34" t="s">
        <v>3539</v>
      </c>
    </row>
    <row r="13" spans="1:18" ht="18.75" customHeight="1">
      <c r="A13" s="68"/>
      <c r="B13" s="68"/>
      <c r="C13" s="68"/>
      <c r="D13" s="68"/>
      <c r="E13" s="68"/>
      <c r="F13" s="69"/>
      <c r="G13" s="19"/>
      <c r="H13" s="70"/>
      <c r="I13" s="68"/>
      <c r="J13" s="68"/>
      <c r="L13" t="str">
        <f t="shared" si="1"/>
        <v>(),</v>
      </c>
      <c r="N13" s="38" t="str">
        <f t="shared" si="0"/>
        <v>COMMENT ON COLUMN cop_payment_information. IS '';</v>
      </c>
      <c r="R13" s="34" t="s">
        <v>3540</v>
      </c>
    </row>
    <row r="14" spans="1:18" ht="18.75" customHeight="1">
      <c r="A14" s="68"/>
      <c r="B14" s="68"/>
      <c r="C14" s="68"/>
      <c r="D14" s="68"/>
      <c r="E14" s="68"/>
      <c r="F14" s="69"/>
      <c r="G14" s="18" t="s">
        <v>3541</v>
      </c>
      <c r="H14" s="70"/>
      <c r="I14" s="68"/>
      <c r="J14" s="68"/>
      <c r="L14" t="str">
        <f t="shared" si="1"/>
        <v>(),</v>
      </c>
      <c r="N14" s="38" t="str">
        <f t="shared" si="0"/>
        <v>COMMENT ON COLUMN cop_payment_information. IS '';</v>
      </c>
      <c r="R14" s="34" t="s">
        <v>3542</v>
      </c>
    </row>
    <row r="15" spans="1:18" ht="18.75" customHeight="1">
      <c r="A15" s="68"/>
      <c r="B15" s="68"/>
      <c r="C15" s="68"/>
      <c r="D15" s="68"/>
      <c r="E15" s="68"/>
      <c r="F15" s="69"/>
      <c r="G15" s="18" t="s">
        <v>3543</v>
      </c>
      <c r="H15" s="70"/>
      <c r="I15" s="68"/>
      <c r="J15" s="68"/>
      <c r="L15" t="str">
        <f t="shared" si="1"/>
        <v>(),</v>
      </c>
      <c r="N15" s="38" t="str">
        <f t="shared" si="0"/>
        <v>COMMENT ON COLUMN cop_payment_information. IS '';</v>
      </c>
      <c r="R15" s="34" t="s">
        <v>3544</v>
      </c>
    </row>
    <row r="16" spans="1:18" ht="18.75" customHeight="1">
      <c r="A16" s="68"/>
      <c r="B16" s="68"/>
      <c r="C16" s="68"/>
      <c r="D16" s="68"/>
      <c r="E16" s="68"/>
      <c r="F16" s="69"/>
      <c r="G16" s="19"/>
      <c r="H16" s="70"/>
      <c r="I16" s="68"/>
      <c r="J16" s="68"/>
      <c r="L16" t="str">
        <f t="shared" si="1"/>
        <v>(),</v>
      </c>
      <c r="N16" s="38" t="str">
        <f t="shared" si="0"/>
        <v>COMMENT ON COLUMN cop_payment_information. IS '';</v>
      </c>
      <c r="R16" s="34" t="s">
        <v>3545</v>
      </c>
    </row>
    <row r="17" spans="1:18" ht="18.75" customHeight="1">
      <c r="A17" s="68"/>
      <c r="B17" s="68"/>
      <c r="C17" s="68"/>
      <c r="D17" s="68"/>
      <c r="E17" s="68"/>
      <c r="F17" s="69"/>
      <c r="G17" s="18" t="s">
        <v>3546</v>
      </c>
      <c r="H17" s="70"/>
      <c r="I17" s="68"/>
      <c r="J17" s="68"/>
      <c r="L17" t="str">
        <f t="shared" si="1"/>
        <v>(),</v>
      </c>
      <c r="N17" s="38" t="str">
        <f t="shared" si="0"/>
        <v>COMMENT ON COLUMN cop_payment_information. IS '';</v>
      </c>
      <c r="R17" s="34" t="s">
        <v>3547</v>
      </c>
    </row>
    <row r="18" spans="1:18" ht="18.75" customHeight="1">
      <c r="A18" s="68"/>
      <c r="B18" s="68"/>
      <c r="C18" s="68"/>
      <c r="D18" s="68"/>
      <c r="E18" s="68"/>
      <c r="F18" s="69"/>
      <c r="G18" s="18" t="s">
        <v>3548</v>
      </c>
      <c r="H18" s="70"/>
      <c r="I18" s="68"/>
      <c r="J18" s="68"/>
      <c r="L18" t="str">
        <f t="shared" si="1"/>
        <v>(),</v>
      </c>
      <c r="N18" s="38" t="str">
        <f t="shared" si="0"/>
        <v>COMMENT ON COLUMN cop_payment_information. IS '';</v>
      </c>
      <c r="R18" s="34" t="s">
        <v>3549</v>
      </c>
    </row>
    <row r="19" spans="1:18" ht="18.75" customHeight="1">
      <c r="A19" s="68"/>
      <c r="B19" s="68"/>
      <c r="C19" s="68"/>
      <c r="D19" s="68"/>
      <c r="E19" s="68"/>
      <c r="F19" s="69"/>
      <c r="G19" s="18" t="s">
        <v>3550</v>
      </c>
      <c r="H19" s="70"/>
      <c r="I19" s="68"/>
      <c r="J19" s="68"/>
      <c r="L19" t="str">
        <f t="shared" si="1"/>
        <v>(),</v>
      </c>
      <c r="N19" s="38" t="str">
        <f t="shared" si="0"/>
        <v>COMMENT ON COLUMN cop_payment_information. IS '';</v>
      </c>
      <c r="R19" s="34" t="s">
        <v>3551</v>
      </c>
    </row>
    <row r="20" spans="1:18" ht="18.75" customHeight="1">
      <c r="A20" s="68"/>
      <c r="B20" s="68"/>
      <c r="C20" s="68"/>
      <c r="D20" s="68"/>
      <c r="E20" s="68"/>
      <c r="F20" s="69"/>
      <c r="G20" s="18" t="s">
        <v>3552</v>
      </c>
      <c r="H20" s="70"/>
      <c r="I20" s="68"/>
      <c r="J20" s="68"/>
      <c r="L20" t="str">
        <f t="shared" si="1"/>
        <v>(),</v>
      </c>
      <c r="N20" s="38" t="str">
        <f t="shared" si="0"/>
        <v>COMMENT ON COLUMN cop_payment_information. IS '';</v>
      </c>
      <c r="R20" s="34" t="s">
        <v>3553</v>
      </c>
    </row>
    <row r="21" spans="1:18" ht="18.75" customHeight="1">
      <c r="A21" s="68"/>
      <c r="B21" s="68"/>
      <c r="C21" s="68"/>
      <c r="D21" s="68"/>
      <c r="E21" s="68"/>
      <c r="F21" s="69"/>
      <c r="G21" s="19"/>
      <c r="H21" s="70"/>
      <c r="I21" s="68"/>
      <c r="J21" s="68"/>
      <c r="L21" t="str">
        <f t="shared" si="1"/>
        <v>(),</v>
      </c>
      <c r="N21" s="38" t="str">
        <f t="shared" si="0"/>
        <v>COMMENT ON COLUMN cop_payment_information. IS '';</v>
      </c>
      <c r="R21" s="34" t="s">
        <v>3554</v>
      </c>
    </row>
    <row r="22" spans="1:18" ht="18.75" customHeight="1">
      <c r="A22" s="68"/>
      <c r="B22" s="68"/>
      <c r="C22" s="68"/>
      <c r="D22" s="68"/>
      <c r="E22" s="68"/>
      <c r="F22" s="69"/>
      <c r="G22" s="18" t="s">
        <v>3555</v>
      </c>
      <c r="H22" s="70"/>
      <c r="I22" s="68"/>
      <c r="J22" s="68"/>
      <c r="L22" t="str">
        <f t="shared" si="1"/>
        <v>(),</v>
      </c>
      <c r="N22" s="38" t="str">
        <f t="shared" si="0"/>
        <v>COMMENT ON COLUMN cop_payment_information. IS '';</v>
      </c>
      <c r="R22" s="34" t="s">
        <v>3556</v>
      </c>
    </row>
    <row r="23" spans="1:18" ht="19.5" customHeight="1" thickBot="1">
      <c r="A23" s="48"/>
      <c r="B23" s="48"/>
      <c r="C23" s="48"/>
      <c r="D23" s="48"/>
      <c r="E23" s="48"/>
      <c r="F23" s="61"/>
      <c r="G23" s="20" t="s">
        <v>3557</v>
      </c>
      <c r="H23" s="59"/>
      <c r="I23" s="48"/>
      <c r="J23" s="48"/>
      <c r="L23" t="str">
        <f t="shared" si="1"/>
        <v>(),</v>
      </c>
      <c r="N23" s="38" t="str">
        <f t="shared" si="0"/>
        <v>COMMENT ON COLUMN cop_payment_information. IS '';</v>
      </c>
      <c r="R23" s="34" t="s">
        <v>3558</v>
      </c>
    </row>
    <row r="24" spans="1:18">
      <c r="A24" s="55"/>
      <c r="B24" s="55">
        <v>4</v>
      </c>
      <c r="C24" s="55" t="s">
        <v>3559</v>
      </c>
      <c r="D24" s="55" t="s">
        <v>66</v>
      </c>
      <c r="E24" s="55">
        <v>16</v>
      </c>
      <c r="F24" s="49" t="s">
        <v>67</v>
      </c>
      <c r="G24" s="15" t="s">
        <v>3560</v>
      </c>
      <c r="H24" s="52"/>
      <c r="I24" s="55"/>
      <c r="J24" s="55" t="s">
        <v>3535</v>
      </c>
      <c r="K24" t="s">
        <v>3561</v>
      </c>
      <c r="L24" t="str">
        <f t="shared" si="1"/>
        <v>VARCHAR(16),</v>
      </c>
      <c r="N24" s="38" t="str">
        <f t="shared" si="0"/>
        <v>COMMENT ON COLUMN cop_payment_information.effective_end_date IS '有効終了日';</v>
      </c>
      <c r="R24" s="34" t="s">
        <v>3562</v>
      </c>
    </row>
    <row r="25" spans="1:18" ht="18.75" customHeight="1">
      <c r="A25" s="56"/>
      <c r="B25" s="56"/>
      <c r="C25" s="56"/>
      <c r="D25" s="56"/>
      <c r="E25" s="56"/>
      <c r="F25" s="50"/>
      <c r="G25" s="21" t="s">
        <v>3538</v>
      </c>
      <c r="H25" s="53"/>
      <c r="I25" s="56"/>
      <c r="J25" s="56"/>
      <c r="L25" t="str">
        <f t="shared" si="1"/>
        <v>(),</v>
      </c>
      <c r="N25" s="38" t="str">
        <f t="shared" si="0"/>
        <v>COMMENT ON COLUMN cop_payment_information. IS '';</v>
      </c>
      <c r="R25" s="34" t="s">
        <v>3563</v>
      </c>
    </row>
    <row r="26" spans="1:18" ht="18.75" customHeight="1">
      <c r="A26" s="56"/>
      <c r="B26" s="56"/>
      <c r="C26" s="56"/>
      <c r="D26" s="56"/>
      <c r="E26" s="56"/>
      <c r="F26" s="50"/>
      <c r="G26" s="22"/>
      <c r="H26" s="53"/>
      <c r="I26" s="56"/>
      <c r="J26" s="56"/>
      <c r="L26" t="str">
        <f t="shared" si="1"/>
        <v>(),</v>
      </c>
      <c r="N26" s="38" t="str">
        <f t="shared" si="0"/>
        <v>COMMENT ON COLUMN cop_payment_information. IS '';</v>
      </c>
      <c r="R26" s="33" t="s">
        <v>3564</v>
      </c>
    </row>
    <row r="27" spans="1:18" ht="18.75" customHeight="1">
      <c r="A27" s="56"/>
      <c r="B27" s="56"/>
      <c r="C27" s="56"/>
      <c r="D27" s="56"/>
      <c r="E27" s="56"/>
      <c r="F27" s="50"/>
      <c r="G27" s="21" t="s">
        <v>3541</v>
      </c>
      <c r="H27" s="53"/>
      <c r="I27" s="56"/>
      <c r="J27" s="56"/>
      <c r="L27" t="str">
        <f t="shared" si="1"/>
        <v>(),</v>
      </c>
      <c r="N27" s="38" t="str">
        <f t="shared" si="0"/>
        <v>COMMENT ON COLUMN cop_payment_information. IS '';</v>
      </c>
      <c r="R27" s="33" t="s">
        <v>3565</v>
      </c>
    </row>
    <row r="28" spans="1:18" ht="18.75" customHeight="1">
      <c r="A28" s="56"/>
      <c r="B28" s="56"/>
      <c r="C28" s="56"/>
      <c r="D28" s="56"/>
      <c r="E28" s="56"/>
      <c r="F28" s="50"/>
      <c r="G28" s="21" t="s">
        <v>3543</v>
      </c>
      <c r="H28" s="53"/>
      <c r="I28" s="56"/>
      <c r="J28" s="56"/>
      <c r="L28" t="str">
        <f t="shared" si="1"/>
        <v>(),</v>
      </c>
      <c r="N28" s="38" t="str">
        <f t="shared" si="0"/>
        <v>COMMENT ON COLUMN cop_payment_information. IS '';</v>
      </c>
      <c r="R28" s="33" t="s">
        <v>3566</v>
      </c>
    </row>
    <row r="29" spans="1:18" ht="18.75" customHeight="1">
      <c r="A29" s="56"/>
      <c r="B29" s="56"/>
      <c r="C29" s="56"/>
      <c r="D29" s="56"/>
      <c r="E29" s="56"/>
      <c r="F29" s="50"/>
      <c r="G29" s="22"/>
      <c r="H29" s="53"/>
      <c r="I29" s="56"/>
      <c r="J29" s="56"/>
      <c r="L29" t="str">
        <f t="shared" si="1"/>
        <v>(),</v>
      </c>
      <c r="N29" s="38" t="str">
        <f t="shared" si="0"/>
        <v>COMMENT ON COLUMN cop_payment_information. IS '';</v>
      </c>
      <c r="R29" s="33" t="s">
        <v>3567</v>
      </c>
    </row>
    <row r="30" spans="1:18" ht="18.75" customHeight="1">
      <c r="A30" s="56"/>
      <c r="B30" s="56"/>
      <c r="C30" s="56"/>
      <c r="D30" s="56"/>
      <c r="E30" s="56"/>
      <c r="F30" s="50"/>
      <c r="G30" s="21" t="s">
        <v>3546</v>
      </c>
      <c r="H30" s="53"/>
      <c r="I30" s="56"/>
      <c r="J30" s="56"/>
      <c r="L30" t="str">
        <f t="shared" si="1"/>
        <v>(),</v>
      </c>
      <c r="N30" s="38" t="str">
        <f t="shared" si="0"/>
        <v>COMMENT ON COLUMN cop_payment_information. IS '';</v>
      </c>
      <c r="R30" s="33" t="s">
        <v>3568</v>
      </c>
    </row>
    <row r="31" spans="1:18" ht="18.75" customHeight="1">
      <c r="A31" s="56"/>
      <c r="B31" s="56"/>
      <c r="C31" s="56"/>
      <c r="D31" s="56"/>
      <c r="E31" s="56"/>
      <c r="F31" s="50"/>
      <c r="G31" s="21" t="s">
        <v>3548</v>
      </c>
      <c r="H31" s="53"/>
      <c r="I31" s="56"/>
      <c r="J31" s="56"/>
      <c r="L31" t="str">
        <f t="shared" si="1"/>
        <v>(),</v>
      </c>
      <c r="N31" s="38" t="str">
        <f t="shared" si="0"/>
        <v>COMMENT ON COLUMN cop_payment_information. IS '';</v>
      </c>
      <c r="R31" s="33" t="s">
        <v>3569</v>
      </c>
    </row>
    <row r="32" spans="1:18" ht="18.75" customHeight="1">
      <c r="A32" s="56"/>
      <c r="B32" s="56"/>
      <c r="C32" s="56"/>
      <c r="D32" s="56"/>
      <c r="E32" s="56"/>
      <c r="F32" s="50"/>
      <c r="G32" s="21" t="s">
        <v>3550</v>
      </c>
      <c r="H32" s="53"/>
      <c r="I32" s="56"/>
      <c r="J32" s="56"/>
      <c r="L32" t="str">
        <f t="shared" si="1"/>
        <v>(),</v>
      </c>
      <c r="N32" s="38" t="str">
        <f t="shared" si="0"/>
        <v>COMMENT ON COLUMN cop_payment_information. IS '';</v>
      </c>
      <c r="R32" s="33" t="s">
        <v>3570</v>
      </c>
    </row>
    <row r="33" spans="1:18" ht="18.75" customHeight="1">
      <c r="A33" s="56"/>
      <c r="B33" s="56"/>
      <c r="C33" s="56"/>
      <c r="D33" s="56"/>
      <c r="E33" s="56"/>
      <c r="F33" s="50"/>
      <c r="G33" s="21" t="s">
        <v>3552</v>
      </c>
      <c r="H33" s="53"/>
      <c r="I33" s="56"/>
      <c r="J33" s="56"/>
      <c r="L33" t="str">
        <f t="shared" si="1"/>
        <v>(),</v>
      </c>
      <c r="N33" s="38" t="str">
        <f t="shared" si="0"/>
        <v>COMMENT ON COLUMN cop_payment_information. IS '';</v>
      </c>
      <c r="R33" s="33" t="s">
        <v>3571</v>
      </c>
    </row>
    <row r="34" spans="1:18" ht="18.75" customHeight="1">
      <c r="A34" s="56"/>
      <c r="B34" s="56"/>
      <c r="C34" s="56"/>
      <c r="D34" s="56"/>
      <c r="E34" s="56"/>
      <c r="F34" s="50"/>
      <c r="G34" s="22"/>
      <c r="H34" s="53"/>
      <c r="I34" s="56"/>
      <c r="J34" s="56"/>
      <c r="L34" t="str">
        <f t="shared" si="1"/>
        <v>(),</v>
      </c>
      <c r="N34" s="38" t="str">
        <f t="shared" si="0"/>
        <v>COMMENT ON COLUMN cop_payment_information. IS '';</v>
      </c>
      <c r="R34" s="33" t="s">
        <v>3572</v>
      </c>
    </row>
    <row r="35" spans="1:18" ht="18.75" customHeight="1">
      <c r="A35" s="56"/>
      <c r="B35" s="56"/>
      <c r="C35" s="56"/>
      <c r="D35" s="56"/>
      <c r="E35" s="56"/>
      <c r="F35" s="50"/>
      <c r="G35" s="21" t="s">
        <v>3555</v>
      </c>
      <c r="H35" s="53"/>
      <c r="I35" s="56"/>
      <c r="J35" s="56"/>
      <c r="L35" t="str">
        <f t="shared" si="1"/>
        <v>(),</v>
      </c>
      <c r="N35" s="38" t="str">
        <f t="shared" si="0"/>
        <v>COMMENT ON COLUMN cop_payment_information. IS '';</v>
      </c>
      <c r="R35" s="33" t="s">
        <v>3573</v>
      </c>
    </row>
    <row r="36" spans="1:18" ht="19.5" customHeight="1" thickBot="1">
      <c r="A36" s="57"/>
      <c r="B36" s="57"/>
      <c r="C36" s="57"/>
      <c r="D36" s="57"/>
      <c r="E36" s="57"/>
      <c r="F36" s="51"/>
      <c r="G36" s="16" t="s">
        <v>3557</v>
      </c>
      <c r="H36" s="54"/>
      <c r="I36" s="57"/>
      <c r="J36" s="57"/>
      <c r="L36" t="str">
        <f t="shared" si="1"/>
        <v>(),</v>
      </c>
      <c r="N36" s="38" t="str">
        <f t="shared" si="0"/>
        <v>COMMENT ON COLUMN cop_payment_information. IS '';</v>
      </c>
      <c r="R36" s="33" t="s">
        <v>3574</v>
      </c>
    </row>
    <row r="37" spans="1:18">
      <c r="A37" s="47"/>
      <c r="B37" s="47">
        <v>5</v>
      </c>
      <c r="C37" s="47" t="s">
        <v>3575</v>
      </c>
      <c r="D37" s="47" t="s">
        <v>66</v>
      </c>
      <c r="E37" s="47">
        <v>2</v>
      </c>
      <c r="F37" s="60" t="s">
        <v>67</v>
      </c>
      <c r="G37" s="17" t="s">
        <v>3576</v>
      </c>
      <c r="H37" s="58"/>
      <c r="I37" s="47"/>
      <c r="J37" s="47"/>
      <c r="K37" t="s">
        <v>3577</v>
      </c>
      <c r="L37" t="str">
        <f t="shared" si="1"/>
        <v>VARCHAR(2),</v>
      </c>
      <c r="N37" s="38" t="str">
        <f t="shared" si="0"/>
        <v>COMMENT ON COLUMN cop_payment_information.deletion_indicator IS '削除インジケータ';</v>
      </c>
      <c r="R37" s="33" t="s">
        <v>3578</v>
      </c>
    </row>
    <row r="38" spans="1:18" ht="19.5" customHeight="1" thickBot="1">
      <c r="A38" s="48"/>
      <c r="B38" s="48"/>
      <c r="C38" s="48"/>
      <c r="D38" s="48"/>
      <c r="E38" s="48"/>
      <c r="F38" s="61"/>
      <c r="G38" s="20" t="s">
        <v>3579</v>
      </c>
      <c r="H38" s="59"/>
      <c r="I38" s="48"/>
      <c r="J38" s="48"/>
      <c r="L38" t="str">
        <f t="shared" si="1"/>
        <v>(),</v>
      </c>
      <c r="N38" s="38" t="str">
        <f t="shared" si="0"/>
        <v>COMMENT ON COLUMN cop_payment_information. IS '';</v>
      </c>
      <c r="R38" s="33" t="s">
        <v>3580</v>
      </c>
    </row>
    <row r="39" spans="1:18" ht="19.5" thickBot="1">
      <c r="A39" s="13"/>
      <c r="B39" s="13">
        <v>6</v>
      </c>
      <c r="C39" s="13" t="s">
        <v>3581</v>
      </c>
      <c r="D39" s="13" t="s">
        <v>66</v>
      </c>
      <c r="E39" s="13">
        <v>16</v>
      </c>
      <c r="F39" s="14" t="s">
        <v>67</v>
      </c>
      <c r="G39" s="13"/>
      <c r="H39" s="8"/>
      <c r="I39" s="13"/>
      <c r="J39" s="13"/>
      <c r="K39" t="s">
        <v>3582</v>
      </c>
      <c r="L39" t="str">
        <f t="shared" si="1"/>
        <v>VARCHAR(16),</v>
      </c>
      <c r="N39" s="38" t="str">
        <f t="shared" si="0"/>
        <v>COMMENT ON COLUMN cop_payment_information.created_date IS '作成日';</v>
      </c>
      <c r="R39" s="33" t="s">
        <v>3583</v>
      </c>
    </row>
    <row r="40" spans="1:18" ht="19.5" thickBot="1">
      <c r="A40" s="11"/>
      <c r="B40" s="11">
        <v>7</v>
      </c>
      <c r="C40" s="11" t="s">
        <v>3584</v>
      </c>
      <c r="D40" s="11" t="s">
        <v>66</v>
      </c>
      <c r="E40" s="11">
        <v>4</v>
      </c>
      <c r="F40" s="10" t="s">
        <v>67</v>
      </c>
      <c r="G40" s="11"/>
      <c r="H40" s="5" t="s">
        <v>3585</v>
      </c>
      <c r="I40" s="11"/>
      <c r="J40" s="11"/>
      <c r="K40" t="s">
        <v>3586</v>
      </c>
      <c r="L40" t="str">
        <f t="shared" si="1"/>
        <v>VARCHAR(4),</v>
      </c>
      <c r="N40" s="38" t="str">
        <f t="shared" si="0"/>
        <v>COMMENT ON COLUMN cop_payment_information.new_code IS '新規コード';</v>
      </c>
      <c r="R40" s="33" t="s">
        <v>3587</v>
      </c>
    </row>
    <row r="41" spans="1:18" ht="19.5" thickBot="1">
      <c r="A41" s="13"/>
      <c r="B41" s="13">
        <v>8</v>
      </c>
      <c r="C41" s="13" t="s">
        <v>3588</v>
      </c>
      <c r="D41" s="13" t="s">
        <v>66</v>
      </c>
      <c r="E41" s="13">
        <v>4</v>
      </c>
      <c r="F41" s="14" t="s">
        <v>67</v>
      </c>
      <c r="G41" s="13"/>
      <c r="H41" s="8" t="s">
        <v>3589</v>
      </c>
      <c r="I41" s="13"/>
      <c r="J41" s="13"/>
      <c r="K41" t="s">
        <v>3590</v>
      </c>
      <c r="L41" t="str">
        <f t="shared" si="1"/>
        <v>VARCHAR(4),</v>
      </c>
      <c r="N41" s="38" t="str">
        <f t="shared" si="0"/>
        <v>COMMENT ON COLUMN cop_payment_information.billing_payment_method_code IS '請求支払方法コード';</v>
      </c>
      <c r="R41" s="33" t="s">
        <v>3591</v>
      </c>
    </row>
    <row r="42" spans="1:18" ht="19.5" thickBot="1">
      <c r="A42" s="11"/>
      <c r="B42" s="11">
        <v>9</v>
      </c>
      <c r="C42" s="11" t="s">
        <v>3592</v>
      </c>
      <c r="D42" s="11" t="s">
        <v>66</v>
      </c>
      <c r="E42" s="11">
        <v>10</v>
      </c>
      <c r="F42" s="10" t="s">
        <v>67</v>
      </c>
      <c r="G42" s="11" t="s">
        <v>3593</v>
      </c>
      <c r="H42" s="5"/>
      <c r="I42" s="11"/>
      <c r="J42" s="11"/>
      <c r="K42" t="s">
        <v>3594</v>
      </c>
      <c r="L42" t="str">
        <f t="shared" si="1"/>
        <v>VARCHAR(10),</v>
      </c>
      <c r="N42" s="38" t="str">
        <f t="shared" si="0"/>
        <v>COMMENT ON COLUMN cop_payment_information.reseller_company_id IS '再販会社id';</v>
      </c>
      <c r="R42" s="33" t="s">
        <v>3595</v>
      </c>
    </row>
    <row r="43" spans="1:18" ht="19.5" thickBot="1">
      <c r="A43" s="13"/>
      <c r="B43" s="13">
        <v>10</v>
      </c>
      <c r="C43" s="13" t="s">
        <v>3596</v>
      </c>
      <c r="D43" s="13" t="s">
        <v>66</v>
      </c>
      <c r="E43" s="13">
        <v>4</v>
      </c>
      <c r="F43" s="14" t="s">
        <v>67</v>
      </c>
      <c r="G43" s="13"/>
      <c r="H43" s="8" t="s">
        <v>3597</v>
      </c>
      <c r="I43" s="13"/>
      <c r="J43" s="13"/>
      <c r="K43" t="s">
        <v>3598</v>
      </c>
      <c r="L43" t="str">
        <f t="shared" si="1"/>
        <v>VARCHAR(4),</v>
      </c>
      <c r="N43" s="38" t="str">
        <f t="shared" si="0"/>
        <v>COMMENT ON COLUMN cop_payment_information.financial_institution_type_code IS '金融機関タイプコード';</v>
      </c>
      <c r="R43" s="33" t="s">
        <v>3599</v>
      </c>
    </row>
    <row r="44" spans="1:18" ht="19.5" thickBot="1">
      <c r="A44" s="11"/>
      <c r="B44" s="11">
        <v>11</v>
      </c>
      <c r="C44" s="11" t="s">
        <v>3600</v>
      </c>
      <c r="D44" s="11" t="s">
        <v>66</v>
      </c>
      <c r="E44" s="11">
        <v>4</v>
      </c>
      <c r="F44" s="10" t="s">
        <v>67</v>
      </c>
      <c r="G44" s="11"/>
      <c r="H44" s="5" t="s">
        <v>3601</v>
      </c>
      <c r="I44" s="11"/>
      <c r="J44" s="11"/>
      <c r="K44" t="s">
        <v>3602</v>
      </c>
      <c r="L44" t="str">
        <f t="shared" si="1"/>
        <v>VARCHAR(4),</v>
      </c>
      <c r="N44" s="38" t="str">
        <f t="shared" si="0"/>
        <v>COMMENT ON COLUMN cop_payment_information.invoice_type_code IS '請求書タイプコード';</v>
      </c>
      <c r="R44" s="33" t="s">
        <v>3603</v>
      </c>
    </row>
    <row r="45" spans="1:18" ht="19.5" thickBot="1">
      <c r="A45" s="13"/>
      <c r="B45" s="13">
        <v>12</v>
      </c>
      <c r="C45" s="13" t="s">
        <v>3604</v>
      </c>
      <c r="D45" s="13" t="s">
        <v>66</v>
      </c>
      <c r="E45" s="13">
        <v>8</v>
      </c>
      <c r="F45" s="14" t="s">
        <v>67</v>
      </c>
      <c r="G45" s="13" t="s">
        <v>3605</v>
      </c>
      <c r="H45" s="8"/>
      <c r="I45" s="13"/>
      <c r="J45" s="13"/>
      <c r="K45" t="s">
        <v>3606</v>
      </c>
      <c r="L45" t="str">
        <f t="shared" si="1"/>
        <v>VARCHAR(8),</v>
      </c>
      <c r="N45" s="38" t="str">
        <f t="shared" si="0"/>
        <v>COMMENT ON COLUMN cop_payment_information.bank_id IS '銀行id';</v>
      </c>
      <c r="R45" s="33" t="s">
        <v>3607</v>
      </c>
    </row>
    <row r="46" spans="1:18" ht="19.5" thickBot="1">
      <c r="A46" s="11"/>
      <c r="B46" s="11">
        <v>13</v>
      </c>
      <c r="C46" s="11" t="s">
        <v>3608</v>
      </c>
      <c r="D46" s="11" t="s">
        <v>66</v>
      </c>
      <c r="E46" s="11">
        <v>6</v>
      </c>
      <c r="F46" s="10" t="s">
        <v>67</v>
      </c>
      <c r="G46" s="11" t="s">
        <v>3609</v>
      </c>
      <c r="H46" s="5"/>
      <c r="I46" s="11"/>
      <c r="J46" s="11"/>
      <c r="K46" t="s">
        <v>3610</v>
      </c>
      <c r="L46" t="str">
        <f t="shared" si="1"/>
        <v>VARCHAR(6),</v>
      </c>
      <c r="N46" s="38" t="str">
        <f t="shared" si="0"/>
        <v>COMMENT ON COLUMN cop_payment_information.bank_branch_id IS '銀行支店id';</v>
      </c>
    </row>
    <row r="47" spans="1:18" ht="19.5" thickBot="1">
      <c r="A47" s="13"/>
      <c r="B47" s="13">
        <v>14</v>
      </c>
      <c r="C47" s="13" t="s">
        <v>3611</v>
      </c>
      <c r="D47" s="13" t="s">
        <v>66</v>
      </c>
      <c r="E47" s="13">
        <v>8</v>
      </c>
      <c r="F47" s="14" t="s">
        <v>67</v>
      </c>
      <c r="G47" s="13" t="s">
        <v>3612</v>
      </c>
      <c r="H47" s="8"/>
      <c r="I47" s="13"/>
      <c r="J47" s="13"/>
      <c r="K47" t="s">
        <v>3613</v>
      </c>
      <c r="L47" t="str">
        <f t="shared" si="1"/>
        <v>VARCHAR(8),</v>
      </c>
      <c r="N47" s="38" t="str">
        <f t="shared" si="0"/>
        <v>COMMENT ON COLUMN cop_payment_information.post_office_id IS '郵便局id';</v>
      </c>
    </row>
    <row r="48" spans="1:18" ht="19.5" thickBot="1">
      <c r="A48" s="11"/>
      <c r="B48" s="11">
        <v>15</v>
      </c>
      <c r="C48" s="11" t="s">
        <v>3614</v>
      </c>
      <c r="D48" s="11" t="s">
        <v>66</v>
      </c>
      <c r="E48" s="11">
        <v>10</v>
      </c>
      <c r="F48" s="10" t="s">
        <v>67</v>
      </c>
      <c r="G48" s="11" t="s">
        <v>3615</v>
      </c>
      <c r="H48" s="5"/>
      <c r="I48" s="11" t="s">
        <v>3616</v>
      </c>
      <c r="J48" s="11"/>
      <c r="K48" t="s">
        <v>3617</v>
      </c>
      <c r="L48" t="str">
        <f t="shared" si="1"/>
        <v>VARCHAR(10),</v>
      </c>
      <c r="N48" s="38" t="str">
        <f t="shared" si="0"/>
        <v>COMMENT ON COLUMN cop_payment_information.credit_card_company_id IS 'credit_card_会社id';</v>
      </c>
    </row>
    <row r="49" spans="1:14" ht="19.5" thickBot="1">
      <c r="A49" s="13"/>
      <c r="B49" s="13">
        <v>16</v>
      </c>
      <c r="C49" s="13" t="s">
        <v>2198</v>
      </c>
      <c r="D49" s="13" t="s">
        <v>66</v>
      </c>
      <c r="E49" s="13">
        <v>24</v>
      </c>
      <c r="F49" s="14" t="s">
        <v>3523</v>
      </c>
      <c r="G49" s="13" t="s">
        <v>2198</v>
      </c>
      <c r="H49" s="8"/>
      <c r="I49" s="13" t="s">
        <v>3530</v>
      </c>
      <c r="J49" s="13"/>
      <c r="K49" t="s">
        <v>3618</v>
      </c>
      <c r="L49" t="str">
        <f t="shared" si="1"/>
        <v>VARCHAR(24),</v>
      </c>
      <c r="N49" s="38" t="str">
        <f t="shared" si="0"/>
        <v>COMMENT ON COLUMN cop_payment_information.application_number IS '申込書番号';</v>
      </c>
    </row>
    <row r="50" spans="1:14" ht="19.5" thickBot="1">
      <c r="A50" s="11"/>
      <c r="B50" s="11">
        <v>17</v>
      </c>
      <c r="C50" s="11" t="s">
        <v>3619</v>
      </c>
      <c r="D50" s="11" t="s">
        <v>66</v>
      </c>
      <c r="E50" s="11">
        <v>2</v>
      </c>
      <c r="F50" s="10" t="s">
        <v>67</v>
      </c>
      <c r="G50" s="11"/>
      <c r="H50" s="5"/>
      <c r="I50" s="11" t="s">
        <v>3616</v>
      </c>
      <c r="J50" s="11"/>
      <c r="K50" t="s">
        <v>3620</v>
      </c>
      <c r="L50" t="str">
        <f t="shared" si="1"/>
        <v>VARCHAR(2),</v>
      </c>
      <c r="N50" s="38" t="str">
        <f t="shared" si="0"/>
        <v>COMMENT ON COLUMN cop_payment_information.invoice_automatic_change_indicator IS '請求書自動変更ind';</v>
      </c>
    </row>
    <row r="51" spans="1:14">
      <c r="K51" t="str">
        <f>"CONSTRAINT pk_"&amp;K3&amp;" PRIMARY KEY (id));"</f>
        <v>CONSTRAINT pk_cop_payment_information PRIMARY KEY (id));</v>
      </c>
    </row>
  </sheetData>
  <mergeCells count="29">
    <mergeCell ref="F4:J4"/>
    <mergeCell ref="F5:J5"/>
    <mergeCell ref="A11:A23"/>
    <mergeCell ref="B11:B23"/>
    <mergeCell ref="C11:C23"/>
    <mergeCell ref="D11:D23"/>
    <mergeCell ref="E11:E23"/>
    <mergeCell ref="F11:F23"/>
    <mergeCell ref="H11:H23"/>
    <mergeCell ref="I11:I23"/>
    <mergeCell ref="J11:J23"/>
    <mergeCell ref="A24:A36"/>
    <mergeCell ref="B24:B36"/>
    <mergeCell ref="C24:C36"/>
    <mergeCell ref="D24:D36"/>
    <mergeCell ref="E24:E36"/>
    <mergeCell ref="F24:F36"/>
    <mergeCell ref="H24:H36"/>
    <mergeCell ref="I24:I36"/>
    <mergeCell ref="J24:J36"/>
    <mergeCell ref="H37:H38"/>
    <mergeCell ref="I37:I38"/>
    <mergeCell ref="J37:J38"/>
    <mergeCell ref="F37:F38"/>
    <mergeCell ref="A37:A38"/>
    <mergeCell ref="B37:B38"/>
    <mergeCell ref="C37:C38"/>
    <mergeCell ref="D37:D38"/>
    <mergeCell ref="E37:E38"/>
  </mergeCells>
  <phoneticPr fontId="2"/>
  <hyperlinks>
    <hyperlink ref="H9" r:id="rId1" display="https://tools.l2.dwh.sb-sys.info/userhelp/data/komoku" xr:uid="{4A202F50-BA0A-4A0A-B5E7-8E44B5944FA2}"/>
    <hyperlink ref="H10" r:id="rId2" display="https://tools.l2.dwh.sb-sys.info/userhelp/data/komoku" xr:uid="{2B202BDB-96BC-4FDF-9487-A160B0446A82}"/>
    <hyperlink ref="H11" r:id="rId3" display="https://tools.l2.dwh.sb-sys.info/userhelp/data/komoku" xr:uid="{FB58A6B4-93D1-4FFE-BF11-57A98C66453D}"/>
    <hyperlink ref="H24" r:id="rId4" display="https://tools.l2.dwh.sb-sys.info/userhelp/data/komoku" xr:uid="{21165A42-7265-4EDF-8E91-7EBAAC51B0B8}"/>
    <hyperlink ref="H37" r:id="rId5" display="https://tools.l2.dwh.sb-sys.info/userhelp/data/komoku" xr:uid="{0ADB4D52-E205-4AD6-B3EC-ED759F1AFAB0}"/>
    <hyperlink ref="H39" r:id="rId6" display="https://tools.l2.dwh.sb-sys.info/userhelp/data/komoku" xr:uid="{9CAB87FF-A695-46D8-93BB-2B05E1BF0A03}"/>
    <hyperlink ref="H40" r:id="rId7" location="0138" display="https://tools.l2.dwh.sb-sys.info/userhelp/data/komoku/codereference/asp/omcodereference_view.asp - 0138" xr:uid="{5346DFE6-F70F-4AE7-8A6C-942053FE003A}"/>
    <hyperlink ref="H41" r:id="rId8" location="0071" display="https://tools.l2.dwh.sb-sys.info/userhelp/data/komoku/codereference/asp/omcodereference_view.asp - 0071" xr:uid="{6CA08AF4-3274-4575-A0C4-4D9E75EDFA3A}"/>
    <hyperlink ref="H42" r:id="rId9" display="https://tools.l2.dwh.sb-sys.info/userhelp/data/komoku" xr:uid="{23EC44E7-7B00-46F9-B594-6CEE2679FE9D}"/>
    <hyperlink ref="H43" r:id="rId10" location="0069" display="https://tools.l2.dwh.sb-sys.info/userhelp/data/komoku/codereference/asp/omcodereference_view.asp - 0069" xr:uid="{631F784B-7A00-4F13-8CBE-CEF7DBB5967F}"/>
    <hyperlink ref="H44" r:id="rId11" location="0074" display="https://tools.l2.dwh.sb-sys.info/userhelp/data/komoku/codereference/asp/omcodereference_view.asp - 0074" xr:uid="{674BD44A-97D2-4006-9F44-E9543280B33C}"/>
    <hyperlink ref="H45" r:id="rId12" display="https://tools.l2.dwh.sb-sys.info/userhelp/data/komoku" xr:uid="{3C66A343-86CB-4F73-ADAB-5AA4B76B386F}"/>
    <hyperlink ref="H46" r:id="rId13" display="https://tools.l2.dwh.sb-sys.info/userhelp/data/komoku" xr:uid="{79558EC5-14BE-4011-9D70-3AEC1F9A4FDE}"/>
    <hyperlink ref="H47" r:id="rId14" display="https://tools.l2.dwh.sb-sys.info/userhelp/data/komoku" xr:uid="{BB713439-35FA-4F26-B4E2-5FCBF907462C}"/>
    <hyperlink ref="H48" r:id="rId15" display="https://tools.l2.dwh.sb-sys.info/userhelp/data/komoku" xr:uid="{5F46989A-953F-4F27-B513-29ABE3161646}"/>
    <hyperlink ref="H49" r:id="rId16" display="https://tools.l2.dwh.sb-sys.info/userhelp/data/komoku" xr:uid="{D22A1B55-37F8-44E6-981F-B5271172F215}"/>
    <hyperlink ref="H50" r:id="rId17" display="https://tools.l2.dwh.sb-sys.info/userhelp/data/komoku" xr:uid="{AE748AEA-161F-4D8B-A7D7-4DA0A8956E84}"/>
  </hyperlinks>
  <pageMargins left="0.7" right="0.7" top="0.75" bottom="0.75" header="0.3" footer="0.3"/>
  <pageSetup paperSize="9" orientation="portrait" r:id="rId1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D0540-0EDB-437A-9452-A22726A133C8}">
  <sheetPr>
    <tabColor rgb="FF00B050"/>
  </sheetPr>
  <dimension ref="A1:S27"/>
  <sheetViews>
    <sheetView zoomScale="85" zoomScaleNormal="85" workbookViewId="0"/>
  </sheetViews>
  <sheetFormatPr defaultRowHeight="15.75" customHeight="1"/>
  <cols>
    <col min="1" max="1" width="2.75" bestFit="1" customWidth="1"/>
    <col min="2" max="2" width="3.5" bestFit="1" customWidth="1"/>
    <col min="3" max="3" width="11.5" bestFit="1" customWidth="1"/>
    <col min="4" max="4" width="11.5" customWidth="1"/>
    <col min="5" max="5" width="5.75" bestFit="1" customWidth="1"/>
    <col min="6" max="6" width="3" bestFit="1" customWidth="1"/>
    <col min="7" max="7" width="4.5" bestFit="1" customWidth="1"/>
    <col min="8" max="8" width="9" customWidth="1"/>
    <col min="9" max="9" width="30" hidden="1" customWidth="1"/>
    <col min="10" max="10" width="25.75" hidden="1" customWidth="1"/>
    <col min="11" max="11" width="4.5" hidden="1" customWidth="1"/>
    <col min="12" max="12" width="9" customWidth="1"/>
  </cols>
  <sheetData>
    <row r="1" spans="1:19" ht="18.75"/>
    <row r="2" spans="1:19" ht="19.5">
      <c r="G2" s="9" t="s">
        <v>41</v>
      </c>
      <c r="H2" s="9" t="s">
        <v>42</v>
      </c>
      <c r="I2" s="9" t="s">
        <v>43</v>
      </c>
      <c r="J2" s="9" t="s">
        <v>44</v>
      </c>
      <c r="K2" s="9" t="s">
        <v>45</v>
      </c>
    </row>
    <row r="3" spans="1:19" ht="19.5">
      <c r="G3" s="10" t="s">
        <v>46</v>
      </c>
      <c r="H3" s="11" t="s">
        <v>3621</v>
      </c>
      <c r="I3" s="11" t="s">
        <v>3622</v>
      </c>
      <c r="J3" s="11" t="s">
        <v>3623</v>
      </c>
      <c r="K3" s="11" t="s">
        <v>3518</v>
      </c>
      <c r="L3" s="18" t="s">
        <v>3624</v>
      </c>
    </row>
    <row r="4" spans="1:19" ht="18.75">
      <c r="G4" s="62" t="s">
        <v>51</v>
      </c>
      <c r="H4" s="63"/>
      <c r="I4" s="63"/>
      <c r="J4" s="63"/>
      <c r="K4" s="64"/>
    </row>
    <row r="5" spans="1:19" ht="18.75">
      <c r="G5" s="65" t="s">
        <v>3625</v>
      </c>
      <c r="H5" s="66"/>
      <c r="I5" s="66"/>
      <c r="J5" s="66"/>
      <c r="K5" s="67"/>
    </row>
    <row r="6" spans="1:19" ht="18.75">
      <c r="L6" t="str">
        <f>"DROP TABLE IF EXISTS "&amp;L3&amp;" CASCADE;"</f>
        <v>DROP TABLE IF EXISTS cop_contractor_link_history CASCADE;</v>
      </c>
      <c r="S6" s="33" t="s">
        <v>3626</v>
      </c>
    </row>
    <row r="7" spans="1:19" ht="18.75">
      <c r="L7" t="str">
        <f>"CREATE TABLE IF NOT EXISTS "&amp;L3&amp;" ("</f>
        <v>CREATE TABLE IF NOT EXISTS cop_contractor_link_history (</v>
      </c>
      <c r="O7" s="40" t="str">
        <f>"COMMENT ON TABLE "&amp;L3&amp;" IS '"&amp;H3&amp;"';"</f>
        <v>COMMENT ON TABLE cop_contractor_link_history IS 'b_cop_契約者リンク履歴';</v>
      </c>
      <c r="S7" s="33" t="s">
        <v>3627</v>
      </c>
    </row>
    <row r="8" spans="1:19" ht="18.75">
      <c r="A8" s="12" t="s">
        <v>54</v>
      </c>
      <c r="B8" s="12" t="s">
        <v>55</v>
      </c>
      <c r="C8" s="12" t="s">
        <v>56</v>
      </c>
      <c r="D8" s="12"/>
      <c r="E8" s="12" t="s">
        <v>57</v>
      </c>
      <c r="F8" s="12" t="s">
        <v>58</v>
      </c>
      <c r="G8" s="12" t="s">
        <v>59</v>
      </c>
      <c r="H8" s="12" t="s">
        <v>60</v>
      </c>
      <c r="I8" s="12" t="s">
        <v>61</v>
      </c>
      <c r="J8" s="12" t="s">
        <v>62</v>
      </c>
      <c r="K8" s="12" t="s">
        <v>63</v>
      </c>
      <c r="L8" t="s">
        <v>64</v>
      </c>
      <c r="O8" s="38" t="str">
        <f>"COMMENT ON COLUMN "&amp;$L$3&amp;".id IS 'id';"</f>
        <v>COMMENT ON COLUMN cop_contractor_link_history.id IS 'id';</v>
      </c>
      <c r="S8" s="34" t="s">
        <v>65</v>
      </c>
    </row>
    <row r="9" spans="1:19" ht="18.75">
      <c r="A9" s="11"/>
      <c r="B9" s="11">
        <v>1</v>
      </c>
      <c r="C9" s="11" t="s">
        <v>3628</v>
      </c>
      <c r="D9" s="11" t="s">
        <v>3629</v>
      </c>
      <c r="E9" s="11" t="s">
        <v>66</v>
      </c>
      <c r="F9" s="11">
        <v>40</v>
      </c>
      <c r="G9" s="10" t="s">
        <v>3523</v>
      </c>
      <c r="H9" s="11" t="s">
        <v>14</v>
      </c>
      <c r="I9" s="5"/>
      <c r="J9" s="11" t="s">
        <v>3530</v>
      </c>
      <c r="K9" s="11"/>
      <c r="L9" t="s">
        <v>3630</v>
      </c>
      <c r="M9" t="str">
        <f>E9&amp;"("&amp;F9&amp;"),"</f>
        <v>VARCHAR(40),</v>
      </c>
      <c r="O9" s="38" t="str">
        <f t="shared" ref="O9:O17" si="0">"COMMENT ON COLUMN "&amp;$L$3&amp;"."&amp;$L9&amp;" IS '"&amp;D9&amp;"';"</f>
        <v>COMMENT ON COLUMN cop_contractor_link_history.contractor_id IS '請負業者ID';</v>
      </c>
      <c r="S9" s="34" t="s">
        <v>3631</v>
      </c>
    </row>
    <row r="10" spans="1:19" ht="19.5">
      <c r="A10" s="13"/>
      <c r="B10" s="13">
        <v>2</v>
      </c>
      <c r="C10" s="13" t="s">
        <v>3632</v>
      </c>
      <c r="D10" s="13" t="s">
        <v>3633</v>
      </c>
      <c r="E10" s="13" t="s">
        <v>66</v>
      </c>
      <c r="F10" s="13">
        <v>16</v>
      </c>
      <c r="G10" s="14" t="s">
        <v>67</v>
      </c>
      <c r="H10" s="13" t="s">
        <v>3634</v>
      </c>
      <c r="I10" s="8"/>
      <c r="J10" s="13"/>
      <c r="K10" s="13"/>
      <c r="L10" t="s">
        <v>3632</v>
      </c>
      <c r="M10" t="str">
        <f t="shared" ref="M10:M17" si="1">E10&amp;"("&amp;F10&amp;"),"</f>
        <v>VARCHAR(16),</v>
      </c>
      <c r="O10" s="38" t="str">
        <f t="shared" si="0"/>
        <v>COMMENT ON COLUMN cop_contractor_link_history.created_dt IS '作成日時';</v>
      </c>
      <c r="S10" s="34" t="s">
        <v>3635</v>
      </c>
    </row>
    <row r="11" spans="1:19" ht="18.75">
      <c r="A11" s="11"/>
      <c r="B11" s="11">
        <v>3</v>
      </c>
      <c r="C11" s="11" t="s">
        <v>3636</v>
      </c>
      <c r="D11" s="11" t="s">
        <v>3637</v>
      </c>
      <c r="E11" s="11" t="s">
        <v>66</v>
      </c>
      <c r="F11" s="11">
        <v>40</v>
      </c>
      <c r="G11" s="10" t="s">
        <v>3523</v>
      </c>
      <c r="H11" s="11" t="s">
        <v>3638</v>
      </c>
      <c r="I11" s="5"/>
      <c r="J11" s="11" t="s">
        <v>3530</v>
      </c>
      <c r="K11" s="11"/>
      <c r="L11" t="s">
        <v>3636</v>
      </c>
      <c r="M11" t="str">
        <f t="shared" si="1"/>
        <v>VARCHAR(40),</v>
      </c>
      <c r="O11" s="38" t="str">
        <f t="shared" si="0"/>
        <v>COMMENT ON COLUMN cop_contractor_link_history.service_id IS 'サービスID';</v>
      </c>
      <c r="S11" s="34" t="s">
        <v>3639</v>
      </c>
    </row>
    <row r="12" spans="1:19" ht="19.5">
      <c r="A12" s="13"/>
      <c r="B12" s="13">
        <v>4</v>
      </c>
      <c r="C12" s="13" t="s">
        <v>3640</v>
      </c>
      <c r="D12" s="13" t="s">
        <v>3641</v>
      </c>
      <c r="E12" s="13" t="s">
        <v>66</v>
      </c>
      <c r="F12" s="13">
        <v>16</v>
      </c>
      <c r="G12" s="14" t="s">
        <v>67</v>
      </c>
      <c r="H12" s="13" t="s">
        <v>3534</v>
      </c>
      <c r="I12" s="8"/>
      <c r="J12" s="13"/>
      <c r="K12" s="13"/>
      <c r="L12" t="s">
        <v>3640</v>
      </c>
      <c r="M12" t="str">
        <f t="shared" si="1"/>
        <v>VARCHAR(16),</v>
      </c>
      <c r="O12" s="38" t="str">
        <f t="shared" si="0"/>
        <v>COMMENT ON COLUMN cop_contractor_link_history.effective_dt_from IS '有効日時開始日時';</v>
      </c>
      <c r="S12" s="34" t="s">
        <v>3642</v>
      </c>
    </row>
    <row r="13" spans="1:19" ht="19.5">
      <c r="A13" s="11"/>
      <c r="B13" s="11">
        <v>5</v>
      </c>
      <c r="C13" s="11" t="s">
        <v>3643</v>
      </c>
      <c r="D13" s="11" t="s">
        <v>3644</v>
      </c>
      <c r="E13" s="11" t="s">
        <v>66</v>
      </c>
      <c r="F13" s="11">
        <v>16</v>
      </c>
      <c r="G13" s="10" t="s">
        <v>67</v>
      </c>
      <c r="H13" s="11" t="s">
        <v>3560</v>
      </c>
      <c r="I13" s="5"/>
      <c r="J13" s="11"/>
      <c r="K13" s="11"/>
      <c r="L13" t="s">
        <v>3643</v>
      </c>
      <c r="M13" t="str">
        <f t="shared" si="1"/>
        <v>VARCHAR(16),</v>
      </c>
      <c r="O13" s="38" t="str">
        <f t="shared" si="0"/>
        <v>COMMENT ON COLUMN cop_contractor_link_history.effective_dt_to IS '有効日時終了日時';</v>
      </c>
      <c r="S13" s="34" t="s">
        <v>3645</v>
      </c>
    </row>
    <row r="14" spans="1:19" ht="18.75">
      <c r="A14" s="55"/>
      <c r="B14" s="55">
        <v>6</v>
      </c>
      <c r="C14" s="55" t="s">
        <v>3646</v>
      </c>
      <c r="D14" s="15" t="s">
        <v>3647</v>
      </c>
      <c r="E14" s="55" t="s">
        <v>66</v>
      </c>
      <c r="F14" s="55">
        <v>2</v>
      </c>
      <c r="G14" s="49" t="s">
        <v>67</v>
      </c>
      <c r="H14" s="15" t="s">
        <v>3576</v>
      </c>
      <c r="I14" s="52"/>
      <c r="J14" s="55"/>
      <c r="K14" s="55"/>
      <c r="L14" t="s">
        <v>3646</v>
      </c>
      <c r="M14" t="str">
        <f t="shared" si="1"/>
        <v>VARCHAR(2),</v>
      </c>
      <c r="O14" s="38" t="str">
        <f t="shared" si="0"/>
        <v>COMMENT ON COLUMN cop_contractor_link_history.delete_ind IS '削除インデックス';</v>
      </c>
      <c r="S14" s="34" t="s">
        <v>3648</v>
      </c>
    </row>
    <row r="15" spans="1:19" ht="39">
      <c r="A15" s="57"/>
      <c r="B15" s="57"/>
      <c r="C15" s="57"/>
      <c r="D15" s="16"/>
      <c r="E15" s="57"/>
      <c r="F15" s="57"/>
      <c r="G15" s="51"/>
      <c r="H15" s="16" t="s">
        <v>3579</v>
      </c>
      <c r="I15" s="54"/>
      <c r="J15" s="57"/>
      <c r="K15" s="57"/>
      <c r="M15" t="str">
        <f t="shared" si="1"/>
        <v>(),</v>
      </c>
      <c r="O15" s="38" t="str">
        <f t="shared" si="0"/>
        <v>COMMENT ON COLUMN cop_contractor_link_history. IS '';</v>
      </c>
      <c r="S15" s="34" t="s">
        <v>3649</v>
      </c>
    </row>
    <row r="16" spans="1:19" ht="18.75">
      <c r="A16" s="10" t="s">
        <v>3523</v>
      </c>
      <c r="B16" s="11">
        <v>7</v>
      </c>
      <c r="C16" s="11" t="s">
        <v>3650</v>
      </c>
      <c r="D16" s="11" t="s">
        <v>3651</v>
      </c>
      <c r="E16" s="11" t="s">
        <v>89</v>
      </c>
      <c r="F16" s="11" t="s">
        <v>3525</v>
      </c>
      <c r="G16" s="10" t="s">
        <v>67</v>
      </c>
      <c r="H16" s="11" t="s">
        <v>3524</v>
      </c>
      <c r="I16" s="5"/>
      <c r="J16" s="11" t="s">
        <v>3526</v>
      </c>
      <c r="K16" s="11"/>
      <c r="L16" t="s">
        <v>3650</v>
      </c>
      <c r="M16" t="str">
        <f t="shared" si="1"/>
        <v>DECIMAL(38,0),</v>
      </c>
      <c r="O16" s="38" t="str">
        <f t="shared" si="0"/>
        <v>COMMENT ON COLUMN cop_contractor_link_history.record_sequence_nbr IS 'レコードシーケンス番号';</v>
      </c>
      <c r="S16" s="34" t="s">
        <v>3652</v>
      </c>
    </row>
    <row r="17" spans="1:19" ht="18.75">
      <c r="A17" s="13"/>
      <c r="B17" s="13">
        <v>8</v>
      </c>
      <c r="C17" s="13" t="s">
        <v>3653</v>
      </c>
      <c r="D17" s="13" t="s">
        <v>3654</v>
      </c>
      <c r="E17" s="13" t="s">
        <v>66</v>
      </c>
      <c r="F17" s="13">
        <v>2</v>
      </c>
      <c r="G17" s="14" t="s">
        <v>67</v>
      </c>
      <c r="H17" s="13" t="s">
        <v>3655</v>
      </c>
      <c r="I17" s="8" t="s">
        <v>3656</v>
      </c>
      <c r="J17" s="13"/>
      <c r="K17" s="13"/>
      <c r="L17" t="s">
        <v>3653</v>
      </c>
      <c r="M17" t="str">
        <f t="shared" si="1"/>
        <v>VARCHAR(2),</v>
      </c>
      <c r="O17" s="38" t="str">
        <f t="shared" si="0"/>
        <v>COMMENT ON COLUMN cop_contractor_link_history.deactivate_ind IS '無効化インデックス';</v>
      </c>
      <c r="S17" s="33" t="s">
        <v>3657</v>
      </c>
    </row>
    <row r="18" spans="1:19" ht="18.75">
      <c r="L18" t="str">
        <f>"CONSTRAINT pk_"&amp;L3&amp;" PRIMARY KEY (id));"</f>
        <v>CONSTRAINT pk_cop_contractor_link_history PRIMARY KEY (id));</v>
      </c>
      <c r="S18" s="33" t="s">
        <v>3658</v>
      </c>
    </row>
    <row r="19" spans="1:19" ht="18.75">
      <c r="S19" s="33" t="s">
        <v>3659</v>
      </c>
    </row>
    <row r="20" spans="1:19" ht="18.75">
      <c r="S20" s="33" t="s">
        <v>3660</v>
      </c>
    </row>
    <row r="21" spans="1:19" ht="18.75">
      <c r="S21" s="33" t="s">
        <v>3661</v>
      </c>
    </row>
    <row r="22" spans="1:19" ht="18.75">
      <c r="S22" s="33" t="s">
        <v>3662</v>
      </c>
    </row>
    <row r="23" spans="1:19" ht="18.75">
      <c r="S23" s="33" t="s">
        <v>3663</v>
      </c>
    </row>
    <row r="24" spans="1:19" ht="18.75">
      <c r="S24" s="33" t="s">
        <v>3664</v>
      </c>
    </row>
    <row r="25" spans="1:19" ht="18.75">
      <c r="S25" s="33" t="s">
        <v>3665</v>
      </c>
    </row>
    <row r="26" spans="1:19" ht="18.75">
      <c r="S26" s="33" t="s">
        <v>3666</v>
      </c>
    </row>
    <row r="27" spans="1:19" ht="18.75">
      <c r="S27" s="33" t="s">
        <v>3667</v>
      </c>
    </row>
  </sheetData>
  <mergeCells count="11">
    <mergeCell ref="K14:K15"/>
    <mergeCell ref="G4:K4"/>
    <mergeCell ref="G5:K5"/>
    <mergeCell ref="A14:A15"/>
    <mergeCell ref="B14:B15"/>
    <mergeCell ref="C14:C15"/>
    <mergeCell ref="E14:E15"/>
    <mergeCell ref="F14:F15"/>
    <mergeCell ref="G14:G15"/>
    <mergeCell ref="I14:I15"/>
    <mergeCell ref="J14:J15"/>
  </mergeCells>
  <phoneticPr fontId="2"/>
  <hyperlinks>
    <hyperlink ref="I9" r:id="rId1" display="https://tools.l2.dwh.sb-sys.info/userhelp/data/komoku" xr:uid="{3E74012E-48CF-429D-92B5-193222991CB8}"/>
    <hyperlink ref="I10" r:id="rId2" display="https://tools.l2.dwh.sb-sys.info/userhelp/data/komoku" xr:uid="{BE710DD7-718D-4553-B649-75F2983A2F29}"/>
    <hyperlink ref="I11" r:id="rId3" display="https://tools.l2.dwh.sb-sys.info/userhelp/data/komoku" xr:uid="{EEA8BBC2-802C-466B-A5FE-8F7CD486FE7F}"/>
    <hyperlink ref="I12" r:id="rId4" display="https://tools.l2.dwh.sb-sys.info/userhelp/data/komoku" xr:uid="{82B2E080-4741-4E4D-9769-2028E7272364}"/>
    <hyperlink ref="I13" r:id="rId5" display="https://tools.l2.dwh.sb-sys.info/userhelp/data/komoku" xr:uid="{91B701C7-2426-4DEB-9FFF-48DEFAEBDA71}"/>
    <hyperlink ref="I14" r:id="rId6" display="https://tools.l2.dwh.sb-sys.info/userhelp/data/komoku" xr:uid="{002A188C-4F68-458F-AE34-5CD627DF2A26}"/>
    <hyperlink ref="I16" r:id="rId7" display="https://tools.l2.dwh.sb-sys.info/userhelp/data/komoku" xr:uid="{AE669D08-3E89-4996-B876-568DE14F071A}"/>
    <hyperlink ref="I17" r:id="rId8" location="0009" display="https://tools.l2.dwh.sb-sys.info/userhelp/data/komoku/codereference/asp/codereference_view.asp - 0009" xr:uid="{029B930B-F6DF-4D69-AB28-FC99067945DC}"/>
  </hyperlinks>
  <pageMargins left="0.7" right="0.7" top="0.75" bottom="0.75" header="0.3" footer="0.3"/>
  <pageSetup paperSize="9" orientation="portrait" r:id="rId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32D33-C1A3-4D3D-B43D-BF36C8E73389}">
  <sheetPr>
    <tabColor rgb="FF00B050"/>
  </sheetPr>
  <dimension ref="A1:S39"/>
  <sheetViews>
    <sheetView zoomScale="85" zoomScaleNormal="85" workbookViewId="0"/>
  </sheetViews>
  <sheetFormatPr defaultRowHeight="15.75" customHeight="1"/>
  <cols>
    <col min="1" max="1" width="2.75" bestFit="1" customWidth="1"/>
    <col min="2" max="2" width="3.5" bestFit="1" customWidth="1"/>
    <col min="3" max="3" width="11.5" bestFit="1" customWidth="1"/>
    <col min="4" max="4" width="11.5" customWidth="1"/>
    <col min="5" max="5" width="5.75" bestFit="1" customWidth="1"/>
    <col min="6" max="6" width="3" bestFit="1" customWidth="1"/>
    <col min="7" max="7" width="4.5" bestFit="1" customWidth="1"/>
    <col min="8" max="8" width="9" customWidth="1"/>
    <col min="9" max="9" width="30" hidden="1" customWidth="1"/>
    <col min="10" max="10" width="25.75" hidden="1" customWidth="1"/>
    <col min="11" max="11" width="4.5" hidden="1" customWidth="1"/>
    <col min="12" max="12" width="9" customWidth="1"/>
    <col min="15" max="15" width="32.125" customWidth="1"/>
  </cols>
  <sheetData>
    <row r="1" spans="1:19" ht="18.75"/>
    <row r="2" spans="1:19" ht="19.5">
      <c r="G2" s="9" t="s">
        <v>41</v>
      </c>
      <c r="H2" s="9" t="s">
        <v>42</v>
      </c>
      <c r="I2" s="9" t="s">
        <v>43</v>
      </c>
      <c r="J2" s="9" t="s">
        <v>44</v>
      </c>
      <c r="K2" s="9" t="s">
        <v>45</v>
      </c>
    </row>
    <row r="3" spans="1:19" ht="19.5">
      <c r="G3" s="10" t="s">
        <v>46</v>
      </c>
      <c r="H3" s="11" t="s">
        <v>3668</v>
      </c>
      <c r="I3" s="11" t="s">
        <v>3669</v>
      </c>
      <c r="J3" s="11" t="s">
        <v>3670</v>
      </c>
      <c r="K3" s="11" t="s">
        <v>3518</v>
      </c>
      <c r="L3" t="s">
        <v>3671</v>
      </c>
    </row>
    <row r="4" spans="1:19" ht="18.75">
      <c r="G4" s="62" t="s">
        <v>51</v>
      </c>
      <c r="H4" s="63"/>
      <c r="I4" s="63"/>
      <c r="J4" s="63"/>
      <c r="K4" s="64"/>
    </row>
    <row r="5" spans="1:19" ht="18.75">
      <c r="G5" s="65" t="s">
        <v>3672</v>
      </c>
      <c r="H5" s="66"/>
      <c r="I5" s="66"/>
      <c r="J5" s="66"/>
      <c r="K5" s="67"/>
    </row>
    <row r="6" spans="1:19" ht="18.75">
      <c r="L6" t="str">
        <f>"DROP TABLE IF EXISTS "&amp;L3&amp;" CASCADE;"</f>
        <v>DROP TABLE IF EXISTS cop_svc_link_history CASCADE;</v>
      </c>
      <c r="S6" s="29" t="s">
        <v>3673</v>
      </c>
    </row>
    <row r="7" spans="1:19" ht="18.75">
      <c r="L7" t="str">
        <f>"CREATE TABLE IF NOT EXISTS "&amp;L3&amp;" ("</f>
        <v>CREATE TABLE IF NOT EXISTS cop_svc_link_history (</v>
      </c>
      <c r="O7" s="40" t="str">
        <f>"COMMENT ON TABLE "&amp;L3&amp;" IS '"&amp;H3&amp;"';"</f>
        <v>COMMENT ON TABLE cop_svc_link_history IS 'b_cop_svcリンク履歴';</v>
      </c>
      <c r="S7" s="29" t="s">
        <v>3674</v>
      </c>
    </row>
    <row r="8" spans="1:19" ht="18.75">
      <c r="A8" s="12" t="s">
        <v>54</v>
      </c>
      <c r="B8" s="12" t="s">
        <v>55</v>
      </c>
      <c r="C8" s="12" t="s">
        <v>56</v>
      </c>
      <c r="D8" s="12"/>
      <c r="E8" s="12" t="s">
        <v>57</v>
      </c>
      <c r="F8" s="12" t="s">
        <v>58</v>
      </c>
      <c r="G8" s="12" t="s">
        <v>59</v>
      </c>
      <c r="H8" s="12" t="s">
        <v>60</v>
      </c>
      <c r="I8" s="12" t="s">
        <v>61</v>
      </c>
      <c r="J8" s="12" t="s">
        <v>62</v>
      </c>
      <c r="K8" s="12" t="s">
        <v>63</v>
      </c>
      <c r="L8" t="s">
        <v>64</v>
      </c>
      <c r="O8" s="38" t="str">
        <f>"COMMENT ON COLUMN "&amp;$L$3&amp;".id IS 'id';"</f>
        <v>COMMENT ON COLUMN cop_svc_link_history.id IS 'id';</v>
      </c>
      <c r="S8" s="30" t="s">
        <v>3675</v>
      </c>
    </row>
    <row r="9" spans="1:19" ht="18.75">
      <c r="A9" s="10" t="s">
        <v>3523</v>
      </c>
      <c r="B9" s="11">
        <v>1</v>
      </c>
      <c r="C9" s="11" t="s">
        <v>3650</v>
      </c>
      <c r="D9" s="11" t="s">
        <v>3651</v>
      </c>
      <c r="E9" s="11" t="s">
        <v>89</v>
      </c>
      <c r="F9" s="11" t="s">
        <v>3525</v>
      </c>
      <c r="G9" s="10" t="s">
        <v>67</v>
      </c>
      <c r="H9" s="11" t="s">
        <v>3524</v>
      </c>
      <c r="I9" s="5"/>
      <c r="J9" s="11" t="s">
        <v>3526</v>
      </c>
      <c r="K9" s="11"/>
      <c r="L9" t="str">
        <f>C9</f>
        <v>record_sequence_nbr</v>
      </c>
      <c r="M9" t="str">
        <f>E9&amp;"("&amp;F9&amp;"),"</f>
        <v>DECIMAL(38,0),</v>
      </c>
      <c r="O9" s="38" t="str">
        <f t="shared" ref="O9:O23" si="0">"COMMENT ON COLUMN "&amp;$L$3&amp;"."&amp;$L9&amp;" IS '"&amp;D9&amp;"';"</f>
        <v>COMMENT ON COLUMN cop_svc_link_history.record_sequence_nbr IS 'レコードシーケンス番号';</v>
      </c>
      <c r="S9" s="30" t="s">
        <v>3676</v>
      </c>
    </row>
    <row r="10" spans="1:19" ht="18.75">
      <c r="A10" s="13"/>
      <c r="B10" s="13">
        <v>2</v>
      </c>
      <c r="C10" s="13" t="s">
        <v>3677</v>
      </c>
      <c r="D10" s="13" t="s">
        <v>3677</v>
      </c>
      <c r="E10" s="13" t="s">
        <v>66</v>
      </c>
      <c r="F10" s="13">
        <v>2</v>
      </c>
      <c r="G10" s="14" t="s">
        <v>67</v>
      </c>
      <c r="H10" s="13" t="s">
        <v>3678</v>
      </c>
      <c r="I10" s="8" t="s">
        <v>3679</v>
      </c>
      <c r="J10" s="13"/>
      <c r="K10" s="13"/>
      <c r="L10" t="str">
        <f t="shared" ref="L10:L23" si="1">C10</f>
        <v>ifdb_proc_type</v>
      </c>
      <c r="M10" t="str">
        <f t="shared" ref="M10:M23" si="2">E10&amp;"("&amp;F10&amp;"),"</f>
        <v>VARCHAR(2),</v>
      </c>
      <c r="O10" s="38" t="str">
        <f t="shared" si="0"/>
        <v>COMMENT ON COLUMN cop_svc_link_history.ifdb_proc_type IS 'ifdb_proc_type';</v>
      </c>
      <c r="S10" s="30" t="s">
        <v>3680</v>
      </c>
    </row>
    <row r="11" spans="1:19" ht="18.75">
      <c r="A11" s="11"/>
      <c r="B11" s="11">
        <v>3</v>
      </c>
      <c r="C11" s="11" t="s">
        <v>3636</v>
      </c>
      <c r="D11" s="11" t="s">
        <v>3637</v>
      </c>
      <c r="E11" s="11" t="s">
        <v>66</v>
      </c>
      <c r="F11" s="11">
        <v>40</v>
      </c>
      <c r="G11" s="10" t="s">
        <v>3523</v>
      </c>
      <c r="H11" s="11" t="s">
        <v>3638</v>
      </c>
      <c r="I11" s="5"/>
      <c r="J11" s="11" t="s">
        <v>3530</v>
      </c>
      <c r="K11" s="11"/>
      <c r="L11" t="str">
        <f t="shared" si="1"/>
        <v>service_id</v>
      </c>
      <c r="M11" t="str">
        <f t="shared" si="2"/>
        <v>VARCHAR(40),</v>
      </c>
      <c r="O11" s="38" t="str">
        <f t="shared" si="0"/>
        <v>COMMENT ON COLUMN cop_svc_link_history.service_id IS 'サービスID';</v>
      </c>
      <c r="S11" s="30" t="s">
        <v>3681</v>
      </c>
    </row>
    <row r="12" spans="1:19" ht="19.5">
      <c r="A12" s="13"/>
      <c r="B12" s="13">
        <v>4</v>
      </c>
      <c r="C12" s="13" t="s">
        <v>3682</v>
      </c>
      <c r="D12" s="13" t="s">
        <v>3683</v>
      </c>
      <c r="E12" s="13" t="s">
        <v>66</v>
      </c>
      <c r="F12" s="13">
        <v>40</v>
      </c>
      <c r="G12" s="14" t="s">
        <v>3523</v>
      </c>
      <c r="H12" s="13" t="s">
        <v>3684</v>
      </c>
      <c r="I12" s="8"/>
      <c r="J12" s="13" t="s">
        <v>3530</v>
      </c>
      <c r="K12" s="13"/>
      <c r="L12" t="str">
        <f t="shared" si="1"/>
        <v>bill_group_id</v>
      </c>
      <c r="M12" t="str">
        <f t="shared" si="2"/>
        <v>VARCHAR(40),</v>
      </c>
      <c r="O12" s="38" t="str">
        <f t="shared" si="0"/>
        <v>COMMENT ON COLUMN cop_svc_link_history.bill_group_id IS '請求グループID';</v>
      </c>
      <c r="S12" s="30" t="s">
        <v>3685</v>
      </c>
    </row>
    <row r="13" spans="1:19" ht="19.5">
      <c r="A13" s="11"/>
      <c r="B13" s="11">
        <v>5</v>
      </c>
      <c r="C13" s="11" t="s">
        <v>3686</v>
      </c>
      <c r="D13" s="11" t="s">
        <v>3687</v>
      </c>
      <c r="E13" s="11" t="s">
        <v>66</v>
      </c>
      <c r="F13" s="11">
        <v>4</v>
      </c>
      <c r="G13" s="10" t="s">
        <v>67</v>
      </c>
      <c r="H13" s="11" t="s">
        <v>3688</v>
      </c>
      <c r="I13" s="5" t="s">
        <v>3689</v>
      </c>
      <c r="J13" s="11"/>
      <c r="K13" s="11"/>
      <c r="L13" t="str">
        <f t="shared" si="1"/>
        <v>linkage_type_cde</v>
      </c>
      <c r="M13" t="str">
        <f t="shared" si="2"/>
        <v>VARCHAR(4),</v>
      </c>
      <c r="O13" s="38" t="str">
        <f t="shared" si="0"/>
        <v>COMMENT ON COLUMN cop_svc_link_history.linkage_type_cde IS 'リンケージタイプCDE';</v>
      </c>
      <c r="S13" s="30" t="s">
        <v>3690</v>
      </c>
    </row>
    <row r="14" spans="1:19" ht="19.5">
      <c r="A14" s="13"/>
      <c r="B14" s="13">
        <v>6</v>
      </c>
      <c r="C14" s="13" t="s">
        <v>3640</v>
      </c>
      <c r="D14" s="13" t="s">
        <v>3691</v>
      </c>
      <c r="E14" s="13" t="s">
        <v>66</v>
      </c>
      <c r="F14" s="13">
        <v>16</v>
      </c>
      <c r="G14" s="14" t="s">
        <v>67</v>
      </c>
      <c r="H14" s="13" t="s">
        <v>3534</v>
      </c>
      <c r="I14" s="8"/>
      <c r="J14" s="13"/>
      <c r="K14" s="13"/>
      <c r="L14" t="str">
        <f t="shared" si="1"/>
        <v>effective_dt_from</v>
      </c>
      <c r="M14" t="str">
        <f t="shared" si="2"/>
        <v>VARCHAR(16),</v>
      </c>
      <c r="O14" s="38" t="str">
        <f t="shared" si="0"/>
        <v>COMMENT ON COLUMN cop_svc_link_history.effective_dt_from IS '有効データ転送元';</v>
      </c>
      <c r="S14" s="30" t="s">
        <v>3692</v>
      </c>
    </row>
    <row r="15" spans="1:19" ht="19.5">
      <c r="A15" s="11"/>
      <c r="B15" s="11">
        <v>7</v>
      </c>
      <c r="C15" s="11" t="s">
        <v>3643</v>
      </c>
      <c r="D15" s="11" t="s">
        <v>3693</v>
      </c>
      <c r="E15" s="11" t="s">
        <v>66</v>
      </c>
      <c r="F15" s="11">
        <v>16</v>
      </c>
      <c r="G15" s="10" t="s">
        <v>67</v>
      </c>
      <c r="H15" s="11" t="s">
        <v>3560</v>
      </c>
      <c r="I15" s="5"/>
      <c r="J15" s="11"/>
      <c r="K15" s="11"/>
      <c r="L15" t="str">
        <f t="shared" si="1"/>
        <v>effective_dt_to</v>
      </c>
      <c r="M15" t="str">
        <f t="shared" si="2"/>
        <v>VARCHAR(16),</v>
      </c>
      <c r="O15" s="38" t="str">
        <f t="shared" si="0"/>
        <v>COMMENT ON COLUMN cop_svc_link_history.effective_dt_to IS '有効データ転送先';</v>
      </c>
      <c r="S15" s="30" t="s">
        <v>3694</v>
      </c>
    </row>
    <row r="16" spans="1:19" ht="19.5">
      <c r="A16" s="13"/>
      <c r="B16" s="13">
        <v>8</v>
      </c>
      <c r="C16" s="13" t="s">
        <v>3695</v>
      </c>
      <c r="D16" s="13" t="s">
        <v>3696</v>
      </c>
      <c r="E16" s="13" t="s">
        <v>89</v>
      </c>
      <c r="F16" s="13" t="s">
        <v>3697</v>
      </c>
      <c r="G16" s="14" t="s">
        <v>67</v>
      </c>
      <c r="H16" s="13" t="s">
        <v>16</v>
      </c>
      <c r="I16" s="8"/>
      <c r="J16" s="13" t="s">
        <v>3526</v>
      </c>
      <c r="K16" s="13"/>
      <c r="L16" t="str">
        <f t="shared" si="1"/>
        <v>transaction_nbr</v>
      </c>
      <c r="M16" t="str">
        <f t="shared" si="2"/>
        <v>DECIMAL(15,0),</v>
      </c>
      <c r="O16" s="38" t="str">
        <f t="shared" si="0"/>
        <v>COMMENT ON COLUMN cop_svc_link_history.transaction_nbr IS 'トランザクション番号';</v>
      </c>
      <c r="S16" s="30" t="s">
        <v>3698</v>
      </c>
    </row>
    <row r="17" spans="1:19" ht="19.5">
      <c r="A17" s="11"/>
      <c r="B17" s="11">
        <v>9</v>
      </c>
      <c r="C17" s="11" t="s">
        <v>3632</v>
      </c>
      <c r="D17" s="11" t="s">
        <v>3633</v>
      </c>
      <c r="E17" s="11" t="s">
        <v>66</v>
      </c>
      <c r="F17" s="11">
        <v>16</v>
      </c>
      <c r="G17" s="10" t="s">
        <v>67</v>
      </c>
      <c r="H17" s="11" t="s">
        <v>3634</v>
      </c>
      <c r="I17" s="5"/>
      <c r="J17" s="11"/>
      <c r="K17" s="11"/>
      <c r="L17" t="str">
        <f t="shared" si="1"/>
        <v>created_dt</v>
      </c>
      <c r="M17" t="str">
        <f t="shared" si="2"/>
        <v>VARCHAR(16),</v>
      </c>
      <c r="O17" s="38" t="str">
        <f t="shared" si="0"/>
        <v>COMMENT ON COLUMN cop_svc_link_history.created_dt IS '作成日時';</v>
      </c>
      <c r="S17" s="30" t="s">
        <v>3699</v>
      </c>
    </row>
    <row r="18" spans="1:19" ht="19.5">
      <c r="A18" s="13"/>
      <c r="B18" s="13">
        <v>10</v>
      </c>
      <c r="C18" s="13" t="s">
        <v>3700</v>
      </c>
      <c r="D18" s="13" t="s">
        <v>3701</v>
      </c>
      <c r="E18" s="13" t="s">
        <v>66</v>
      </c>
      <c r="F18" s="13">
        <v>12</v>
      </c>
      <c r="G18" s="14" t="s">
        <v>67</v>
      </c>
      <c r="H18" s="13" t="s">
        <v>3702</v>
      </c>
      <c r="I18" s="8"/>
      <c r="J18" s="13"/>
      <c r="K18" s="13"/>
      <c r="L18" t="str">
        <f t="shared" si="1"/>
        <v>created_tm</v>
      </c>
      <c r="M18" t="str">
        <f t="shared" si="2"/>
        <v>VARCHAR(12),</v>
      </c>
      <c r="O18" s="38" t="str">
        <f t="shared" si="0"/>
        <v>COMMENT ON COLUMN cop_svc_link_history.created_tm IS '作成日時TM';</v>
      </c>
      <c r="S18" s="30" t="s">
        <v>3703</v>
      </c>
    </row>
    <row r="19" spans="1:19" ht="19.5">
      <c r="A19" s="11"/>
      <c r="B19" s="11">
        <v>11</v>
      </c>
      <c r="C19" s="11" t="s">
        <v>3704</v>
      </c>
      <c r="D19" s="11" t="s">
        <v>3705</v>
      </c>
      <c r="E19" s="11" t="s">
        <v>66</v>
      </c>
      <c r="F19" s="11">
        <v>16</v>
      </c>
      <c r="G19" s="10" t="s">
        <v>67</v>
      </c>
      <c r="H19" s="11" t="s">
        <v>3706</v>
      </c>
      <c r="I19" s="5"/>
      <c r="J19" s="11"/>
      <c r="K19" s="11"/>
      <c r="L19" t="str">
        <f t="shared" si="1"/>
        <v>last_updated_dt</v>
      </c>
      <c r="M19" t="str">
        <f t="shared" si="2"/>
        <v>VARCHAR(16),</v>
      </c>
      <c r="O19" s="38" t="str">
        <f t="shared" si="0"/>
        <v>COMMENT ON COLUMN cop_svc_link_history.last_updated_dt IS '最終更新日時TM';</v>
      </c>
      <c r="S19" s="30" t="s">
        <v>3707</v>
      </c>
    </row>
    <row r="20" spans="1:19" ht="19.5">
      <c r="A20" s="13"/>
      <c r="B20" s="13">
        <v>12</v>
      </c>
      <c r="C20" s="13" t="s">
        <v>3708</v>
      </c>
      <c r="D20" s="13" t="s">
        <v>3705</v>
      </c>
      <c r="E20" s="13" t="s">
        <v>66</v>
      </c>
      <c r="F20" s="13">
        <v>12</v>
      </c>
      <c r="G20" s="14" t="s">
        <v>67</v>
      </c>
      <c r="H20" s="13" t="s">
        <v>3709</v>
      </c>
      <c r="I20" s="8"/>
      <c r="J20" s="13"/>
      <c r="K20" s="13"/>
      <c r="L20" t="str">
        <f t="shared" si="1"/>
        <v>last_updated_tm</v>
      </c>
      <c r="M20" t="str">
        <f t="shared" si="2"/>
        <v>VARCHAR(12),</v>
      </c>
      <c r="O20" s="38" t="str">
        <f t="shared" si="0"/>
        <v>COMMENT ON COLUMN cop_svc_link_history.last_updated_tm IS '最終更新日時TM';</v>
      </c>
      <c r="S20" s="30" t="s">
        <v>3710</v>
      </c>
    </row>
    <row r="21" spans="1:19" ht="18.75">
      <c r="A21" s="47"/>
      <c r="B21" s="47">
        <v>13</v>
      </c>
      <c r="C21" s="47" t="s">
        <v>3646</v>
      </c>
      <c r="D21" s="17" t="s">
        <v>3711</v>
      </c>
      <c r="E21" s="47" t="s">
        <v>66</v>
      </c>
      <c r="F21" s="47">
        <v>2</v>
      </c>
      <c r="G21" s="60" t="s">
        <v>67</v>
      </c>
      <c r="H21" s="17" t="s">
        <v>3576</v>
      </c>
      <c r="I21" s="58"/>
      <c r="J21" s="47"/>
      <c r="K21" s="47"/>
      <c r="L21" t="str">
        <f t="shared" si="1"/>
        <v>delete_ind</v>
      </c>
      <c r="M21" t="str">
        <f t="shared" si="2"/>
        <v>VARCHAR(2),</v>
      </c>
      <c r="O21" s="38" t="str">
        <f t="shared" si="0"/>
        <v>COMMENT ON COLUMN cop_svc_link_history.delete_ind IS 'インデックス削除';</v>
      </c>
      <c r="S21" s="30" t="s">
        <v>3712</v>
      </c>
    </row>
    <row r="22" spans="1:19" ht="39">
      <c r="A22" s="48"/>
      <c r="B22" s="48"/>
      <c r="C22" s="48"/>
      <c r="D22" s="20"/>
      <c r="E22" s="48"/>
      <c r="F22" s="48"/>
      <c r="G22" s="61"/>
      <c r="H22" s="20" t="s">
        <v>3579</v>
      </c>
      <c r="I22" s="59"/>
      <c r="J22" s="48"/>
      <c r="K22" s="48"/>
      <c r="L22">
        <f t="shared" si="1"/>
        <v>0</v>
      </c>
      <c r="M22" t="str">
        <f t="shared" si="2"/>
        <v>(),</v>
      </c>
      <c r="O22" s="38" t="str">
        <f t="shared" si="0"/>
        <v>COMMENT ON COLUMN cop_svc_link_history.0 IS '';</v>
      </c>
      <c r="S22" s="30" t="s">
        <v>3713</v>
      </c>
    </row>
    <row r="23" spans="1:19" ht="18.75">
      <c r="A23" s="13"/>
      <c r="B23" s="13">
        <v>14</v>
      </c>
      <c r="C23" s="13" t="s">
        <v>3653</v>
      </c>
      <c r="D23" s="13" t="s">
        <v>3714</v>
      </c>
      <c r="E23" s="13" t="s">
        <v>66</v>
      </c>
      <c r="F23" s="13">
        <v>2</v>
      </c>
      <c r="G23" s="14" t="s">
        <v>67</v>
      </c>
      <c r="H23" s="13" t="s">
        <v>3655</v>
      </c>
      <c r="I23" s="8" t="s">
        <v>3656</v>
      </c>
      <c r="J23" s="13"/>
      <c r="K23" s="13"/>
      <c r="L23" t="str">
        <f t="shared" si="1"/>
        <v>deactivate_ind</v>
      </c>
      <c r="M23" t="str">
        <f t="shared" si="2"/>
        <v>VARCHAR(2),</v>
      </c>
      <c r="O23" s="38" t="str">
        <f t="shared" si="0"/>
        <v>COMMENT ON COLUMN cop_svc_link_history.deactivate_ind IS 'インデックス無効化';</v>
      </c>
      <c r="S23" s="29" t="s">
        <v>3715</v>
      </c>
    </row>
    <row r="24" spans="1:19" ht="18.75">
      <c r="L24" t="str">
        <f>"CONSTRAINT pk_"&amp;L3&amp;" PRIMARY KEY (id));"</f>
        <v>CONSTRAINT pk_cop_svc_link_history PRIMARY KEY (id));</v>
      </c>
      <c r="S24" s="29" t="s">
        <v>3716</v>
      </c>
    </row>
    <row r="25" spans="1:19" ht="18.75">
      <c r="S25" s="29" t="s">
        <v>3717</v>
      </c>
    </row>
    <row r="26" spans="1:19" ht="18.75">
      <c r="S26" s="29" t="s">
        <v>3718</v>
      </c>
    </row>
    <row r="27" spans="1:19" ht="18.75">
      <c r="S27" s="29" t="s">
        <v>3719</v>
      </c>
    </row>
    <row r="28" spans="1:19" ht="18.75">
      <c r="S28" s="29" t="s">
        <v>3720</v>
      </c>
    </row>
    <row r="29" spans="1:19" ht="18.75">
      <c r="S29" s="29" t="s">
        <v>3721</v>
      </c>
    </row>
    <row r="30" spans="1:19" ht="18.75">
      <c r="S30" s="29" t="s">
        <v>3722</v>
      </c>
    </row>
    <row r="31" spans="1:19" ht="18.75">
      <c r="S31" s="29" t="s">
        <v>3723</v>
      </c>
    </row>
    <row r="32" spans="1:19" ht="18.75">
      <c r="S32" s="29" t="s">
        <v>3724</v>
      </c>
    </row>
    <row r="33" spans="19:19" ht="18.75">
      <c r="S33" s="29" t="s">
        <v>3725</v>
      </c>
    </row>
    <row r="34" spans="19:19" ht="18.75">
      <c r="S34" s="29" t="s">
        <v>3726</v>
      </c>
    </row>
    <row r="35" spans="19:19" ht="18.75">
      <c r="S35" s="29" t="s">
        <v>3727</v>
      </c>
    </row>
    <row r="36" spans="19:19" ht="18.75">
      <c r="S36" s="29" t="s">
        <v>3728</v>
      </c>
    </row>
    <row r="37" spans="19:19" ht="18.75">
      <c r="S37" s="29" t="s">
        <v>3729</v>
      </c>
    </row>
    <row r="38" spans="19:19" ht="18.75">
      <c r="S38" s="29" t="s">
        <v>3730</v>
      </c>
    </row>
    <row r="39" spans="19:19" ht="18.75">
      <c r="S39" s="29" t="s">
        <v>3731</v>
      </c>
    </row>
  </sheetData>
  <mergeCells count="11">
    <mergeCell ref="K21:K22"/>
    <mergeCell ref="G4:K4"/>
    <mergeCell ref="G5:K5"/>
    <mergeCell ref="A21:A22"/>
    <mergeCell ref="B21:B22"/>
    <mergeCell ref="C21:C22"/>
    <mergeCell ref="E21:E22"/>
    <mergeCell ref="F21:F22"/>
    <mergeCell ref="G21:G22"/>
    <mergeCell ref="I21:I22"/>
    <mergeCell ref="J21:J22"/>
  </mergeCells>
  <phoneticPr fontId="2"/>
  <hyperlinks>
    <hyperlink ref="I9" r:id="rId1" display="https://tools.l2.dwh.sb-sys.info/userhelp/data/komoku" xr:uid="{A440E542-5519-4073-9A56-12C4936A7843}"/>
    <hyperlink ref="I10" r:id="rId2" location="0008" display="https://tools.l2.dwh.sb-sys.info/userhelp/data/komoku/codereference/asp/codereference_view.asp - 0008" xr:uid="{CD6CDBE8-DE15-4103-98CA-A675BA375182}"/>
    <hyperlink ref="I11" r:id="rId3" display="https://tools.l2.dwh.sb-sys.info/userhelp/data/komoku" xr:uid="{1EDE2C58-D2D3-4FCB-B834-4377CC5604C9}"/>
    <hyperlink ref="I12" r:id="rId4" display="https://tools.l2.dwh.sb-sys.info/userhelp/data/komoku" xr:uid="{4427F84E-5AAA-46FA-8C0D-B2681B1D515C}"/>
    <hyperlink ref="I13" r:id="rId5" location="0009" display="https://tools.l2.dwh.sb-sys.info/userhelp/data/komoku/codereference/asp/omcodereference_view.asp - 0009" xr:uid="{5631C0F5-DFE9-4D1B-ABD4-43BF8B73FED8}"/>
    <hyperlink ref="I14" r:id="rId6" display="https://tools.l2.dwh.sb-sys.info/userhelp/data/komoku" xr:uid="{22421008-8590-4DBB-BD49-485FB1E2AD10}"/>
    <hyperlink ref="I15" r:id="rId7" display="https://tools.l2.dwh.sb-sys.info/userhelp/data/komoku" xr:uid="{E6A96EE6-A37B-42F6-A818-337ECA1078CF}"/>
    <hyperlink ref="I16" r:id="rId8" display="https://tools.l2.dwh.sb-sys.info/userhelp/data/komoku" xr:uid="{287EFBFC-1008-4B5E-A372-6A5C442E207E}"/>
    <hyperlink ref="I17" r:id="rId9" display="https://tools.l2.dwh.sb-sys.info/userhelp/data/komoku" xr:uid="{C2BA286D-A4D0-45BE-B693-4FD6D41B295E}"/>
    <hyperlink ref="I18" r:id="rId10" display="https://tools.l2.dwh.sb-sys.info/userhelp/data/komoku" xr:uid="{64CA92B6-E3C4-4C19-AC6F-C85C3EDD8F01}"/>
    <hyperlink ref="I19" r:id="rId11" display="https://tools.l2.dwh.sb-sys.info/userhelp/data/komoku" xr:uid="{E073C7E2-5272-4E1F-93AC-101F66C4371B}"/>
    <hyperlink ref="I20" r:id="rId12" display="https://tools.l2.dwh.sb-sys.info/userhelp/data/komoku" xr:uid="{18EAE4F9-282A-4AD3-981B-435D534BA1E6}"/>
    <hyperlink ref="I21" r:id="rId13" display="https://tools.l2.dwh.sb-sys.info/userhelp/data/komoku" xr:uid="{6333116A-CADD-497A-AE10-8CB3DA9B90AF}"/>
    <hyperlink ref="I23" r:id="rId14" location="0009" display="https://tools.l2.dwh.sb-sys.info/userhelp/data/komoku/codereference/asp/codereference_view.asp - 0009" xr:uid="{8CCAC845-17A1-43D4-8832-5BFFB38E08B0}"/>
  </hyperlinks>
  <pageMargins left="0.7" right="0.7" top="0.75" bottom="0.75" header="0.3" footer="0.3"/>
  <pageSetup paperSize="9" orientation="portrait" r:id="rId1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83F25-13C2-4280-A8FC-BA975FCA99B0}">
  <sheetPr>
    <tabColor rgb="FF00B050"/>
  </sheetPr>
  <dimension ref="A1:S83"/>
  <sheetViews>
    <sheetView zoomScale="70" zoomScaleNormal="70" workbookViewId="0"/>
  </sheetViews>
  <sheetFormatPr defaultRowHeight="15.75" customHeight="1"/>
  <cols>
    <col min="1" max="1" width="2.75" bestFit="1" customWidth="1"/>
    <col min="2" max="2" width="3.5" bestFit="1" customWidth="1"/>
    <col min="3" max="3" width="15.5" bestFit="1" customWidth="1"/>
    <col min="4" max="4" width="15.5" customWidth="1"/>
    <col min="5" max="5" width="5.75" bestFit="1" customWidth="1"/>
    <col min="6" max="6" width="3" bestFit="1" customWidth="1"/>
    <col min="7" max="7" width="4.5" bestFit="1" customWidth="1"/>
    <col min="8" max="8" width="45.125" bestFit="1" customWidth="1"/>
    <col min="9" max="9" width="30" hidden="1" customWidth="1"/>
    <col min="10" max="10" width="25.75" hidden="1" customWidth="1"/>
    <col min="11" max="11" width="4.5" hidden="1" customWidth="1"/>
    <col min="12" max="12" width="28.125" customWidth="1"/>
    <col min="15" max="15" width="35.625" customWidth="1"/>
  </cols>
  <sheetData>
    <row r="1" spans="1:19"/>
    <row r="2" spans="1:19">
      <c r="G2" s="9" t="s">
        <v>41</v>
      </c>
      <c r="H2" s="9" t="s">
        <v>42</v>
      </c>
      <c r="I2" s="9" t="s">
        <v>43</v>
      </c>
      <c r="J2" s="9" t="s">
        <v>44</v>
      </c>
      <c r="K2" s="9" t="s">
        <v>45</v>
      </c>
    </row>
    <row r="3" spans="1:19">
      <c r="G3" s="10" t="s">
        <v>46</v>
      </c>
      <c r="H3" s="11" t="s">
        <v>3732</v>
      </c>
      <c r="I3" s="11" t="s">
        <v>3733</v>
      </c>
      <c r="J3" s="11" t="s">
        <v>3734</v>
      </c>
      <c r="K3" s="11" t="s">
        <v>3518</v>
      </c>
      <c r="L3" t="s">
        <v>3735</v>
      </c>
    </row>
    <row r="4" spans="1:19">
      <c r="G4" s="62" t="s">
        <v>51</v>
      </c>
      <c r="H4" s="63"/>
      <c r="I4" s="63"/>
      <c r="J4" s="63"/>
      <c r="K4" s="64"/>
    </row>
    <row r="5" spans="1:19">
      <c r="G5" s="65" t="s">
        <v>3736</v>
      </c>
      <c r="H5" s="66"/>
      <c r="I5" s="66"/>
      <c r="J5" s="66"/>
      <c r="K5" s="67"/>
    </row>
    <row r="6" spans="1:19">
      <c r="L6" t="str">
        <f>"DROP TABLE IF EXISTS "&amp;L3&amp;" CASCADE;"</f>
        <v>DROP TABLE IF EXISTS cop_sales_history CASCADE;</v>
      </c>
      <c r="S6" s="33" t="s">
        <v>3737</v>
      </c>
    </row>
    <row r="7" spans="1:19">
      <c r="L7" t="str">
        <f>"CREATE TABLE IF NOT EXISTS "&amp;L3&amp;" ("</f>
        <v>CREATE TABLE IF NOT EXISTS cop_sales_history (</v>
      </c>
      <c r="O7" s="40" t="str">
        <f>"COMMENT ON TABLE "&amp;L3&amp;" IS '"&amp;H3&amp;"';"</f>
        <v>COMMENT ON TABLE cop_sales_history IS 'b_cop_販売履歴';</v>
      </c>
      <c r="S7" s="33" t="s">
        <v>3738</v>
      </c>
    </row>
    <row r="8" spans="1:19">
      <c r="A8" s="12" t="s">
        <v>54</v>
      </c>
      <c r="B8" s="12" t="s">
        <v>55</v>
      </c>
      <c r="C8" s="12" t="s">
        <v>56</v>
      </c>
      <c r="D8" s="12"/>
      <c r="E8" s="12" t="s">
        <v>57</v>
      </c>
      <c r="F8" s="12" t="s">
        <v>58</v>
      </c>
      <c r="G8" s="12" t="s">
        <v>59</v>
      </c>
      <c r="H8" s="12" t="s">
        <v>60</v>
      </c>
      <c r="I8" s="12" t="s">
        <v>61</v>
      </c>
      <c r="J8" s="12" t="s">
        <v>62</v>
      </c>
      <c r="K8" s="12" t="s">
        <v>63</v>
      </c>
      <c r="L8" t="s">
        <v>64</v>
      </c>
      <c r="O8" s="38" t="str">
        <f>"COMMENT ON COLUMN "&amp;$L$3&amp;".id IS 'id';"</f>
        <v>COMMENT ON COLUMN cop_sales_history.id IS 'id';</v>
      </c>
      <c r="S8" s="34" t="s">
        <v>65</v>
      </c>
    </row>
    <row r="9" spans="1:19">
      <c r="A9" s="11"/>
      <c r="B9" s="11">
        <v>1</v>
      </c>
      <c r="C9" s="11" t="s">
        <v>3636</v>
      </c>
      <c r="D9" s="11" t="s">
        <v>3637</v>
      </c>
      <c r="E9" s="11" t="s">
        <v>66</v>
      </c>
      <c r="F9" s="11">
        <v>40</v>
      </c>
      <c r="G9" s="10" t="s">
        <v>3523</v>
      </c>
      <c r="H9" s="11" t="s">
        <v>8</v>
      </c>
      <c r="I9" s="5"/>
      <c r="J9" s="11" t="s">
        <v>3530</v>
      </c>
      <c r="K9" s="11"/>
      <c r="L9" t="str">
        <f>C9</f>
        <v>service_id</v>
      </c>
      <c r="M9" t="str">
        <f>E9&amp;"("&amp;F9&amp;"),"</f>
        <v>VARCHAR(40),</v>
      </c>
      <c r="O9" s="38" t="str">
        <f t="shared" ref="O9:O52" si="0">"COMMENT ON COLUMN "&amp;$L$3&amp;"."&amp;$L9&amp;" IS '"&amp;D9&amp;"';"</f>
        <v>COMMENT ON COLUMN cop_sales_history.service_id IS 'サービスID';</v>
      </c>
      <c r="S9" s="34" t="s">
        <v>3639</v>
      </c>
    </row>
    <row r="10" spans="1:19">
      <c r="A10" s="13"/>
      <c r="B10" s="13">
        <v>2</v>
      </c>
      <c r="C10" s="13" t="s">
        <v>3682</v>
      </c>
      <c r="D10" s="13" t="s">
        <v>3739</v>
      </c>
      <c r="E10" s="13" t="s">
        <v>66</v>
      </c>
      <c r="F10" s="13">
        <v>40</v>
      </c>
      <c r="G10" s="14" t="s">
        <v>3523</v>
      </c>
      <c r="H10" s="13" t="s">
        <v>3684</v>
      </c>
      <c r="I10" s="8"/>
      <c r="J10" s="13" t="s">
        <v>3530</v>
      </c>
      <c r="K10" s="13"/>
      <c r="L10" t="str">
        <f t="shared" ref="L10:L52" si="1">C10</f>
        <v>bill_group_id</v>
      </c>
      <c r="M10" t="str">
        <f t="shared" ref="M10:M52" si="2">E10&amp;"("&amp;F10&amp;"),"</f>
        <v>VARCHAR(40),</v>
      </c>
      <c r="O10" s="38" t="str">
        <f t="shared" si="0"/>
        <v>COMMENT ON COLUMN cop_sales_history.bill_group_id IS '請求書グループID';</v>
      </c>
      <c r="S10" s="34" t="s">
        <v>3740</v>
      </c>
    </row>
    <row r="11" spans="1:19">
      <c r="A11" s="11"/>
      <c r="B11" s="11">
        <v>3</v>
      </c>
      <c r="C11" s="11" t="s">
        <v>3630</v>
      </c>
      <c r="D11" s="11" t="s">
        <v>3741</v>
      </c>
      <c r="E11" s="11" t="s">
        <v>66</v>
      </c>
      <c r="F11" s="11">
        <v>40</v>
      </c>
      <c r="G11" s="10" t="s">
        <v>3523</v>
      </c>
      <c r="H11" s="11" t="s">
        <v>14</v>
      </c>
      <c r="I11" s="5"/>
      <c r="J11" s="11" t="s">
        <v>3530</v>
      </c>
      <c r="K11" s="11"/>
      <c r="L11" t="str">
        <f t="shared" si="1"/>
        <v>contractor_id</v>
      </c>
      <c r="M11" t="str">
        <f t="shared" si="2"/>
        <v>VARCHAR(40),</v>
      </c>
      <c r="O11" s="38" t="str">
        <f t="shared" si="0"/>
        <v>COMMENT ON COLUMN cop_sales_history.contractor_id IS '契約者ID';</v>
      </c>
      <c r="S11" s="34" t="s">
        <v>3631</v>
      </c>
    </row>
    <row r="12" spans="1:19">
      <c r="A12" s="13"/>
      <c r="B12" s="13">
        <v>4</v>
      </c>
      <c r="C12" s="13" t="s">
        <v>3742</v>
      </c>
      <c r="D12" s="13" t="s">
        <v>3743</v>
      </c>
      <c r="E12" s="13" t="s">
        <v>66</v>
      </c>
      <c r="F12" s="13">
        <v>40</v>
      </c>
      <c r="G12" s="14" t="s">
        <v>67</v>
      </c>
      <c r="H12" s="13" t="s">
        <v>3744</v>
      </c>
      <c r="I12" s="8"/>
      <c r="J12" s="13"/>
      <c r="K12" s="13"/>
      <c r="L12" t="str">
        <f t="shared" si="1"/>
        <v>item_nbr</v>
      </c>
      <c r="M12" t="str">
        <f t="shared" si="2"/>
        <v>VARCHAR(40),</v>
      </c>
      <c r="O12" s="38" t="str">
        <f t="shared" si="0"/>
        <v>COMMENT ON COLUMN cop_sales_history.item_nbr IS '商品番号';</v>
      </c>
      <c r="S12" s="34" t="s">
        <v>3745</v>
      </c>
    </row>
    <row r="13" spans="1:19">
      <c r="A13" s="47"/>
      <c r="B13" s="47">
        <v>5</v>
      </c>
      <c r="C13" s="47" t="s">
        <v>3746</v>
      </c>
      <c r="D13" s="17" t="s">
        <v>3747</v>
      </c>
      <c r="E13" s="47" t="s">
        <v>66</v>
      </c>
      <c r="F13" s="47">
        <v>60</v>
      </c>
      <c r="G13" s="60" t="s">
        <v>67</v>
      </c>
      <c r="H13" s="17" t="s">
        <v>3748</v>
      </c>
      <c r="I13" s="58"/>
      <c r="J13" s="47"/>
      <c r="K13" s="47"/>
      <c r="L13" t="str">
        <f t="shared" si="1"/>
        <v>equipment_serial_nbr</v>
      </c>
      <c r="M13" t="str">
        <f t="shared" si="2"/>
        <v>VARCHAR(60),</v>
      </c>
      <c r="O13" s="38" t="str">
        <f t="shared" si="0"/>
        <v>COMMENT ON COLUMN cop_sales_history.equipment_serial_nbr IS '機器シリアル番号';</v>
      </c>
      <c r="S13" s="34" t="s">
        <v>3749</v>
      </c>
    </row>
    <row r="14" spans="1:19">
      <c r="A14" s="48"/>
      <c r="B14" s="48"/>
      <c r="C14" s="48"/>
      <c r="D14" s="20"/>
      <c r="E14" s="48"/>
      <c r="F14" s="48"/>
      <c r="G14" s="61"/>
      <c r="H14" s="20" t="s">
        <v>3750</v>
      </c>
      <c r="I14" s="59"/>
      <c r="J14" s="48"/>
      <c r="K14" s="48"/>
      <c r="L14">
        <f t="shared" si="1"/>
        <v>0</v>
      </c>
      <c r="M14" t="str">
        <f t="shared" si="2"/>
        <v>(),</v>
      </c>
      <c r="O14" s="38" t="str">
        <f t="shared" si="0"/>
        <v>COMMENT ON COLUMN cop_sales_history.0 IS '';</v>
      </c>
      <c r="S14" s="34" t="s">
        <v>3635</v>
      </c>
    </row>
    <row r="15" spans="1:19">
      <c r="A15" s="13"/>
      <c r="B15" s="13">
        <v>6</v>
      </c>
      <c r="C15" s="13" t="s">
        <v>3632</v>
      </c>
      <c r="D15" s="13" t="s">
        <v>3633</v>
      </c>
      <c r="E15" s="13" t="s">
        <v>66</v>
      </c>
      <c r="F15" s="13">
        <v>16</v>
      </c>
      <c r="G15" s="14" t="s">
        <v>67</v>
      </c>
      <c r="H15" s="13" t="s">
        <v>3634</v>
      </c>
      <c r="I15" s="8"/>
      <c r="J15" s="13"/>
      <c r="K15" s="13"/>
      <c r="L15" t="str">
        <f t="shared" si="1"/>
        <v>created_dt</v>
      </c>
      <c r="M15" t="str">
        <f t="shared" si="2"/>
        <v>VARCHAR(16),</v>
      </c>
      <c r="O15" s="38" t="str">
        <f t="shared" si="0"/>
        <v>COMMENT ON COLUMN cop_sales_history.created_dt IS '作成日時';</v>
      </c>
      <c r="S15" s="34" t="s">
        <v>3751</v>
      </c>
    </row>
    <row r="16" spans="1:19">
      <c r="A16" s="11"/>
      <c r="B16" s="11">
        <v>7</v>
      </c>
      <c r="C16" s="11" t="s">
        <v>3700</v>
      </c>
      <c r="D16" s="11" t="s">
        <v>3752</v>
      </c>
      <c r="E16" s="11" t="s">
        <v>66</v>
      </c>
      <c r="F16" s="11">
        <v>12</v>
      </c>
      <c r="G16" s="10" t="s">
        <v>67</v>
      </c>
      <c r="H16" s="11" t="s">
        <v>3702</v>
      </c>
      <c r="I16" s="5"/>
      <c r="J16" s="11"/>
      <c r="K16" s="11"/>
      <c r="L16" t="str">
        <f t="shared" si="1"/>
        <v>created_tm</v>
      </c>
      <c r="M16" t="str">
        <f t="shared" si="2"/>
        <v>VARCHAR(12),</v>
      </c>
      <c r="O16" s="38" t="str">
        <f t="shared" si="0"/>
        <v>COMMENT ON COLUMN cop_sales_history.created_tm IS '作成日時_tm';</v>
      </c>
      <c r="S16" s="34" t="s">
        <v>3648</v>
      </c>
    </row>
    <row r="17" spans="1:19">
      <c r="A17" s="55"/>
      <c r="B17" s="55">
        <v>8</v>
      </c>
      <c r="C17" s="55" t="s">
        <v>3646</v>
      </c>
      <c r="D17" s="15" t="s">
        <v>3753</v>
      </c>
      <c r="E17" s="55" t="s">
        <v>66</v>
      </c>
      <c r="F17" s="55">
        <v>2</v>
      </c>
      <c r="G17" s="49" t="s">
        <v>67</v>
      </c>
      <c r="H17" s="15" t="s">
        <v>3576</v>
      </c>
      <c r="I17" s="52"/>
      <c r="J17" s="55"/>
      <c r="K17" s="55"/>
      <c r="L17" t="str">
        <f t="shared" si="1"/>
        <v>delete_ind</v>
      </c>
      <c r="M17" t="str">
        <f t="shared" si="2"/>
        <v>VARCHAR(2),</v>
      </c>
      <c r="O17" s="38" t="str">
        <f t="shared" si="0"/>
        <v>COMMENT ON COLUMN cop_sales_history.delete_ind IS '削除_ind';</v>
      </c>
      <c r="S17" s="34" t="s">
        <v>3754</v>
      </c>
    </row>
    <row r="18" spans="1:19">
      <c r="A18" s="57"/>
      <c r="B18" s="57"/>
      <c r="C18" s="57"/>
      <c r="D18" s="16"/>
      <c r="E18" s="57"/>
      <c r="F18" s="57"/>
      <c r="G18" s="51"/>
      <c r="H18" s="16" t="s">
        <v>3579</v>
      </c>
      <c r="I18" s="54"/>
      <c r="J18" s="57"/>
      <c r="K18" s="57"/>
      <c r="L18">
        <f t="shared" si="1"/>
        <v>0</v>
      </c>
      <c r="M18" t="str">
        <f t="shared" si="2"/>
        <v>(),</v>
      </c>
      <c r="O18" s="38" t="str">
        <f t="shared" si="0"/>
        <v>COMMENT ON COLUMN cop_sales_history.0 IS '';</v>
      </c>
      <c r="S18" s="34" t="s">
        <v>3755</v>
      </c>
    </row>
    <row r="19" spans="1:19">
      <c r="A19" s="47"/>
      <c r="B19" s="47">
        <v>9</v>
      </c>
      <c r="C19" s="47" t="s">
        <v>3756</v>
      </c>
      <c r="D19" s="17" t="s">
        <v>3757</v>
      </c>
      <c r="E19" s="47" t="s">
        <v>66</v>
      </c>
      <c r="F19" s="47">
        <v>16</v>
      </c>
      <c r="G19" s="60" t="s">
        <v>67</v>
      </c>
      <c r="H19" s="17" t="s">
        <v>3758</v>
      </c>
      <c r="I19" s="58"/>
      <c r="J19" s="47"/>
      <c r="K19" s="47"/>
      <c r="L19" t="str">
        <f t="shared" si="1"/>
        <v>selling_dt</v>
      </c>
      <c r="M19" t="str">
        <f t="shared" si="2"/>
        <v>VARCHAR(16),</v>
      </c>
      <c r="O19" s="38" t="str">
        <f t="shared" si="0"/>
        <v>COMMENT ON COLUMN cop_sales_history.selling_dt IS '販売日時_tt';</v>
      </c>
      <c r="S19" s="34" t="s">
        <v>3759</v>
      </c>
    </row>
    <row r="20" spans="1:19">
      <c r="A20" s="48"/>
      <c r="B20" s="48"/>
      <c r="C20" s="48"/>
      <c r="D20" s="20"/>
      <c r="E20" s="48"/>
      <c r="F20" s="48"/>
      <c r="G20" s="61"/>
      <c r="H20" s="20" t="s">
        <v>3760</v>
      </c>
      <c r="I20" s="59"/>
      <c r="J20" s="48"/>
      <c r="K20" s="48"/>
      <c r="L20">
        <f t="shared" si="1"/>
        <v>0</v>
      </c>
      <c r="M20" t="str">
        <f t="shared" si="2"/>
        <v>(),</v>
      </c>
      <c r="O20" s="38" t="str">
        <f t="shared" si="0"/>
        <v>COMMENT ON COLUMN cop_sales_history.0 IS '';</v>
      </c>
      <c r="S20" s="34" t="s">
        <v>3761</v>
      </c>
    </row>
    <row r="21" spans="1:19">
      <c r="A21" s="13"/>
      <c r="B21" s="13">
        <v>10</v>
      </c>
      <c r="C21" s="13" t="s">
        <v>3762</v>
      </c>
      <c r="D21" s="13" t="s">
        <v>3763</v>
      </c>
      <c r="E21" s="13" t="s">
        <v>66</v>
      </c>
      <c r="F21" s="13">
        <v>16</v>
      </c>
      <c r="G21" s="14" t="s">
        <v>67</v>
      </c>
      <c r="H21" s="13" t="s">
        <v>3764</v>
      </c>
      <c r="I21" s="8"/>
      <c r="J21" s="13"/>
      <c r="K21" s="13"/>
      <c r="L21" t="str">
        <f t="shared" si="1"/>
        <v>selling_cancel_dt</v>
      </c>
      <c r="M21" t="str">
        <f t="shared" si="2"/>
        <v>VARCHAR(16),</v>
      </c>
      <c r="O21" s="38" t="str">
        <f t="shared" si="0"/>
        <v>COMMENT ON COLUMN cop_sales_history.selling_cancel_dt IS '販売キャンセル日時_tt';</v>
      </c>
      <c r="S21" s="34" t="s">
        <v>3765</v>
      </c>
    </row>
    <row r="22" spans="1:19">
      <c r="A22" s="11"/>
      <c r="B22" s="11">
        <v>11</v>
      </c>
      <c r="C22" s="11" t="s">
        <v>3766</v>
      </c>
      <c r="D22" s="11" t="s">
        <v>3767</v>
      </c>
      <c r="E22" s="11" t="s">
        <v>66</v>
      </c>
      <c r="F22" s="11">
        <v>4</v>
      </c>
      <c r="G22" s="10" t="s">
        <v>67</v>
      </c>
      <c r="H22" s="11" t="s">
        <v>3768</v>
      </c>
      <c r="I22" s="5" t="s">
        <v>3769</v>
      </c>
      <c r="J22" s="11"/>
      <c r="K22" s="11"/>
      <c r="L22" t="str">
        <f t="shared" si="1"/>
        <v>selling_type_cde</v>
      </c>
      <c r="M22" t="str">
        <f t="shared" si="2"/>
        <v>VARCHAR(4),</v>
      </c>
      <c r="O22" s="38" t="str">
        <f t="shared" si="0"/>
        <v>COMMENT ON COLUMN cop_sales_history.selling_type_cde IS '販売タイプ_cde';</v>
      </c>
      <c r="S22" s="34" t="s">
        <v>3770</v>
      </c>
    </row>
    <row r="23" spans="1:19">
      <c r="A23" s="13"/>
      <c r="B23" s="13">
        <v>12</v>
      </c>
      <c r="C23" s="13" t="s">
        <v>3771</v>
      </c>
      <c r="D23" s="13" t="s">
        <v>3772</v>
      </c>
      <c r="E23" s="13" t="s">
        <v>66</v>
      </c>
      <c r="F23" s="13">
        <v>4</v>
      </c>
      <c r="G23" s="14" t="s">
        <v>67</v>
      </c>
      <c r="H23" s="13" t="s">
        <v>3773</v>
      </c>
      <c r="I23" s="8" t="s">
        <v>3774</v>
      </c>
      <c r="J23" s="13"/>
      <c r="K23" s="13"/>
      <c r="L23" t="str">
        <f t="shared" si="1"/>
        <v>selling_reason_cde</v>
      </c>
      <c r="M23" t="str">
        <f t="shared" si="2"/>
        <v>VARCHAR(4),</v>
      </c>
      <c r="O23" s="38" t="str">
        <f t="shared" si="0"/>
        <v>COMMENT ON COLUMN cop_sales_history.selling_reason_cde IS '販売理由_cde';</v>
      </c>
      <c r="S23" s="34" t="s">
        <v>3775</v>
      </c>
    </row>
    <row r="24" spans="1:19">
      <c r="A24" s="11"/>
      <c r="B24" s="11">
        <v>13</v>
      </c>
      <c r="C24" s="11" t="s">
        <v>3776</v>
      </c>
      <c r="D24" s="11" t="s">
        <v>3777</v>
      </c>
      <c r="E24" s="11" t="s">
        <v>66</v>
      </c>
      <c r="F24" s="11">
        <v>4</v>
      </c>
      <c r="G24" s="10" t="s">
        <v>67</v>
      </c>
      <c r="H24" s="11" t="s">
        <v>3778</v>
      </c>
      <c r="I24" s="5" t="s">
        <v>3779</v>
      </c>
      <c r="J24" s="11"/>
      <c r="K24" s="11"/>
      <c r="L24" t="str">
        <f t="shared" si="1"/>
        <v>cancellation_reason_cde</v>
      </c>
      <c r="M24" t="str">
        <f t="shared" si="2"/>
        <v>VARCHAR(4),</v>
      </c>
      <c r="O24" s="38" t="str">
        <f t="shared" si="0"/>
        <v>COMMENT ON COLUMN cop_sales_history.cancellation_reason_cde IS 'キャンセル理由_cde';</v>
      </c>
      <c r="S24" s="34" t="s">
        <v>3780</v>
      </c>
    </row>
    <row r="25" spans="1:19">
      <c r="A25" s="13"/>
      <c r="B25" s="13">
        <v>14</v>
      </c>
      <c r="C25" s="13" t="s">
        <v>3781</v>
      </c>
      <c r="D25" s="13" t="s">
        <v>3782</v>
      </c>
      <c r="E25" s="13" t="s">
        <v>66</v>
      </c>
      <c r="F25" s="13">
        <v>4</v>
      </c>
      <c r="G25" s="14" t="s">
        <v>67</v>
      </c>
      <c r="H25" s="13" t="s">
        <v>3783</v>
      </c>
      <c r="I25" s="8" t="s">
        <v>3784</v>
      </c>
      <c r="J25" s="13"/>
      <c r="K25" s="13"/>
      <c r="L25" t="str">
        <f t="shared" si="1"/>
        <v>selling_status_cde</v>
      </c>
      <c r="M25" t="str">
        <f t="shared" si="2"/>
        <v>VARCHAR(4),</v>
      </c>
      <c r="O25" s="38" t="str">
        <f t="shared" si="0"/>
        <v>COMMENT ON COLUMN cop_sales_history.selling_status_cde IS '販売ステータス_cde';</v>
      </c>
      <c r="S25" s="34" t="s">
        <v>3785</v>
      </c>
    </row>
    <row r="26" spans="1:19">
      <c r="A26" s="11"/>
      <c r="B26" s="11">
        <v>15</v>
      </c>
      <c r="C26" s="11" t="s">
        <v>3786</v>
      </c>
      <c r="D26" s="11" t="s">
        <v>3787</v>
      </c>
      <c r="E26" s="11" t="s">
        <v>66</v>
      </c>
      <c r="F26" s="11">
        <v>40</v>
      </c>
      <c r="G26" s="10" t="s">
        <v>67</v>
      </c>
      <c r="H26" s="11" t="s">
        <v>3788</v>
      </c>
      <c r="I26" s="5"/>
      <c r="J26" s="11"/>
      <c r="K26" s="11"/>
      <c r="L26" t="str">
        <f t="shared" si="1"/>
        <v>svc_org_id</v>
      </c>
      <c r="M26" t="str">
        <f t="shared" si="2"/>
        <v>VARCHAR(40),</v>
      </c>
      <c r="O26" s="38" t="str">
        <f t="shared" si="0"/>
        <v>COMMENT ON COLUMN cop_sales_history.svc_org_id IS 'サービス提供組織ID';</v>
      </c>
      <c r="S26" s="34" t="s">
        <v>3789</v>
      </c>
    </row>
    <row r="27" spans="1:19">
      <c r="A27" s="13"/>
      <c r="B27" s="13">
        <v>16</v>
      </c>
      <c r="C27" s="13" t="s">
        <v>3790</v>
      </c>
      <c r="D27" s="13" t="s">
        <v>3791</v>
      </c>
      <c r="E27" s="13" t="s">
        <v>66</v>
      </c>
      <c r="F27" s="13">
        <v>40</v>
      </c>
      <c r="G27" s="14" t="s">
        <v>67</v>
      </c>
      <c r="H27" s="13" t="s">
        <v>3792</v>
      </c>
      <c r="I27" s="8"/>
      <c r="J27" s="13"/>
      <c r="K27" s="13"/>
      <c r="L27" t="str">
        <f t="shared" si="1"/>
        <v>cancellation_svc_org_id</v>
      </c>
      <c r="M27" t="str">
        <f t="shared" si="2"/>
        <v>VARCHAR(40),</v>
      </c>
      <c r="O27" s="38" t="str">
        <f t="shared" si="0"/>
        <v>COMMENT ON COLUMN cop_sales_history.cancellation_svc_org_id IS 'キャンセルサービス提供組織ID';</v>
      </c>
      <c r="S27" s="34" t="s">
        <v>3793</v>
      </c>
    </row>
    <row r="28" spans="1:19">
      <c r="A28" s="11"/>
      <c r="B28" s="11">
        <v>17</v>
      </c>
      <c r="C28" s="11" t="s">
        <v>3794</v>
      </c>
      <c r="D28" s="11" t="s">
        <v>3795</v>
      </c>
      <c r="E28" s="11" t="s">
        <v>66</v>
      </c>
      <c r="F28" s="11">
        <v>4</v>
      </c>
      <c r="G28" s="10" t="s">
        <v>67</v>
      </c>
      <c r="H28" s="11" t="s">
        <v>3796</v>
      </c>
      <c r="I28" s="5" t="s">
        <v>3797</v>
      </c>
      <c r="J28" s="11"/>
      <c r="K28" s="11"/>
      <c r="L28" t="str">
        <f t="shared" si="1"/>
        <v>selling_method_cde</v>
      </c>
      <c r="M28" t="str">
        <f t="shared" si="2"/>
        <v>VARCHAR(4),</v>
      </c>
      <c r="O28" s="38" t="str">
        <f t="shared" si="0"/>
        <v>COMMENT ON COLUMN cop_sales_history.selling_method_cde IS '販売方法_cde';</v>
      </c>
      <c r="S28" s="34" t="s">
        <v>3649</v>
      </c>
    </row>
    <row r="29" spans="1:19">
      <c r="A29" s="13"/>
      <c r="B29" s="13">
        <v>18</v>
      </c>
      <c r="C29" s="13" t="s">
        <v>3798</v>
      </c>
      <c r="D29" s="13" t="s">
        <v>3799</v>
      </c>
      <c r="E29" s="13" t="s">
        <v>66</v>
      </c>
      <c r="F29" s="13">
        <v>4</v>
      </c>
      <c r="G29" s="14" t="s">
        <v>67</v>
      </c>
      <c r="H29" s="13" t="s">
        <v>3800</v>
      </c>
      <c r="I29" s="8" t="s">
        <v>3801</v>
      </c>
      <c r="J29" s="13"/>
      <c r="K29" s="13"/>
      <c r="L29" t="str">
        <f t="shared" si="1"/>
        <v>battery_pack_stat_cde</v>
      </c>
      <c r="M29" t="str">
        <f t="shared" si="2"/>
        <v>VARCHAR(4),</v>
      </c>
      <c r="O29" s="38" t="str">
        <f t="shared" si="0"/>
        <v>COMMENT ON COLUMN cop_sales_history.battery_pack_stat_cde IS 'バッテリーパックステータス_cde';</v>
      </c>
      <c r="S29" s="34" t="s">
        <v>3802</v>
      </c>
    </row>
    <row r="30" spans="1:19">
      <c r="A30" s="11"/>
      <c r="B30" s="11">
        <v>19</v>
      </c>
      <c r="C30" s="11" t="s">
        <v>3803</v>
      </c>
      <c r="D30" s="11" t="s">
        <v>3804</v>
      </c>
      <c r="E30" s="11" t="s">
        <v>89</v>
      </c>
      <c r="F30" s="11" t="s">
        <v>3805</v>
      </c>
      <c r="G30" s="10" t="s">
        <v>67</v>
      </c>
      <c r="H30" s="11" t="s">
        <v>3806</v>
      </c>
      <c r="I30" s="5"/>
      <c r="J30" s="11" t="s">
        <v>3526</v>
      </c>
      <c r="K30" s="11"/>
      <c r="L30" t="str">
        <f t="shared" si="1"/>
        <v>item_quantity</v>
      </c>
      <c r="M30" t="str">
        <f t="shared" si="2"/>
        <v>DECIMAL(10,0),</v>
      </c>
      <c r="O30" s="38" t="str">
        <f t="shared" si="0"/>
        <v>COMMENT ON COLUMN cop_sales_history.item_quantity IS '商品数量';</v>
      </c>
      <c r="S30" s="34" t="s">
        <v>3807</v>
      </c>
    </row>
    <row r="31" spans="1:19">
      <c r="A31" s="14" t="s">
        <v>3523</v>
      </c>
      <c r="B31" s="13">
        <v>20</v>
      </c>
      <c r="C31" s="13" t="s">
        <v>3650</v>
      </c>
      <c r="D31" s="13" t="s">
        <v>3651</v>
      </c>
      <c r="E31" s="13" t="s">
        <v>89</v>
      </c>
      <c r="F31" s="13" t="s">
        <v>3525</v>
      </c>
      <c r="G31" s="14" t="s">
        <v>67</v>
      </c>
      <c r="H31" s="13" t="s">
        <v>3524</v>
      </c>
      <c r="I31" s="8"/>
      <c r="J31" s="13" t="s">
        <v>3526</v>
      </c>
      <c r="K31" s="13"/>
      <c r="L31" t="str">
        <f t="shared" si="1"/>
        <v>record_sequence_nbr</v>
      </c>
      <c r="M31" t="str">
        <f t="shared" si="2"/>
        <v>DECIMAL(38,0),</v>
      </c>
      <c r="O31" s="38" t="str">
        <f t="shared" si="0"/>
        <v>COMMENT ON COLUMN cop_sales_history.record_sequence_nbr IS 'レコードシーケンス番号';</v>
      </c>
      <c r="S31" s="34" t="s">
        <v>3808</v>
      </c>
    </row>
    <row r="32" spans="1:19">
      <c r="A32" s="11"/>
      <c r="B32" s="11">
        <v>21</v>
      </c>
      <c r="C32" s="11" t="s">
        <v>3809</v>
      </c>
      <c r="D32" s="11" t="s">
        <v>3810</v>
      </c>
      <c r="E32" s="11" t="s">
        <v>66</v>
      </c>
      <c r="F32" s="11">
        <v>16</v>
      </c>
      <c r="G32" s="10" t="s">
        <v>67</v>
      </c>
      <c r="H32" s="11" t="s">
        <v>3811</v>
      </c>
      <c r="I32" s="5"/>
      <c r="J32" s="11"/>
      <c r="K32" s="11"/>
      <c r="L32" t="str">
        <f t="shared" si="1"/>
        <v>battery_pack_request_dt</v>
      </c>
      <c r="M32" t="str">
        <f t="shared" si="2"/>
        <v>VARCHAR(16),</v>
      </c>
      <c r="O32" s="38" t="str">
        <f t="shared" si="0"/>
        <v>COMMENT ON COLUMN cop_sales_history.battery_pack_request_dt IS 'バッテリーパック要求日時';</v>
      </c>
      <c r="S32" s="34" t="s">
        <v>3812</v>
      </c>
    </row>
    <row r="33" spans="1:19">
      <c r="A33" s="13"/>
      <c r="B33" s="13">
        <v>22</v>
      </c>
      <c r="C33" s="13" t="s">
        <v>3813</v>
      </c>
      <c r="D33" s="13" t="s">
        <v>3814</v>
      </c>
      <c r="E33" s="13" t="s">
        <v>66</v>
      </c>
      <c r="F33" s="13">
        <v>4</v>
      </c>
      <c r="G33" s="14" t="s">
        <v>67</v>
      </c>
      <c r="H33" s="13" t="s">
        <v>3815</v>
      </c>
      <c r="I33" s="8" t="s">
        <v>3816</v>
      </c>
      <c r="J33" s="13"/>
      <c r="K33" s="13"/>
      <c r="L33" t="str">
        <f t="shared" si="1"/>
        <v>pymt_method_cde</v>
      </c>
      <c r="M33" t="str">
        <f t="shared" si="2"/>
        <v>VARCHAR(4),</v>
      </c>
      <c r="O33" s="38" t="str">
        <f t="shared" si="0"/>
        <v>COMMENT ON COLUMN cop_sales_history.pymt_method_cde IS '支払い方法 cde';</v>
      </c>
      <c r="S33" s="34" t="s">
        <v>3817</v>
      </c>
    </row>
    <row r="34" spans="1:19">
      <c r="A34" s="11"/>
      <c r="B34" s="11">
        <v>23</v>
      </c>
      <c r="C34" s="11" t="s">
        <v>3818</v>
      </c>
      <c r="D34" s="11" t="s">
        <v>3819</v>
      </c>
      <c r="E34" s="11" t="s">
        <v>66</v>
      </c>
      <c r="F34" s="11">
        <v>16</v>
      </c>
      <c r="G34" s="10" t="s">
        <v>67</v>
      </c>
      <c r="H34" s="11" t="s">
        <v>3820</v>
      </c>
      <c r="I34" s="5"/>
      <c r="J34" s="11"/>
      <c r="K34" s="11"/>
      <c r="L34" t="str">
        <f t="shared" si="1"/>
        <v>repair_acceptance_dt</v>
      </c>
      <c r="M34" t="str">
        <f t="shared" si="2"/>
        <v>VARCHAR(16),</v>
      </c>
      <c r="O34" s="38" t="str">
        <f t="shared" si="0"/>
        <v>COMMENT ON COLUMN cop_sales_history.repair_acceptance_dt IS '修理受付 dt';</v>
      </c>
      <c r="S34" s="34" t="s">
        <v>3821</v>
      </c>
    </row>
    <row r="35" spans="1:19">
      <c r="A35" s="13"/>
      <c r="B35" s="13">
        <v>24</v>
      </c>
      <c r="C35" s="13" t="s">
        <v>3822</v>
      </c>
      <c r="D35" s="13" t="s">
        <v>3823</v>
      </c>
      <c r="E35" s="13" t="s">
        <v>66</v>
      </c>
      <c r="F35" s="13">
        <v>4</v>
      </c>
      <c r="G35" s="14" t="s">
        <v>67</v>
      </c>
      <c r="H35" s="13" t="s">
        <v>3824</v>
      </c>
      <c r="I35" s="8" t="s">
        <v>3825</v>
      </c>
      <c r="J35" s="13"/>
      <c r="K35" s="13"/>
      <c r="L35" t="str">
        <f t="shared" si="1"/>
        <v>replace_reason_cde01</v>
      </c>
      <c r="M35" t="str">
        <f t="shared" si="2"/>
        <v>VARCHAR(4),</v>
      </c>
      <c r="O35" s="38" t="str">
        <f t="shared" si="0"/>
        <v>COMMENT ON COLUMN cop_sales_history.replace_reason_cde01 IS '交換理由 cde01';</v>
      </c>
      <c r="S35" s="34" t="s">
        <v>3826</v>
      </c>
    </row>
    <row r="36" spans="1:19">
      <c r="A36" s="47"/>
      <c r="B36" s="47">
        <v>25</v>
      </c>
      <c r="C36" s="47" t="s">
        <v>3827</v>
      </c>
      <c r="D36" s="17" t="s">
        <v>3828</v>
      </c>
      <c r="E36" s="47" t="s">
        <v>66</v>
      </c>
      <c r="F36" s="47">
        <v>2</v>
      </c>
      <c r="G36" s="60" t="s">
        <v>67</v>
      </c>
      <c r="H36" s="17" t="s">
        <v>3829</v>
      </c>
      <c r="I36" s="58"/>
      <c r="J36" s="47"/>
      <c r="K36" s="47"/>
      <c r="L36" t="str">
        <f t="shared" si="1"/>
        <v>warranty_service_ind01</v>
      </c>
      <c r="M36" t="str">
        <f t="shared" si="2"/>
        <v>VARCHAR(2),</v>
      </c>
      <c r="O36" s="38" t="str">
        <f t="shared" si="0"/>
        <v>COMMENT ON COLUMN cop_sales_history.warranty_service_ind01 IS '保証サービス ind01';</v>
      </c>
      <c r="S36" s="34" t="s">
        <v>3830</v>
      </c>
    </row>
    <row r="37" spans="1:19">
      <c r="A37" s="48"/>
      <c r="B37" s="48"/>
      <c r="C37" s="48"/>
      <c r="D37" s="20"/>
      <c r="E37" s="48"/>
      <c r="F37" s="48"/>
      <c r="G37" s="61"/>
      <c r="H37" s="20" t="s">
        <v>3831</v>
      </c>
      <c r="I37" s="59"/>
      <c r="J37" s="48"/>
      <c r="K37" s="48"/>
      <c r="L37">
        <f t="shared" si="1"/>
        <v>0</v>
      </c>
      <c r="M37" t="str">
        <f t="shared" si="2"/>
        <v>(),</v>
      </c>
      <c r="O37" s="38" t="str">
        <f t="shared" si="0"/>
        <v>COMMENT ON COLUMN cop_sales_history.0 IS '';</v>
      </c>
      <c r="S37" s="34" t="s">
        <v>3832</v>
      </c>
    </row>
    <row r="38" spans="1:19">
      <c r="A38" s="13"/>
      <c r="B38" s="13">
        <v>26</v>
      </c>
      <c r="C38" s="13" t="s">
        <v>3833</v>
      </c>
      <c r="D38" s="13" t="s">
        <v>3834</v>
      </c>
      <c r="E38" s="13" t="s">
        <v>66</v>
      </c>
      <c r="F38" s="13">
        <v>4</v>
      </c>
      <c r="G38" s="14" t="s">
        <v>67</v>
      </c>
      <c r="H38" s="13" t="s">
        <v>3835</v>
      </c>
      <c r="I38" s="8" t="s">
        <v>3825</v>
      </c>
      <c r="J38" s="13"/>
      <c r="K38" s="13"/>
      <c r="L38" t="str">
        <f t="shared" si="1"/>
        <v>replace_reason_cde02</v>
      </c>
      <c r="M38" t="str">
        <f t="shared" si="2"/>
        <v>VARCHAR(4),</v>
      </c>
      <c r="O38" s="38" t="str">
        <f t="shared" si="0"/>
        <v>COMMENT ON COLUMN cop_sales_history.replace_reason_cde02 IS '交換理由 cde02';</v>
      </c>
      <c r="S38" s="34" t="s">
        <v>3836</v>
      </c>
    </row>
    <row r="39" spans="1:19">
      <c r="A39" s="47"/>
      <c r="B39" s="47">
        <v>27</v>
      </c>
      <c r="C39" s="47" t="s">
        <v>3837</v>
      </c>
      <c r="D39" s="17" t="s">
        <v>3838</v>
      </c>
      <c r="E39" s="47" t="s">
        <v>66</v>
      </c>
      <c r="F39" s="47">
        <v>2</v>
      </c>
      <c r="G39" s="60" t="s">
        <v>67</v>
      </c>
      <c r="H39" s="17" t="s">
        <v>3839</v>
      </c>
      <c r="I39" s="58"/>
      <c r="J39" s="47"/>
      <c r="K39" s="47"/>
      <c r="L39" t="str">
        <f t="shared" si="1"/>
        <v>warranty_service_ind02</v>
      </c>
      <c r="M39" t="str">
        <f t="shared" si="2"/>
        <v>VARCHAR(2),</v>
      </c>
      <c r="O39" s="38" t="str">
        <f t="shared" si="0"/>
        <v>COMMENT ON COLUMN cop_sales_history.warranty_service_ind02 IS '保証サービス ind02';</v>
      </c>
      <c r="S39" s="34" t="s">
        <v>3840</v>
      </c>
    </row>
    <row r="40" spans="1:19">
      <c r="A40" s="48"/>
      <c r="B40" s="48"/>
      <c r="C40" s="48"/>
      <c r="D40" s="20"/>
      <c r="E40" s="48"/>
      <c r="F40" s="48"/>
      <c r="G40" s="61"/>
      <c r="H40" s="20" t="s">
        <v>3831</v>
      </c>
      <c r="I40" s="59"/>
      <c r="J40" s="48"/>
      <c r="K40" s="48"/>
      <c r="L40">
        <f t="shared" si="1"/>
        <v>0</v>
      </c>
      <c r="M40" t="str">
        <f t="shared" si="2"/>
        <v>(),</v>
      </c>
      <c r="O40" s="38" t="str">
        <f t="shared" si="0"/>
        <v>COMMENT ON COLUMN cop_sales_history.0 IS '';</v>
      </c>
      <c r="S40" s="34" t="s">
        <v>3841</v>
      </c>
    </row>
    <row r="41" spans="1:19">
      <c r="A41" s="13"/>
      <c r="B41" s="13">
        <v>28</v>
      </c>
      <c r="C41" s="13" t="s">
        <v>3842</v>
      </c>
      <c r="D41" s="13" t="s">
        <v>3843</v>
      </c>
      <c r="E41" s="13" t="s">
        <v>66</v>
      </c>
      <c r="F41" s="13">
        <v>4</v>
      </c>
      <c r="G41" s="14" t="s">
        <v>67</v>
      </c>
      <c r="H41" s="13" t="s">
        <v>3844</v>
      </c>
      <c r="I41" s="8" t="s">
        <v>3825</v>
      </c>
      <c r="J41" s="13"/>
      <c r="K41" s="13"/>
      <c r="L41" t="str">
        <f t="shared" si="1"/>
        <v>replace_reason_cde03</v>
      </c>
      <c r="M41" t="str">
        <f t="shared" si="2"/>
        <v>VARCHAR(4),</v>
      </c>
      <c r="O41" s="38" t="str">
        <f t="shared" si="0"/>
        <v>COMMENT ON COLUMN cop_sales_history.replace_reason_cde03 IS '交換理由 cde03';</v>
      </c>
      <c r="S41" s="34" t="s">
        <v>3845</v>
      </c>
    </row>
    <row r="42" spans="1:19">
      <c r="A42" s="47"/>
      <c r="B42" s="47">
        <v>29</v>
      </c>
      <c r="C42" s="47" t="s">
        <v>3846</v>
      </c>
      <c r="D42" s="17" t="s">
        <v>3847</v>
      </c>
      <c r="E42" s="47" t="s">
        <v>66</v>
      </c>
      <c r="F42" s="47">
        <v>2</v>
      </c>
      <c r="G42" s="60" t="s">
        <v>67</v>
      </c>
      <c r="H42" s="17" t="s">
        <v>3848</v>
      </c>
      <c r="I42" s="58"/>
      <c r="J42" s="47"/>
      <c r="K42" s="47"/>
      <c r="L42" t="str">
        <f t="shared" si="1"/>
        <v>warranty_service_ind03</v>
      </c>
      <c r="M42" t="str">
        <f t="shared" si="2"/>
        <v>VARCHAR(2),</v>
      </c>
      <c r="O42" s="38" t="str">
        <f t="shared" si="0"/>
        <v>COMMENT ON COLUMN cop_sales_history.warranty_service_ind03 IS '保証サービス ind03';</v>
      </c>
      <c r="S42" s="34" t="s">
        <v>3849</v>
      </c>
    </row>
    <row r="43" spans="1:19">
      <c r="A43" s="48"/>
      <c r="B43" s="48"/>
      <c r="C43" s="48"/>
      <c r="D43" s="20"/>
      <c r="E43" s="48"/>
      <c r="F43" s="48"/>
      <c r="G43" s="61"/>
      <c r="H43" s="20" t="s">
        <v>3831</v>
      </c>
      <c r="I43" s="59"/>
      <c r="J43" s="48"/>
      <c r="K43" s="48"/>
      <c r="L43">
        <f t="shared" si="1"/>
        <v>0</v>
      </c>
      <c r="M43" t="str">
        <f t="shared" si="2"/>
        <v>(),</v>
      </c>
      <c r="O43" s="38" t="str">
        <f t="shared" si="0"/>
        <v>COMMENT ON COLUMN cop_sales_history.0 IS '';</v>
      </c>
      <c r="S43" s="34" t="s">
        <v>3850</v>
      </c>
    </row>
    <row r="44" spans="1:19">
      <c r="A44" s="13"/>
      <c r="B44" s="13">
        <v>30</v>
      </c>
      <c r="C44" s="13" t="s">
        <v>3851</v>
      </c>
      <c r="D44" s="13" t="s">
        <v>3852</v>
      </c>
      <c r="E44" s="13" t="s">
        <v>66</v>
      </c>
      <c r="F44" s="13">
        <v>4</v>
      </c>
      <c r="G44" s="14" t="s">
        <v>67</v>
      </c>
      <c r="H44" s="13" t="s">
        <v>3853</v>
      </c>
      <c r="I44" s="8" t="s">
        <v>3825</v>
      </c>
      <c r="J44" s="13"/>
      <c r="K44" s="13"/>
      <c r="L44" t="str">
        <f t="shared" si="1"/>
        <v>replace_reason_cde04</v>
      </c>
      <c r="M44" t="str">
        <f t="shared" si="2"/>
        <v>VARCHAR(4),</v>
      </c>
      <c r="O44" s="38" t="str">
        <f t="shared" si="0"/>
        <v>COMMENT ON COLUMN cop_sales_history.replace_reason_cde04 IS '交換理由 cde04';</v>
      </c>
      <c r="S44" s="34" t="s">
        <v>3854</v>
      </c>
    </row>
    <row r="45" spans="1:19">
      <c r="A45" s="47"/>
      <c r="B45" s="47">
        <v>31</v>
      </c>
      <c r="C45" s="47" t="s">
        <v>3855</v>
      </c>
      <c r="D45" s="17" t="s">
        <v>3856</v>
      </c>
      <c r="E45" s="47" t="s">
        <v>66</v>
      </c>
      <c r="F45" s="47">
        <v>2</v>
      </c>
      <c r="G45" s="60" t="s">
        <v>67</v>
      </c>
      <c r="H45" s="17" t="s">
        <v>3857</v>
      </c>
      <c r="I45" s="58"/>
      <c r="J45" s="47"/>
      <c r="K45" s="47"/>
      <c r="L45" t="str">
        <f t="shared" si="1"/>
        <v>warranty_service_ind04</v>
      </c>
      <c r="M45" t="str">
        <f t="shared" si="2"/>
        <v>VARCHAR(2),</v>
      </c>
      <c r="O45" s="38" t="str">
        <f t="shared" si="0"/>
        <v>COMMENT ON COLUMN cop_sales_history.warranty_service_ind04 IS '保証サービス ind04';</v>
      </c>
      <c r="S45" s="33" t="s">
        <v>3858</v>
      </c>
    </row>
    <row r="46" spans="1:19">
      <c r="A46" s="48"/>
      <c r="B46" s="48"/>
      <c r="C46" s="48"/>
      <c r="D46" s="20"/>
      <c r="E46" s="48"/>
      <c r="F46" s="48"/>
      <c r="G46" s="61"/>
      <c r="H46" s="20" t="s">
        <v>3831</v>
      </c>
      <c r="I46" s="59"/>
      <c r="J46" s="48"/>
      <c r="K46" s="48"/>
      <c r="L46">
        <f t="shared" si="1"/>
        <v>0</v>
      </c>
      <c r="M46" t="str">
        <f t="shared" si="2"/>
        <v>(),</v>
      </c>
      <c r="O46" s="38" t="str">
        <f t="shared" si="0"/>
        <v>COMMENT ON COLUMN cop_sales_history.0 IS '';</v>
      </c>
      <c r="S46" s="33" t="s">
        <v>3859</v>
      </c>
    </row>
    <row r="47" spans="1:19">
      <c r="A47" s="13"/>
      <c r="B47" s="13">
        <v>32</v>
      </c>
      <c r="C47" s="13" t="s">
        <v>3860</v>
      </c>
      <c r="D47" s="13" t="s">
        <v>3861</v>
      </c>
      <c r="E47" s="13" t="s">
        <v>66</v>
      </c>
      <c r="F47" s="13">
        <v>4</v>
      </c>
      <c r="G47" s="14" t="s">
        <v>67</v>
      </c>
      <c r="H47" s="13" t="s">
        <v>3862</v>
      </c>
      <c r="I47" s="8" t="s">
        <v>3825</v>
      </c>
      <c r="J47" s="13"/>
      <c r="K47" s="13"/>
      <c r="L47" t="str">
        <f t="shared" si="1"/>
        <v>replace_reason_cde05</v>
      </c>
      <c r="M47" t="str">
        <f t="shared" si="2"/>
        <v>VARCHAR(4),</v>
      </c>
      <c r="O47" s="38" t="str">
        <f t="shared" si="0"/>
        <v>COMMENT ON COLUMN cop_sales_history.replace_reason_cde05 IS '交換理由 cde05';</v>
      </c>
      <c r="S47" s="33" t="s">
        <v>3863</v>
      </c>
    </row>
    <row r="48" spans="1:19">
      <c r="A48" s="47"/>
      <c r="B48" s="47">
        <v>33</v>
      </c>
      <c r="C48" s="47" t="s">
        <v>3864</v>
      </c>
      <c r="D48" s="17" t="s">
        <v>3865</v>
      </c>
      <c r="E48" s="47" t="s">
        <v>66</v>
      </c>
      <c r="F48" s="47">
        <v>2</v>
      </c>
      <c r="G48" s="60" t="s">
        <v>67</v>
      </c>
      <c r="H48" s="17" t="s">
        <v>3866</v>
      </c>
      <c r="I48" s="58"/>
      <c r="J48" s="47"/>
      <c r="K48" s="47"/>
      <c r="L48" t="str">
        <f t="shared" si="1"/>
        <v>warranty_service_ind05</v>
      </c>
      <c r="M48" t="str">
        <f t="shared" si="2"/>
        <v>VARCHAR(2),</v>
      </c>
      <c r="O48" s="38" t="str">
        <f t="shared" si="0"/>
        <v>COMMENT ON COLUMN cop_sales_history.warranty_service_ind05 IS '保証サービス ind05';</v>
      </c>
      <c r="S48" s="33" t="s">
        <v>3867</v>
      </c>
    </row>
    <row r="49" spans="1:19">
      <c r="A49" s="48"/>
      <c r="B49" s="48"/>
      <c r="C49" s="48"/>
      <c r="D49" s="20"/>
      <c r="E49" s="48"/>
      <c r="F49" s="48"/>
      <c r="G49" s="61"/>
      <c r="H49" s="20" t="s">
        <v>3831</v>
      </c>
      <c r="I49" s="59"/>
      <c r="J49" s="48"/>
      <c r="K49" s="48"/>
      <c r="L49">
        <f t="shared" si="1"/>
        <v>0</v>
      </c>
      <c r="M49" t="str">
        <f t="shared" si="2"/>
        <v>(),</v>
      </c>
      <c r="O49" s="38" t="str">
        <f t="shared" si="0"/>
        <v>COMMENT ON COLUMN cop_sales_history.0 IS '';</v>
      </c>
      <c r="S49" s="33" t="s">
        <v>3868</v>
      </c>
    </row>
    <row r="50" spans="1:19">
      <c r="A50" s="13"/>
      <c r="B50" s="13">
        <v>34</v>
      </c>
      <c r="C50" s="13" t="s">
        <v>3869</v>
      </c>
      <c r="D50" s="13" t="s">
        <v>3870</v>
      </c>
      <c r="E50" s="13" t="s">
        <v>66</v>
      </c>
      <c r="F50" s="13">
        <v>60</v>
      </c>
      <c r="G50" s="14" t="s">
        <v>67</v>
      </c>
      <c r="H50" s="13" t="s">
        <v>3871</v>
      </c>
      <c r="I50" s="8"/>
      <c r="J50" s="13"/>
      <c r="K50" s="13"/>
      <c r="L50" t="str">
        <f t="shared" si="1"/>
        <v>before_equipment_serial_nbr</v>
      </c>
      <c r="M50" t="str">
        <f t="shared" si="2"/>
        <v>VARCHAR(60),</v>
      </c>
      <c r="O50" s="38" t="str">
        <f t="shared" si="0"/>
        <v>COMMENT ON COLUMN cop_sales_history.before_equipment_serial_nbr IS '交換前機器シリアル番号';</v>
      </c>
      <c r="S50" s="33" t="s">
        <v>3872</v>
      </c>
    </row>
    <row r="51" spans="1:19">
      <c r="A51" s="11"/>
      <c r="B51" s="11">
        <v>35</v>
      </c>
      <c r="C51" s="11" t="s">
        <v>3873</v>
      </c>
      <c r="D51" s="11" t="s">
        <v>3874</v>
      </c>
      <c r="E51" s="11" t="s">
        <v>89</v>
      </c>
      <c r="F51" s="11" t="s">
        <v>3525</v>
      </c>
      <c r="G51" s="10" t="s">
        <v>67</v>
      </c>
      <c r="H51" s="11" t="s">
        <v>3875</v>
      </c>
      <c r="I51" s="5"/>
      <c r="J51" s="11" t="s">
        <v>3526</v>
      </c>
      <c r="K51" s="11"/>
      <c r="L51" t="str">
        <f t="shared" si="1"/>
        <v>before_rec_seq_nbr</v>
      </c>
      <c r="M51" t="str">
        <f t="shared" si="2"/>
        <v>DECIMAL(38,0),</v>
      </c>
      <c r="O51" s="38" t="str">
        <f t="shared" si="0"/>
        <v>COMMENT ON COLUMN cop_sales_history.before_rec_seq_nbr IS '交換前受付シーケンス番号';</v>
      </c>
      <c r="S51" s="33" t="s">
        <v>3876</v>
      </c>
    </row>
    <row r="52" spans="1:19">
      <c r="A52" s="13"/>
      <c r="B52" s="13">
        <v>36</v>
      </c>
      <c r="C52" s="13" t="s">
        <v>3877</v>
      </c>
      <c r="D52" s="13" t="s">
        <v>3878</v>
      </c>
      <c r="E52" s="13" t="s">
        <v>66</v>
      </c>
      <c r="F52" s="13">
        <v>4</v>
      </c>
      <c r="G52" s="14" t="s">
        <v>67</v>
      </c>
      <c r="H52" s="13" t="s">
        <v>3879</v>
      </c>
      <c r="I52" s="8" t="s">
        <v>3880</v>
      </c>
      <c r="J52" s="13"/>
      <c r="K52" s="13"/>
      <c r="L52" t="str">
        <f t="shared" si="1"/>
        <v>loaner_status_cde</v>
      </c>
      <c r="M52" t="str">
        <f t="shared" si="2"/>
        <v>VARCHAR(4),</v>
      </c>
      <c r="O52" s="38" t="str">
        <f t="shared" si="0"/>
        <v>COMMENT ON COLUMN cop_sales_history.loaner_status_cde IS '貸出状況 cde';</v>
      </c>
      <c r="S52" s="33" t="s">
        <v>3881</v>
      </c>
    </row>
    <row r="53" spans="1:19">
      <c r="L53" t="str">
        <f>"CONSTRAINT pk_"&amp;L3&amp;" PRIMARY KEY (id));"</f>
        <v>CONSTRAINT pk_cop_sales_history PRIMARY KEY (id));</v>
      </c>
      <c r="S53" s="33" t="s">
        <v>3882</v>
      </c>
    </row>
    <row r="54" spans="1:19">
      <c r="S54" s="33" t="s">
        <v>3883</v>
      </c>
    </row>
    <row r="55" spans="1:19">
      <c r="S55" s="33" t="s">
        <v>3884</v>
      </c>
    </row>
    <row r="56" spans="1:19">
      <c r="S56" s="33" t="s">
        <v>3885</v>
      </c>
    </row>
    <row r="57" spans="1:19">
      <c r="S57" s="33" t="s">
        <v>3886</v>
      </c>
    </row>
    <row r="58" spans="1:19">
      <c r="S58" s="33" t="s">
        <v>3887</v>
      </c>
    </row>
    <row r="59" spans="1:19">
      <c r="S59" s="33" t="s">
        <v>3888</v>
      </c>
    </row>
    <row r="60" spans="1:19">
      <c r="S60" s="33" t="s">
        <v>3889</v>
      </c>
    </row>
    <row r="61" spans="1:19">
      <c r="S61" s="33" t="s">
        <v>3890</v>
      </c>
    </row>
    <row r="62" spans="1:19">
      <c r="S62" s="33" t="s">
        <v>3891</v>
      </c>
    </row>
    <row r="63" spans="1:19">
      <c r="S63" s="33" t="s">
        <v>3892</v>
      </c>
    </row>
    <row r="64" spans="1:19">
      <c r="S64" s="33" t="s">
        <v>3893</v>
      </c>
    </row>
    <row r="65" spans="19:19">
      <c r="S65" s="33" t="s">
        <v>3894</v>
      </c>
    </row>
    <row r="66" spans="19:19">
      <c r="S66" s="33" t="s">
        <v>3895</v>
      </c>
    </row>
    <row r="67" spans="19:19">
      <c r="S67" s="33" t="s">
        <v>3896</v>
      </c>
    </row>
    <row r="68" spans="19:19">
      <c r="S68" s="33" t="s">
        <v>3897</v>
      </c>
    </row>
    <row r="69" spans="19:19">
      <c r="S69" s="33" t="s">
        <v>3898</v>
      </c>
    </row>
    <row r="70" spans="19:19">
      <c r="S70" s="33" t="s">
        <v>3899</v>
      </c>
    </row>
    <row r="71" spans="19:19">
      <c r="S71" s="33" t="s">
        <v>3900</v>
      </c>
    </row>
    <row r="72" spans="19:19">
      <c r="S72" s="33" t="s">
        <v>3901</v>
      </c>
    </row>
    <row r="73" spans="19:19">
      <c r="S73" s="33" t="s">
        <v>3902</v>
      </c>
    </row>
    <row r="74" spans="19:19">
      <c r="S74" s="33" t="s">
        <v>3903</v>
      </c>
    </row>
    <row r="75" spans="19:19">
      <c r="S75" s="33" t="s">
        <v>3904</v>
      </c>
    </row>
    <row r="76" spans="19:19">
      <c r="S76" s="33" t="s">
        <v>3905</v>
      </c>
    </row>
    <row r="77" spans="19:19">
      <c r="S77" s="33" t="s">
        <v>3906</v>
      </c>
    </row>
    <row r="78" spans="19:19">
      <c r="S78" s="33" t="s">
        <v>3907</v>
      </c>
    </row>
    <row r="79" spans="19:19">
      <c r="S79" s="33" t="s">
        <v>3908</v>
      </c>
    </row>
    <row r="80" spans="19:19">
      <c r="S80" s="33" t="s">
        <v>3909</v>
      </c>
    </row>
    <row r="81" spans="19:19">
      <c r="S81" s="33" t="s">
        <v>3910</v>
      </c>
    </row>
    <row r="82" spans="19:19">
      <c r="S82" s="33" t="s">
        <v>3911</v>
      </c>
    </row>
    <row r="83" spans="19:19">
      <c r="S83" s="33" t="s">
        <v>3912</v>
      </c>
    </row>
  </sheetData>
  <mergeCells count="74">
    <mergeCell ref="G4:K4"/>
    <mergeCell ref="G5:K5"/>
    <mergeCell ref="A13:A14"/>
    <mergeCell ref="B13:B14"/>
    <mergeCell ref="C13:C14"/>
    <mergeCell ref="E13:E14"/>
    <mergeCell ref="F13:F14"/>
    <mergeCell ref="G13:G14"/>
    <mergeCell ref="I13:I14"/>
    <mergeCell ref="J13:J14"/>
    <mergeCell ref="K13:K14"/>
    <mergeCell ref="A17:A18"/>
    <mergeCell ref="B17:B18"/>
    <mergeCell ref="C17:C18"/>
    <mergeCell ref="E17:E18"/>
    <mergeCell ref="F17:F18"/>
    <mergeCell ref="K17:K18"/>
    <mergeCell ref="I19:I20"/>
    <mergeCell ref="J19:J20"/>
    <mergeCell ref="K19:K20"/>
    <mergeCell ref="G19:G20"/>
    <mergeCell ref="F36:F37"/>
    <mergeCell ref="G17:G18"/>
    <mergeCell ref="I17:I18"/>
    <mergeCell ref="J17:J18"/>
    <mergeCell ref="J36:J37"/>
    <mergeCell ref="A19:A20"/>
    <mergeCell ref="B19:B20"/>
    <mergeCell ref="C19:C20"/>
    <mergeCell ref="E19:E20"/>
    <mergeCell ref="F19:F20"/>
    <mergeCell ref="K36:K37"/>
    <mergeCell ref="A39:A40"/>
    <mergeCell ref="B39:B40"/>
    <mergeCell ref="C39:C40"/>
    <mergeCell ref="E39:E40"/>
    <mergeCell ref="F39:F40"/>
    <mergeCell ref="G39:G40"/>
    <mergeCell ref="I39:I40"/>
    <mergeCell ref="J39:J40"/>
    <mergeCell ref="K39:K40"/>
    <mergeCell ref="G36:G37"/>
    <mergeCell ref="I36:I37"/>
    <mergeCell ref="A36:A37"/>
    <mergeCell ref="B36:B37"/>
    <mergeCell ref="C36:C37"/>
    <mergeCell ref="E36:E37"/>
    <mergeCell ref="A42:A43"/>
    <mergeCell ref="B42:B43"/>
    <mergeCell ref="C42:C43"/>
    <mergeCell ref="E42:E43"/>
    <mergeCell ref="F42:F43"/>
    <mergeCell ref="G42:G43"/>
    <mergeCell ref="I42:I43"/>
    <mergeCell ref="J42:J43"/>
    <mergeCell ref="K42:K43"/>
    <mergeCell ref="G48:G49"/>
    <mergeCell ref="I48:I49"/>
    <mergeCell ref="G45:G46"/>
    <mergeCell ref="J48:J49"/>
    <mergeCell ref="K48:K49"/>
    <mergeCell ref="I45:I46"/>
    <mergeCell ref="J45:J46"/>
    <mergeCell ref="K45:K46"/>
    <mergeCell ref="A45:A46"/>
    <mergeCell ref="B45:B46"/>
    <mergeCell ref="C45:C46"/>
    <mergeCell ref="E45:E46"/>
    <mergeCell ref="F45:F46"/>
    <mergeCell ref="A48:A49"/>
    <mergeCell ref="B48:B49"/>
    <mergeCell ref="C48:C49"/>
    <mergeCell ref="E48:E49"/>
    <mergeCell ref="F48:F49"/>
  </mergeCells>
  <phoneticPr fontId="2"/>
  <hyperlinks>
    <hyperlink ref="I9" r:id="rId1" display="https://tools.l2.dwh.sb-sys.info/userhelp/data/komoku" xr:uid="{6B50A61C-DBD4-47D4-AB4C-BD3335A6A5F0}"/>
    <hyperlink ref="I10" r:id="rId2" display="https://tools.l2.dwh.sb-sys.info/userhelp/data/komoku" xr:uid="{4CB07E0C-A0A6-4F9D-8332-336D44009A64}"/>
    <hyperlink ref="I11" r:id="rId3" display="https://tools.l2.dwh.sb-sys.info/userhelp/data/komoku" xr:uid="{F7BC65F7-30CE-4204-A7E7-3E83E42259A9}"/>
    <hyperlink ref="I12" r:id="rId4" display="https://tools.l2.dwh.sb-sys.info/userhelp/data/komoku" xr:uid="{48DAB26F-03FF-4096-A866-4C189407B7AF}"/>
    <hyperlink ref="I13" r:id="rId5" display="https://tools.l2.dwh.sb-sys.info/userhelp/data/komoku" xr:uid="{3F9A53F9-3390-42E2-8360-3EBB3925C8FD}"/>
    <hyperlink ref="I15" r:id="rId6" display="https://tools.l2.dwh.sb-sys.info/userhelp/data/komoku" xr:uid="{1F8BDB45-FCCA-4DB6-B9AD-9F163D15870E}"/>
    <hyperlink ref="I16" r:id="rId7" display="https://tools.l2.dwh.sb-sys.info/userhelp/data/komoku" xr:uid="{0087F4B0-7247-427F-8633-C259E8AA6F61}"/>
    <hyperlink ref="I17" r:id="rId8" display="https://tools.l2.dwh.sb-sys.info/userhelp/data/komoku" xr:uid="{70D2E712-D829-4F5F-A32B-C453D002B1C7}"/>
    <hyperlink ref="I19" r:id="rId9" display="https://tools.l2.dwh.sb-sys.info/userhelp/data/komoku" xr:uid="{E6EBB694-6B48-4943-8D0F-7C4FF38BB9AA}"/>
    <hyperlink ref="I21" r:id="rId10" display="https://tools.l2.dwh.sb-sys.info/userhelp/data/komoku" xr:uid="{CF7BB0CF-B3AA-45EB-98F8-D12495B19BC5}"/>
    <hyperlink ref="I22" r:id="rId11" location="0034" display="https://tools.l2.dwh.sb-sys.info/userhelp/data/komoku/codereference/asp/omcodereference_view.asp - 0034" xr:uid="{DFC9CFEE-EB18-4DF7-AC62-20399F9E5B70}"/>
    <hyperlink ref="I23" r:id="rId12" location="0035" display="https://tools.l2.dwh.sb-sys.info/userhelp/data/komoku/codereference/asp/omcodereference_view.asp - 0035" xr:uid="{71CC6165-CA2B-4F13-BA49-A62636E5ECF6}"/>
    <hyperlink ref="I24" r:id="rId13" location="0037" display="https://tools.l2.dwh.sb-sys.info/userhelp/data/komoku/codereference/asp/omcodereference_view.asp - 0037" xr:uid="{895D3B88-6292-4F82-B246-8C6C8D832A85}"/>
    <hyperlink ref="I25" r:id="rId14" location="0036" display="https://tools.l2.dwh.sb-sys.info/userhelp/data/komoku/codereference/asp/omcodereference_view.asp - 0036" xr:uid="{4AB65FB8-59BF-4ECC-9894-891908342E7A}"/>
    <hyperlink ref="I26" r:id="rId15" display="https://tools.l2.dwh.sb-sys.info/userhelp/data/komoku" xr:uid="{D4EF9737-3525-4D87-B31C-E85A1B941E8A}"/>
    <hyperlink ref="I27" r:id="rId16" display="https://tools.l2.dwh.sb-sys.info/userhelp/data/komoku" xr:uid="{36936965-B9F3-4FB3-A4B4-EA8C4F9F3981}"/>
    <hyperlink ref="I28" r:id="rId17" location="0038" display="https://tools.l2.dwh.sb-sys.info/userhelp/data/komoku/codereference/asp/omcodereference_view.asp - 0038" xr:uid="{38689365-5BCD-4203-A6F4-702B839D2C06}"/>
    <hyperlink ref="I29" r:id="rId18" location="0039" display="https://tools.l2.dwh.sb-sys.info/userhelp/data/komoku/codereference/asp/omcodereference_view.asp - 0039" xr:uid="{9F6C750C-071B-4EB5-BE34-70448B1FE2BD}"/>
    <hyperlink ref="I30" r:id="rId19" display="https://tools.l2.dwh.sb-sys.info/userhelp/data/komoku" xr:uid="{094AD502-02F1-4686-9F16-90BB1B61C625}"/>
    <hyperlink ref="I31" r:id="rId20" display="https://tools.l2.dwh.sb-sys.info/userhelp/data/komoku" xr:uid="{DFCD8131-8655-4643-82E1-139DB7726067}"/>
    <hyperlink ref="I32" r:id="rId21" display="https://tools.l2.dwh.sb-sys.info/userhelp/data/komoku" xr:uid="{701651CB-2994-402A-B8AB-21E52F3A808E}"/>
    <hyperlink ref="I33" r:id="rId22" location="0018" display="https://tools.l2.dwh.sb-sys.info/userhelp/data/komoku/codereference/asp/codereference_view.asp - 0018" xr:uid="{1BD03354-55C2-4385-A516-8E1D0DE7CD7D}"/>
    <hyperlink ref="I34" r:id="rId23" display="https://tools.l2.dwh.sb-sys.info/userhelp/data/komoku" xr:uid="{F5466E8D-EEEF-42C6-959D-04F010052437}"/>
    <hyperlink ref="I35" r:id="rId24" location="0076" display="https://tools.l2.dwh.sb-sys.info/userhelp/data/komoku/codereference/asp/omcodereference_view.asp - 0076" xr:uid="{66EF14C6-F113-4357-8BF3-3CFB69BDB55E}"/>
    <hyperlink ref="I36" r:id="rId25" display="https://tools.l2.dwh.sb-sys.info/userhelp/data/komoku" xr:uid="{8E134ACE-EA81-4258-91E4-E1290826EED2}"/>
    <hyperlink ref="I38" r:id="rId26" location="0076" display="https://tools.l2.dwh.sb-sys.info/userhelp/data/komoku/codereference/asp/omcodereference_view.asp - 0076" xr:uid="{1A40162E-99AC-4C7D-AF45-FAD4300FF55F}"/>
    <hyperlink ref="I39" r:id="rId27" display="https://tools.l2.dwh.sb-sys.info/userhelp/data/komoku" xr:uid="{58FB9FBE-BC0A-4E3A-9F86-AD1A9D14880B}"/>
    <hyperlink ref="I41" r:id="rId28" location="0076" display="https://tools.l2.dwh.sb-sys.info/userhelp/data/komoku/codereference/asp/omcodereference_view.asp - 0076" xr:uid="{47F5216D-F41A-4D51-811E-27F8F5E643DB}"/>
    <hyperlink ref="I42" r:id="rId29" display="https://tools.l2.dwh.sb-sys.info/userhelp/data/komoku" xr:uid="{9C01BCE4-DE46-4C95-A01D-BFBD4320D6B0}"/>
    <hyperlink ref="I44" r:id="rId30" location="0076" display="https://tools.l2.dwh.sb-sys.info/userhelp/data/komoku/codereference/asp/omcodereference_view.asp - 0076" xr:uid="{DB7833AB-EEFA-4BCB-A803-AE7CD2228A1E}"/>
    <hyperlink ref="I45" r:id="rId31" display="https://tools.l2.dwh.sb-sys.info/userhelp/data/komoku" xr:uid="{EF500D8A-9198-47C1-9438-5A5EE519FB28}"/>
    <hyperlink ref="I47" r:id="rId32" location="0076" display="https://tools.l2.dwh.sb-sys.info/userhelp/data/komoku/codereference/asp/omcodereference_view.asp - 0076" xr:uid="{F958E4D1-6413-4B00-9B98-8BCDE015A7DF}"/>
    <hyperlink ref="I48" r:id="rId33" display="https://tools.l2.dwh.sb-sys.info/userhelp/data/komoku" xr:uid="{22F5D2B2-D713-4429-BEC0-EFC500F417B7}"/>
    <hyperlink ref="I50" r:id="rId34" display="https://tools.l2.dwh.sb-sys.info/userhelp/data/komoku" xr:uid="{00E42BE9-F9ED-4DAF-B941-B3C3801F76E2}"/>
    <hyperlink ref="I51" r:id="rId35" display="https://tools.l2.dwh.sb-sys.info/userhelp/data/komoku" xr:uid="{B855DAE8-A431-4790-89E4-E7918629D654}"/>
    <hyperlink ref="I52" r:id="rId36" location="0075" display="https://tools.l2.dwh.sb-sys.info/userhelp/data/komoku/codereference/asp/omcodereference_view.asp - 0075" xr:uid="{E1113850-69FE-4D2F-B1B1-EC733971A170}"/>
  </hyperlinks>
  <pageMargins left="0.7" right="0.7" top="0.75" bottom="0.75" header="0.3" footer="0.3"/>
  <pageSetup paperSize="9" orientation="portrait" r:id="rId3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F26EC-C50E-48AB-A3CE-9A229C333B7E}">
  <sheetPr>
    <tabColor rgb="FF00B050"/>
  </sheetPr>
  <dimension ref="A1:S43"/>
  <sheetViews>
    <sheetView zoomScale="70" zoomScaleNormal="70" workbookViewId="0"/>
  </sheetViews>
  <sheetFormatPr defaultRowHeight="15.75" customHeight="1"/>
  <cols>
    <col min="1" max="1" width="2.75" bestFit="1" customWidth="1"/>
    <col min="2" max="2" width="3.5" bestFit="1" customWidth="1"/>
    <col min="3" max="3" width="11.625" bestFit="1" customWidth="1"/>
    <col min="4" max="4" width="5.75" bestFit="1" customWidth="1"/>
    <col min="5" max="5" width="5.75" customWidth="1"/>
    <col min="6" max="6" width="3" bestFit="1" customWidth="1"/>
    <col min="7" max="7" width="4.5" bestFit="1" customWidth="1"/>
    <col min="8" max="8" width="35" bestFit="1" customWidth="1"/>
    <col min="9" max="9" width="30" bestFit="1" customWidth="1"/>
    <col min="10" max="10" width="25.75" bestFit="1" customWidth="1"/>
    <col min="11" max="11" width="4.5" bestFit="1" customWidth="1"/>
    <col min="15" max="15" width="36.625" customWidth="1"/>
  </cols>
  <sheetData>
    <row r="1" spans="1:19" ht="18.75"/>
    <row r="2" spans="1:19" ht="19.5">
      <c r="G2" s="9" t="s">
        <v>41</v>
      </c>
      <c r="H2" s="9" t="s">
        <v>42</v>
      </c>
      <c r="I2" s="9" t="s">
        <v>43</v>
      </c>
      <c r="J2" s="9" t="s">
        <v>44</v>
      </c>
      <c r="K2" s="9" t="s">
        <v>45</v>
      </c>
    </row>
    <row r="3" spans="1:19" ht="19.5">
      <c r="G3" s="10" t="s">
        <v>46</v>
      </c>
      <c r="H3" s="11" t="s">
        <v>3913</v>
      </c>
      <c r="I3" s="11" t="s">
        <v>3914</v>
      </c>
      <c r="J3" s="11" t="s">
        <v>3915</v>
      </c>
      <c r="K3" s="11" t="s">
        <v>3518</v>
      </c>
      <c r="L3" s="18" t="s">
        <v>3916</v>
      </c>
    </row>
    <row r="4" spans="1:19" ht="18.75">
      <c r="G4" s="62" t="s">
        <v>51</v>
      </c>
      <c r="H4" s="63"/>
      <c r="I4" s="63"/>
      <c r="J4" s="63"/>
      <c r="K4" s="64"/>
    </row>
    <row r="5" spans="1:19" ht="18.75">
      <c r="G5" s="65" t="s">
        <v>3917</v>
      </c>
      <c r="H5" s="66"/>
      <c r="I5" s="66"/>
      <c r="J5" s="66"/>
      <c r="K5" s="67"/>
    </row>
    <row r="6" spans="1:19" ht="18.75">
      <c r="L6" t="str">
        <f>"DROP TABLE IF EXISTS "&amp;L3&amp;" CASCADE;"</f>
        <v>DROP TABLE IF EXISTS cop_equipment_allocation CASCADE;</v>
      </c>
      <c r="S6" s="33" t="s">
        <v>3918</v>
      </c>
    </row>
    <row r="7" spans="1:19" ht="18.75">
      <c r="L7" t="str">
        <f>"CREATE TABLE IF NOT EXISTS "&amp;L3&amp;" ("</f>
        <v>CREATE TABLE IF NOT EXISTS cop_equipment_allocation (</v>
      </c>
      <c r="O7" s="40" t="str">
        <f>"COMMENT ON TABLE "&amp;L3&amp;" IS '"&amp;H3&amp;"';"</f>
        <v>COMMENT ON TABLE cop_equipment_allocation IS 'b_cop_機器割当';</v>
      </c>
      <c r="S7" s="33" t="s">
        <v>3919</v>
      </c>
    </row>
    <row r="8" spans="1:19" ht="18.75">
      <c r="A8" s="12" t="s">
        <v>54</v>
      </c>
      <c r="B8" s="12" t="s">
        <v>55</v>
      </c>
      <c r="C8" s="12" t="s">
        <v>56</v>
      </c>
      <c r="D8" s="12" t="s">
        <v>57</v>
      </c>
      <c r="E8" s="12"/>
      <c r="F8" s="12" t="s">
        <v>58</v>
      </c>
      <c r="G8" s="12" t="s">
        <v>59</v>
      </c>
      <c r="H8" s="12" t="s">
        <v>60</v>
      </c>
      <c r="I8" s="12" t="s">
        <v>61</v>
      </c>
      <c r="J8" s="12" t="s">
        <v>62</v>
      </c>
      <c r="K8" s="12" t="s">
        <v>63</v>
      </c>
      <c r="L8" t="s">
        <v>64</v>
      </c>
      <c r="O8" s="38" t="str">
        <f>"COMMENT ON COLUMN "&amp;$L$3&amp;".id IS 'id';"</f>
        <v>COMMENT ON COLUMN cop_equipment_allocation.id IS 'id';</v>
      </c>
      <c r="S8" s="34" t="s">
        <v>65</v>
      </c>
    </row>
    <row r="9" spans="1:19" ht="19.5">
      <c r="A9" s="11"/>
      <c r="B9" s="11">
        <v>1</v>
      </c>
      <c r="C9" s="11" t="s">
        <v>3677</v>
      </c>
      <c r="D9" s="11" t="s">
        <v>66</v>
      </c>
      <c r="E9" s="11" t="s">
        <v>3920</v>
      </c>
      <c r="F9" s="11">
        <v>2</v>
      </c>
      <c r="G9" s="10" t="s">
        <v>67</v>
      </c>
      <c r="H9" s="11" t="s">
        <v>3678</v>
      </c>
      <c r="I9" s="5" t="s">
        <v>3679</v>
      </c>
      <c r="J9" s="11"/>
      <c r="K9" s="11"/>
      <c r="L9" t="str">
        <f>C9</f>
        <v>ifdb_proc_type</v>
      </c>
      <c r="M9" t="str">
        <f t="shared" ref="M9:M26" si="0">D9&amp;"("&amp;F9&amp;"),"</f>
        <v>VARCHAR(2),</v>
      </c>
      <c r="O9" s="38" t="str">
        <f t="shared" ref="O9:O26" si="1">"COMMENT ON COLUMN "&amp;$L$3&amp;"."&amp;$L9&amp;" IS '"&amp;E9&amp;"';"</f>
        <v>COMMENT ON COLUMN cop_equipment_allocation.ifdb_proc_type IS 'ifdb プロセスタイプ';</v>
      </c>
      <c r="S9" s="34" t="s">
        <v>3921</v>
      </c>
    </row>
    <row r="10" spans="1:19" ht="18.75">
      <c r="A10" s="13"/>
      <c r="B10" s="13">
        <v>2</v>
      </c>
      <c r="C10" s="13" t="s">
        <v>3636</v>
      </c>
      <c r="D10" s="13" t="s">
        <v>66</v>
      </c>
      <c r="E10" s="13" t="s">
        <v>3637</v>
      </c>
      <c r="F10" s="13">
        <v>40</v>
      </c>
      <c r="G10" s="14" t="s">
        <v>3523</v>
      </c>
      <c r="H10" s="13" t="s">
        <v>3638</v>
      </c>
      <c r="I10" s="8"/>
      <c r="J10" s="13" t="s">
        <v>3530</v>
      </c>
      <c r="K10" s="13"/>
      <c r="L10" t="str">
        <f t="shared" ref="L10:L26" si="2">C10</f>
        <v>service_id</v>
      </c>
      <c r="M10" t="str">
        <f t="shared" si="0"/>
        <v>VARCHAR(40),</v>
      </c>
      <c r="O10" s="38" t="str">
        <f t="shared" si="1"/>
        <v>COMMENT ON COLUMN cop_equipment_allocation.service_id IS 'サービスID';</v>
      </c>
      <c r="S10" s="34" t="s">
        <v>3639</v>
      </c>
    </row>
    <row r="11" spans="1:19" ht="19.5">
      <c r="A11" s="11"/>
      <c r="B11" s="11">
        <v>3</v>
      </c>
      <c r="C11" s="11" t="s">
        <v>3922</v>
      </c>
      <c r="D11" s="11" t="s">
        <v>66</v>
      </c>
      <c r="E11" s="11" t="s">
        <v>3923</v>
      </c>
      <c r="F11" s="11">
        <v>4</v>
      </c>
      <c r="G11" s="10" t="s">
        <v>67</v>
      </c>
      <c r="H11" s="11" t="s">
        <v>3924</v>
      </c>
      <c r="I11" s="5" t="s">
        <v>3925</v>
      </c>
      <c r="J11" s="11"/>
      <c r="K11" s="11"/>
      <c r="L11" t="str">
        <f t="shared" si="2"/>
        <v>equipment_type_cde</v>
      </c>
      <c r="M11" t="str">
        <f t="shared" si="0"/>
        <v>VARCHAR(4),</v>
      </c>
      <c r="O11" s="38" t="str">
        <f t="shared" si="1"/>
        <v>COMMENT ON COLUMN cop_equipment_allocation.equipment_type_cde IS '機器タイプ CDE';</v>
      </c>
      <c r="S11" s="34" t="s">
        <v>3926</v>
      </c>
    </row>
    <row r="12" spans="1:19" ht="19.5">
      <c r="A12" s="55"/>
      <c r="B12" s="55">
        <v>4</v>
      </c>
      <c r="C12" s="55" t="s">
        <v>3746</v>
      </c>
      <c r="D12" s="55" t="s">
        <v>66</v>
      </c>
      <c r="E12" s="15" t="s">
        <v>3747</v>
      </c>
      <c r="F12" s="55">
        <v>60</v>
      </c>
      <c r="G12" s="49" t="s">
        <v>67</v>
      </c>
      <c r="H12" s="15" t="s">
        <v>3748</v>
      </c>
      <c r="I12" s="52"/>
      <c r="J12" s="55"/>
      <c r="K12" s="55"/>
      <c r="L12" t="str">
        <f t="shared" si="2"/>
        <v>equipment_serial_nbr</v>
      </c>
      <c r="M12" t="str">
        <f t="shared" si="0"/>
        <v>VARCHAR(60),</v>
      </c>
      <c r="O12" s="38" t="str">
        <f t="shared" si="1"/>
        <v>COMMENT ON COLUMN cop_equipment_allocation.equipment_serial_nbr IS '機器シリアル番号';</v>
      </c>
      <c r="S12" s="34" t="s">
        <v>3749</v>
      </c>
    </row>
    <row r="13" spans="1:19" ht="18.75">
      <c r="A13" s="57"/>
      <c r="B13" s="57"/>
      <c r="C13" s="57"/>
      <c r="D13" s="57"/>
      <c r="E13" s="16"/>
      <c r="F13" s="57"/>
      <c r="G13" s="51"/>
      <c r="H13" s="16" t="s">
        <v>3927</v>
      </c>
      <c r="I13" s="54"/>
      <c r="J13" s="57"/>
      <c r="K13" s="57"/>
      <c r="L13">
        <f t="shared" si="2"/>
        <v>0</v>
      </c>
      <c r="M13" t="str">
        <f t="shared" si="0"/>
        <v>(),</v>
      </c>
      <c r="O13" s="38" t="str">
        <f t="shared" si="1"/>
        <v>COMMENT ON COLUMN cop_equipment_allocation.0 IS '';</v>
      </c>
      <c r="S13" s="34" t="s">
        <v>3642</v>
      </c>
    </row>
    <row r="14" spans="1:19" ht="19.5">
      <c r="A14" s="11"/>
      <c r="B14" s="11">
        <v>5</v>
      </c>
      <c r="C14" s="11" t="s">
        <v>3640</v>
      </c>
      <c r="D14" s="11" t="s">
        <v>66</v>
      </c>
      <c r="E14" s="11" t="s">
        <v>3928</v>
      </c>
      <c r="F14" s="11">
        <v>16</v>
      </c>
      <c r="G14" s="10" t="s">
        <v>67</v>
      </c>
      <c r="H14" s="11" t="s">
        <v>3534</v>
      </c>
      <c r="I14" s="5"/>
      <c r="J14" s="11"/>
      <c r="K14" s="11"/>
      <c r="L14" t="str">
        <f t="shared" si="2"/>
        <v>effective_dt_from</v>
      </c>
      <c r="M14" t="str">
        <f t="shared" si="0"/>
        <v>VARCHAR(16),</v>
      </c>
      <c r="O14" s="38" t="str">
        <f t="shared" si="1"/>
        <v>COMMENT ON COLUMN cop_equipment_allocation.effective_dt_from IS '有効日付開始';</v>
      </c>
      <c r="S14" s="34" t="s">
        <v>3645</v>
      </c>
    </row>
    <row r="15" spans="1:19" ht="19.5">
      <c r="A15" s="13"/>
      <c r="B15" s="13">
        <v>6</v>
      </c>
      <c r="C15" s="13" t="s">
        <v>3643</v>
      </c>
      <c r="D15" s="13" t="s">
        <v>66</v>
      </c>
      <c r="E15" s="13" t="s">
        <v>3929</v>
      </c>
      <c r="F15" s="13">
        <v>16</v>
      </c>
      <c r="G15" s="14" t="s">
        <v>67</v>
      </c>
      <c r="H15" s="13" t="s">
        <v>3930</v>
      </c>
      <c r="I15" s="8"/>
      <c r="J15" s="13"/>
      <c r="K15" s="13"/>
      <c r="L15" t="str">
        <f t="shared" si="2"/>
        <v>effective_dt_to</v>
      </c>
      <c r="M15" t="str">
        <f t="shared" si="0"/>
        <v>VARCHAR(16),</v>
      </c>
      <c r="O15" s="38" t="str">
        <f t="shared" si="1"/>
        <v>COMMENT ON COLUMN cop_equipment_allocation.effective_dt_to IS '有効日付終了';</v>
      </c>
      <c r="S15" s="34" t="s">
        <v>3649</v>
      </c>
    </row>
    <row r="16" spans="1:19" ht="29.25">
      <c r="A16" s="10" t="s">
        <v>3523</v>
      </c>
      <c r="B16" s="11">
        <v>7</v>
      </c>
      <c r="C16" s="11" t="s">
        <v>3650</v>
      </c>
      <c r="D16" s="11" t="s">
        <v>89</v>
      </c>
      <c r="E16" s="11" t="s">
        <v>3651</v>
      </c>
      <c r="F16" s="11" t="s">
        <v>3525</v>
      </c>
      <c r="G16" s="10" t="s">
        <v>67</v>
      </c>
      <c r="H16" s="11" t="s">
        <v>3524</v>
      </c>
      <c r="I16" s="5"/>
      <c r="J16" s="11" t="s">
        <v>3526</v>
      </c>
      <c r="K16" s="11"/>
      <c r="L16" t="str">
        <f t="shared" si="2"/>
        <v>record_sequence_nbr</v>
      </c>
      <c r="M16" t="str">
        <f t="shared" si="0"/>
        <v>DECIMAL(38,0),</v>
      </c>
      <c r="O16" s="38" t="str">
        <f t="shared" si="1"/>
        <v>COMMENT ON COLUMN cop_equipment_allocation.record_sequence_nbr IS 'レコードシーケンス番号';</v>
      </c>
      <c r="S16" s="34" t="s">
        <v>3931</v>
      </c>
    </row>
    <row r="17" spans="1:19" ht="19.5">
      <c r="A17" s="13"/>
      <c r="B17" s="13">
        <v>8</v>
      </c>
      <c r="C17" s="13" t="s">
        <v>3695</v>
      </c>
      <c r="D17" s="13" t="s">
        <v>89</v>
      </c>
      <c r="E17" s="13" t="s">
        <v>3696</v>
      </c>
      <c r="F17" s="13" t="s">
        <v>3697</v>
      </c>
      <c r="G17" s="14" t="s">
        <v>67</v>
      </c>
      <c r="H17" s="13" t="s">
        <v>3696</v>
      </c>
      <c r="I17" s="8"/>
      <c r="J17" s="13" t="s">
        <v>3526</v>
      </c>
      <c r="K17" s="13"/>
      <c r="L17" t="str">
        <f t="shared" si="2"/>
        <v>transaction_nbr</v>
      </c>
      <c r="M17" t="str">
        <f t="shared" si="0"/>
        <v>DECIMAL(15,0),</v>
      </c>
      <c r="O17" s="38" t="str">
        <f t="shared" si="1"/>
        <v>COMMENT ON COLUMN cop_equipment_allocation.transaction_nbr IS 'トランザクション番号';</v>
      </c>
      <c r="S17" s="34" t="s">
        <v>3635</v>
      </c>
    </row>
    <row r="18" spans="1:19" ht="18.75">
      <c r="A18" s="11"/>
      <c r="B18" s="11">
        <v>9</v>
      </c>
      <c r="C18" s="11" t="s">
        <v>3632</v>
      </c>
      <c r="D18" s="11" t="s">
        <v>66</v>
      </c>
      <c r="E18" s="11" t="s">
        <v>3932</v>
      </c>
      <c r="F18" s="11">
        <v>16</v>
      </c>
      <c r="G18" s="10" t="s">
        <v>67</v>
      </c>
      <c r="H18" s="11" t="s">
        <v>3933</v>
      </c>
      <c r="I18" s="5"/>
      <c r="J18" s="11"/>
      <c r="K18" s="11"/>
      <c r="L18" t="str">
        <f t="shared" si="2"/>
        <v>created_dt</v>
      </c>
      <c r="M18" t="str">
        <f t="shared" si="0"/>
        <v>VARCHAR(16),</v>
      </c>
      <c r="O18" s="38" t="str">
        <f t="shared" si="1"/>
        <v>COMMENT ON COLUMN cop_equipment_allocation.created_dt IS '作成日付';</v>
      </c>
      <c r="S18" s="34" t="s">
        <v>3751</v>
      </c>
    </row>
    <row r="19" spans="1:19" ht="18.75">
      <c r="A19" s="13"/>
      <c r="B19" s="13">
        <v>10</v>
      </c>
      <c r="C19" s="13" t="s">
        <v>3700</v>
      </c>
      <c r="D19" s="13" t="s">
        <v>66</v>
      </c>
      <c r="E19" s="13" t="s">
        <v>3633</v>
      </c>
      <c r="F19" s="13">
        <v>12</v>
      </c>
      <c r="G19" s="14" t="s">
        <v>67</v>
      </c>
      <c r="H19" s="13" t="s">
        <v>3702</v>
      </c>
      <c r="I19" s="8"/>
      <c r="J19" s="13"/>
      <c r="K19" s="13"/>
      <c r="L19" t="str">
        <f t="shared" si="2"/>
        <v>created_tm</v>
      </c>
      <c r="M19" t="str">
        <f t="shared" si="0"/>
        <v>VARCHAR(12),</v>
      </c>
      <c r="O19" s="38" t="str">
        <f t="shared" si="1"/>
        <v>COMMENT ON COLUMN cop_equipment_allocation.created_tm IS '作成日時';</v>
      </c>
      <c r="S19" s="34" t="s">
        <v>3934</v>
      </c>
    </row>
    <row r="20" spans="1:19" ht="19.5">
      <c r="A20" s="11"/>
      <c r="B20" s="11">
        <v>11</v>
      </c>
      <c r="C20" s="11" t="s">
        <v>3704</v>
      </c>
      <c r="D20" s="11" t="s">
        <v>66</v>
      </c>
      <c r="E20" s="11" t="s">
        <v>3935</v>
      </c>
      <c r="F20" s="11">
        <v>16</v>
      </c>
      <c r="G20" s="10" t="s">
        <v>67</v>
      </c>
      <c r="H20" s="11" t="s">
        <v>3936</v>
      </c>
      <c r="I20" s="5"/>
      <c r="J20" s="11"/>
      <c r="K20" s="11"/>
      <c r="L20" t="str">
        <f t="shared" si="2"/>
        <v>last_updated_dt</v>
      </c>
      <c r="M20" t="str">
        <f t="shared" si="0"/>
        <v>VARCHAR(16),</v>
      </c>
      <c r="O20" s="38" t="str">
        <f t="shared" si="1"/>
        <v>COMMENT ON COLUMN cop_equipment_allocation.last_updated_dt IS '最終更新日付';</v>
      </c>
      <c r="S20" s="34" t="s">
        <v>3937</v>
      </c>
    </row>
    <row r="21" spans="1:19" ht="19.5">
      <c r="A21" s="13"/>
      <c r="B21" s="13">
        <v>12</v>
      </c>
      <c r="C21" s="13" t="s">
        <v>3708</v>
      </c>
      <c r="D21" s="13" t="s">
        <v>66</v>
      </c>
      <c r="E21" s="13" t="s">
        <v>3938</v>
      </c>
      <c r="F21" s="13">
        <v>12</v>
      </c>
      <c r="G21" s="14" t="s">
        <v>67</v>
      </c>
      <c r="H21" s="13" t="s">
        <v>3709</v>
      </c>
      <c r="I21" s="8"/>
      <c r="J21" s="13"/>
      <c r="K21" s="13"/>
      <c r="L21" t="str">
        <f t="shared" si="2"/>
        <v>last_updated_tm</v>
      </c>
      <c r="M21" t="str">
        <f t="shared" si="0"/>
        <v>VARCHAR(12),</v>
      </c>
      <c r="O21" s="38" t="str">
        <f t="shared" si="1"/>
        <v>COMMENT ON COLUMN cop_equipment_allocation.last_updated_tm IS '最終更新日時';</v>
      </c>
      <c r="S21" s="34" t="s">
        <v>3648</v>
      </c>
    </row>
    <row r="22" spans="1:19" ht="19.5">
      <c r="A22" s="47"/>
      <c r="B22" s="47">
        <v>13</v>
      </c>
      <c r="C22" s="47" t="s">
        <v>3646</v>
      </c>
      <c r="D22" s="47" t="s">
        <v>66</v>
      </c>
      <c r="E22" s="17" t="s">
        <v>3711</v>
      </c>
      <c r="F22" s="47">
        <v>2</v>
      </c>
      <c r="G22" s="60" t="s">
        <v>67</v>
      </c>
      <c r="H22" s="17" t="s">
        <v>3576</v>
      </c>
      <c r="I22" s="58"/>
      <c r="J22" s="47"/>
      <c r="K22" s="47"/>
      <c r="L22" t="str">
        <f t="shared" si="2"/>
        <v>delete_ind</v>
      </c>
      <c r="M22" t="str">
        <f t="shared" si="0"/>
        <v>VARCHAR(2),</v>
      </c>
      <c r="O22" s="38" t="str">
        <f t="shared" si="1"/>
        <v>COMMENT ON COLUMN cop_equipment_allocation.delete_ind IS 'インデックス削除';</v>
      </c>
      <c r="S22" s="34" t="s">
        <v>3939</v>
      </c>
    </row>
    <row r="23" spans="1:19" ht="18.75">
      <c r="A23" s="48"/>
      <c r="B23" s="48"/>
      <c r="C23" s="48"/>
      <c r="D23" s="48"/>
      <c r="E23" s="20"/>
      <c r="F23" s="48"/>
      <c r="G23" s="61"/>
      <c r="H23" s="20" t="s">
        <v>3579</v>
      </c>
      <c r="I23" s="59"/>
      <c r="J23" s="48"/>
      <c r="K23" s="48"/>
      <c r="L23">
        <f t="shared" si="2"/>
        <v>0</v>
      </c>
      <c r="M23" t="str">
        <f t="shared" si="0"/>
        <v>(),</v>
      </c>
      <c r="O23" s="38" t="str">
        <f t="shared" si="1"/>
        <v>COMMENT ON COLUMN cop_equipment_allocation.0 IS '';</v>
      </c>
      <c r="S23" s="34" t="s">
        <v>3745</v>
      </c>
    </row>
    <row r="24" spans="1:19" ht="18.75">
      <c r="A24" s="13"/>
      <c r="B24" s="13">
        <v>14</v>
      </c>
      <c r="C24" s="13" t="s">
        <v>3940</v>
      </c>
      <c r="D24" s="13" t="s">
        <v>66</v>
      </c>
      <c r="E24" s="13" t="s">
        <v>3941</v>
      </c>
      <c r="F24" s="13">
        <v>30</v>
      </c>
      <c r="G24" s="14" t="s">
        <v>3523</v>
      </c>
      <c r="H24" s="13" t="s">
        <v>3942</v>
      </c>
      <c r="I24" s="8"/>
      <c r="J24" s="13" t="s">
        <v>3530</v>
      </c>
      <c r="K24" s="13"/>
      <c r="L24" t="str">
        <f t="shared" si="2"/>
        <v>imsi_nbr</v>
      </c>
      <c r="M24" t="str">
        <f t="shared" si="0"/>
        <v>VARCHAR(30),</v>
      </c>
      <c r="O24" s="38" t="str">
        <f t="shared" si="1"/>
        <v>COMMENT ON COLUMN cop_equipment_allocation.imsi_nbr IS 'IMSI 番号';</v>
      </c>
      <c r="S24" s="34" t="s">
        <v>3652</v>
      </c>
    </row>
    <row r="25" spans="1:19" ht="19.5">
      <c r="A25" s="11"/>
      <c r="B25" s="11">
        <v>15</v>
      </c>
      <c r="C25" s="11" t="s">
        <v>3943</v>
      </c>
      <c r="D25" s="11" t="s">
        <v>66</v>
      </c>
      <c r="E25" s="11" t="s">
        <v>3744</v>
      </c>
      <c r="F25" s="11">
        <v>40</v>
      </c>
      <c r="G25" s="10" t="s">
        <v>67</v>
      </c>
      <c r="H25" s="11" t="s">
        <v>3744</v>
      </c>
      <c r="I25" s="5"/>
      <c r="J25" s="11"/>
      <c r="K25" s="11"/>
      <c r="L25" t="str">
        <f t="shared" si="2"/>
        <v>item_nbr</v>
      </c>
      <c r="M25" t="str">
        <f t="shared" si="0"/>
        <v>VARCHAR(40),</v>
      </c>
      <c r="O25" s="38" t="str">
        <f t="shared" si="1"/>
        <v>COMMENT ON COLUMN cop_equipment_allocation.item_nbr IS 'アイテム番号';</v>
      </c>
      <c r="S25" s="33" t="s">
        <v>3944</v>
      </c>
    </row>
    <row r="26" spans="1:19" ht="19.5">
      <c r="A26" s="13"/>
      <c r="B26" s="13">
        <v>16</v>
      </c>
      <c r="C26" s="13" t="s">
        <v>3653</v>
      </c>
      <c r="D26" s="13" t="s">
        <v>66</v>
      </c>
      <c r="E26" s="13" t="s">
        <v>3714</v>
      </c>
      <c r="F26" s="13">
        <v>2</v>
      </c>
      <c r="G26" s="14" t="s">
        <v>67</v>
      </c>
      <c r="H26" s="13" t="s">
        <v>3945</v>
      </c>
      <c r="I26" s="8" t="s">
        <v>3656</v>
      </c>
      <c r="J26" s="13"/>
      <c r="K26" s="13"/>
      <c r="L26" t="str">
        <f t="shared" si="2"/>
        <v>deactivate_ind</v>
      </c>
      <c r="M26" t="str">
        <f t="shared" si="0"/>
        <v>VARCHAR(2),</v>
      </c>
      <c r="O26" s="38" t="str">
        <f t="shared" si="1"/>
        <v>COMMENT ON COLUMN cop_equipment_allocation.deactivate_ind IS 'インデックス無効化';</v>
      </c>
      <c r="S26" s="29" t="s">
        <v>3946</v>
      </c>
    </row>
    <row r="27" spans="1:19" ht="18.75">
      <c r="L27" t="str">
        <f>"CONSTRAINT pk_"&amp;L3&amp;" PRIMARY KEY (id));"</f>
        <v>CONSTRAINT pk_cop_equipment_allocation PRIMARY KEY (id));</v>
      </c>
      <c r="S27" s="29" t="s">
        <v>3947</v>
      </c>
    </row>
    <row r="28" spans="1:19" ht="18.75">
      <c r="S28" s="29" t="s">
        <v>3948</v>
      </c>
    </row>
    <row r="29" spans="1:19" ht="18.75">
      <c r="S29" s="29" t="s">
        <v>3949</v>
      </c>
    </row>
    <row r="30" spans="1:19" ht="18.75">
      <c r="S30" s="29" t="s">
        <v>3950</v>
      </c>
    </row>
    <row r="31" spans="1:19" ht="18.75">
      <c r="S31" s="29" t="s">
        <v>3951</v>
      </c>
    </row>
    <row r="32" spans="1:19" ht="18.75">
      <c r="S32" s="29" t="s">
        <v>3952</v>
      </c>
    </row>
    <row r="33" spans="19:19" ht="18.75">
      <c r="S33" s="29" t="s">
        <v>3953</v>
      </c>
    </row>
    <row r="34" spans="19:19" ht="18.75">
      <c r="S34" s="29" t="s">
        <v>3954</v>
      </c>
    </row>
    <row r="35" spans="19:19" ht="18.75">
      <c r="S35" s="29" t="s">
        <v>3955</v>
      </c>
    </row>
    <row r="36" spans="19:19" ht="18.75">
      <c r="S36" s="29" t="s">
        <v>3956</v>
      </c>
    </row>
    <row r="37" spans="19:19" ht="18.75">
      <c r="S37" s="29" t="s">
        <v>3957</v>
      </c>
    </row>
    <row r="38" spans="19:19" ht="18.75">
      <c r="S38" s="29" t="s">
        <v>3958</v>
      </c>
    </row>
    <row r="39" spans="19:19" ht="18.75">
      <c r="S39" s="29" t="s">
        <v>3959</v>
      </c>
    </row>
    <row r="40" spans="19:19" ht="18.75">
      <c r="S40" s="29" t="s">
        <v>3960</v>
      </c>
    </row>
    <row r="41" spans="19:19" ht="18.75">
      <c r="S41" s="29" t="s">
        <v>3961</v>
      </c>
    </row>
    <row r="42" spans="19:19" ht="18.75">
      <c r="S42" s="29" t="s">
        <v>3962</v>
      </c>
    </row>
    <row r="43" spans="19:19" ht="18.75">
      <c r="S43" s="29" t="s">
        <v>3963</v>
      </c>
    </row>
  </sheetData>
  <mergeCells count="20">
    <mergeCell ref="G4:K4"/>
    <mergeCell ref="G5:K5"/>
    <mergeCell ref="A12:A13"/>
    <mergeCell ref="B12:B13"/>
    <mergeCell ref="C12:C13"/>
    <mergeCell ref="D12:D13"/>
    <mergeCell ref="F12:F13"/>
    <mergeCell ref="G12:G13"/>
    <mergeCell ref="I12:I13"/>
    <mergeCell ref="J12:J13"/>
    <mergeCell ref="K12:K13"/>
    <mergeCell ref="G22:G23"/>
    <mergeCell ref="I22:I23"/>
    <mergeCell ref="J22:J23"/>
    <mergeCell ref="K22:K23"/>
    <mergeCell ref="A22:A23"/>
    <mergeCell ref="B22:B23"/>
    <mergeCell ref="C22:C23"/>
    <mergeCell ref="D22:D23"/>
    <mergeCell ref="F22:F23"/>
  </mergeCells>
  <phoneticPr fontId="2"/>
  <hyperlinks>
    <hyperlink ref="I9" r:id="rId1" location="0008" display="https://tools.l2.dwh.sb-sys.info/userhelp/data/komoku/codereference/asp/codereference_view.asp - 0008" xr:uid="{F2FBBEEE-10B5-44C1-8B36-DE4D5EE1B8E5}"/>
    <hyperlink ref="I10" r:id="rId2" display="https://tools.l2.dwh.sb-sys.info/userhelp/data/komoku" xr:uid="{2A278885-ED2B-48F6-8B24-0C1237BF1CE7}"/>
    <hyperlink ref="I11" r:id="rId3" location="0031" display="https://tools.l2.dwh.sb-sys.info/userhelp/data/komoku/codereference/asp/omcodereference_view.asp - 0031" xr:uid="{CD03D793-8BD8-44AC-9080-A46F6B2731D1}"/>
    <hyperlink ref="I12" r:id="rId4" display="https://tools.l2.dwh.sb-sys.info/userhelp/data/komoku" xr:uid="{B077C196-FC5F-4ECC-B190-BF19796BE3CF}"/>
    <hyperlink ref="I14" r:id="rId5" display="https://tools.l2.dwh.sb-sys.info/userhelp/data/komoku" xr:uid="{9F79E5AB-68ED-46BB-9979-B7F350453055}"/>
    <hyperlink ref="I15" r:id="rId6" display="https://tools.l2.dwh.sb-sys.info/userhelp/data/komoku" xr:uid="{1F1C3C43-B350-4184-B392-152A47C6A7C6}"/>
    <hyperlink ref="I16" r:id="rId7" display="https://tools.l2.dwh.sb-sys.info/userhelp/data/komoku" xr:uid="{60FB075F-61AB-4019-A3E6-64CD385F7825}"/>
    <hyperlink ref="I17" r:id="rId8" display="https://tools.l2.dwh.sb-sys.info/userhelp/data/komoku" xr:uid="{4A00759F-A3E4-4D9B-9AB4-CAB49881C2E0}"/>
    <hyperlink ref="I18" r:id="rId9" display="https://tools.l2.dwh.sb-sys.info/userhelp/data/komoku" xr:uid="{408C31EE-ADAB-49F0-9B59-1FD34C86D634}"/>
    <hyperlink ref="I19" r:id="rId10" display="https://tools.l2.dwh.sb-sys.info/userhelp/data/komoku" xr:uid="{706605B1-F516-4380-9194-06E18E08DFC6}"/>
    <hyperlink ref="I20" r:id="rId11" display="https://tools.l2.dwh.sb-sys.info/userhelp/data/komoku" xr:uid="{93CE119D-191D-47ED-931D-EA332A8D028A}"/>
    <hyperlink ref="I21" r:id="rId12" display="https://tools.l2.dwh.sb-sys.info/userhelp/data/komoku" xr:uid="{CC21CFEC-F0C2-43DB-8B0A-13A1DBAC9A20}"/>
    <hyperlink ref="I22" r:id="rId13" display="https://tools.l2.dwh.sb-sys.info/userhelp/data/komoku" xr:uid="{65AD0DBB-576C-4A1A-81AC-EE1B3CA4192F}"/>
    <hyperlink ref="I24" r:id="rId14" display="https://tools.l2.dwh.sb-sys.info/userhelp/data/komoku" xr:uid="{69ADADEB-01FD-4C24-A003-6DFF0BEB7B07}"/>
    <hyperlink ref="I25" r:id="rId15" display="https://tools.l2.dwh.sb-sys.info/userhelp/data/komoku" xr:uid="{ABE4CEEE-6C2B-4BA2-B7FA-67761EBE9C30}"/>
    <hyperlink ref="I26" r:id="rId16" location="0009" display="https://tools.l2.dwh.sb-sys.info/userhelp/data/komoku/codereference/asp/codereference_view.asp - 0009" xr:uid="{25E823BB-BDBD-41ED-9EC9-D5B23E0E3BDC}"/>
  </hyperlinks>
  <pageMargins left="0.7" right="0.7" top="0.75" bottom="0.75" header="0.3" footer="0.3"/>
  <pageSetup paperSize="9" orientation="portrait" r:id="rId1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0903D-03E7-4F56-A9B2-B480421EF705}">
  <sheetPr>
    <tabColor rgb="FF00B050"/>
  </sheetPr>
  <dimension ref="A1:S58"/>
  <sheetViews>
    <sheetView zoomScale="70" zoomScaleNormal="70" workbookViewId="0"/>
  </sheetViews>
  <sheetFormatPr defaultRowHeight="15.75" customHeight="1"/>
  <cols>
    <col min="1" max="1" width="2.75" bestFit="1" customWidth="1"/>
    <col min="2" max="2" width="3.5" bestFit="1" customWidth="1"/>
    <col min="3" max="3" width="12" bestFit="1" customWidth="1"/>
    <col min="4" max="4" width="12" customWidth="1"/>
    <col min="5" max="5" width="5.75" bestFit="1" customWidth="1"/>
    <col min="6" max="6" width="3" bestFit="1" customWidth="1"/>
    <col min="7" max="7" width="4.5" bestFit="1" customWidth="1"/>
    <col min="8" max="8" width="31.5" bestFit="1" customWidth="1"/>
    <col min="9" max="9" width="30" hidden="1" customWidth="1"/>
    <col min="10" max="10" width="25.75" hidden="1" customWidth="1"/>
    <col min="11" max="11" width="15.875" hidden="1" customWidth="1"/>
    <col min="12" max="12" width="19.75" customWidth="1"/>
  </cols>
  <sheetData>
    <row r="1" spans="1:19" ht="18.75"/>
    <row r="2" spans="1:19" ht="18.75">
      <c r="G2" s="9" t="s">
        <v>41</v>
      </c>
      <c r="H2" s="9" t="s">
        <v>42</v>
      </c>
      <c r="I2" s="9" t="s">
        <v>43</v>
      </c>
      <c r="J2" s="9" t="s">
        <v>44</v>
      </c>
      <c r="K2" s="9" t="s">
        <v>45</v>
      </c>
    </row>
    <row r="3" spans="1:19" ht="18.75">
      <c r="G3" s="10" t="s">
        <v>46</v>
      </c>
      <c r="H3" s="11" t="s">
        <v>3964</v>
      </c>
      <c r="I3" s="11" t="s">
        <v>3965</v>
      </c>
      <c r="J3" s="11" t="s">
        <v>3966</v>
      </c>
      <c r="K3" s="11" t="s">
        <v>3518</v>
      </c>
      <c r="L3" s="18" t="s">
        <v>3967</v>
      </c>
    </row>
    <row r="4" spans="1:19" ht="18.75">
      <c r="G4" s="62" t="s">
        <v>51</v>
      </c>
      <c r="H4" s="63"/>
      <c r="I4" s="63"/>
      <c r="J4" s="63"/>
      <c r="K4" s="64"/>
    </row>
    <row r="5" spans="1:19" ht="18.75">
      <c r="G5" s="71" t="s">
        <v>3968</v>
      </c>
      <c r="H5" s="72"/>
      <c r="I5" s="72"/>
      <c r="J5" s="72"/>
      <c r="K5" s="73"/>
    </row>
    <row r="6" spans="1:19" ht="18.75">
      <c r="G6" s="71" t="s">
        <v>3969</v>
      </c>
      <c r="H6" s="72"/>
      <c r="I6" s="72"/>
      <c r="J6" s="72"/>
      <c r="K6" s="73"/>
    </row>
    <row r="7" spans="1:19" ht="18.75">
      <c r="G7" s="71" t="s">
        <v>3970</v>
      </c>
      <c r="H7" s="72"/>
      <c r="I7" s="72"/>
      <c r="J7" s="72"/>
      <c r="K7" s="73"/>
    </row>
    <row r="8" spans="1:19" ht="18.75">
      <c r="G8" s="74"/>
      <c r="H8" s="75"/>
      <c r="I8" s="75"/>
      <c r="J8" s="75"/>
      <c r="K8" s="76"/>
    </row>
    <row r="9" spans="1:19" ht="18.75">
      <c r="G9" s="71" t="s">
        <v>3971</v>
      </c>
      <c r="H9" s="72"/>
      <c r="I9" s="72"/>
      <c r="J9" s="72"/>
      <c r="K9" s="73"/>
    </row>
    <row r="10" spans="1:19" ht="18.75">
      <c r="G10" s="71" t="s">
        <v>3972</v>
      </c>
      <c r="H10" s="72"/>
      <c r="I10" s="72"/>
      <c r="J10" s="72"/>
      <c r="K10" s="73"/>
    </row>
    <row r="11" spans="1:19" ht="18" customHeight="1">
      <c r="G11" s="71" t="s">
        <v>3973</v>
      </c>
      <c r="H11" s="72"/>
      <c r="I11" s="72"/>
      <c r="J11" s="72"/>
      <c r="K11" s="73"/>
    </row>
    <row r="12" spans="1:19" ht="18" customHeight="1">
      <c r="G12" s="65" t="s">
        <v>3974</v>
      </c>
      <c r="H12" s="66"/>
      <c r="I12" s="66"/>
      <c r="J12" s="66"/>
      <c r="K12" s="67"/>
    </row>
    <row r="13" spans="1:19" ht="18" customHeight="1">
      <c r="L13" t="str">
        <f>"DROP TABLE IF EXISTS "&amp;L3&amp;" CASCADE;"</f>
        <v>DROP TABLE IF EXISTS cop_product CASCADE;</v>
      </c>
      <c r="S13" s="33" t="s">
        <v>3975</v>
      </c>
    </row>
    <row r="14" spans="1:19" ht="18.600000000000001" customHeight="1">
      <c r="L14" t="str">
        <f>"CREATE TABLE IF NOT EXISTS "&amp;L3&amp;" ("</f>
        <v>CREATE TABLE IF NOT EXISTS cop_product (</v>
      </c>
      <c r="O14" s="40" t="str">
        <f>"COMMENT ON TABLE "&amp;L3&amp;" IS '"&amp;H3&amp;"';"</f>
        <v>COMMENT ON TABLE cop_product IS 'b_cop_プロダクト';</v>
      </c>
      <c r="S14" s="33" t="s">
        <v>3976</v>
      </c>
    </row>
    <row r="15" spans="1:19" ht="18.600000000000001" customHeight="1">
      <c r="A15" s="12" t="s">
        <v>54</v>
      </c>
      <c r="B15" s="12" t="s">
        <v>55</v>
      </c>
      <c r="C15" s="12" t="s">
        <v>56</v>
      </c>
      <c r="D15" s="12"/>
      <c r="E15" s="12" t="s">
        <v>57</v>
      </c>
      <c r="F15" s="12" t="s">
        <v>58</v>
      </c>
      <c r="G15" s="12" t="s">
        <v>59</v>
      </c>
      <c r="H15" s="12" t="s">
        <v>60</v>
      </c>
      <c r="I15" s="12" t="s">
        <v>61</v>
      </c>
      <c r="J15" s="12" t="s">
        <v>62</v>
      </c>
      <c r="K15" s="12" t="s">
        <v>63</v>
      </c>
      <c r="L15" t="s">
        <v>64</v>
      </c>
      <c r="O15" s="38" t="str">
        <f>"COMMENT ON COLUMN "&amp;$L$3&amp;".id IS 'id';"</f>
        <v>COMMENT ON COLUMN cop_product.id IS 'id';</v>
      </c>
      <c r="S15" s="34" t="s">
        <v>65</v>
      </c>
    </row>
    <row r="16" spans="1:19" ht="18.600000000000001" customHeight="1">
      <c r="A16" s="10" t="s">
        <v>3523</v>
      </c>
      <c r="B16" s="11">
        <v>1</v>
      </c>
      <c r="C16" s="11" t="s">
        <v>3650</v>
      </c>
      <c r="D16" s="11" t="s">
        <v>3651</v>
      </c>
      <c r="E16" s="11" t="s">
        <v>89</v>
      </c>
      <c r="F16" s="11" t="s">
        <v>3525</v>
      </c>
      <c r="G16" s="10" t="s">
        <v>67</v>
      </c>
      <c r="H16" s="11" t="s">
        <v>3977</v>
      </c>
      <c r="I16" s="5"/>
      <c r="J16" s="11" t="s">
        <v>3526</v>
      </c>
      <c r="K16" s="11"/>
      <c r="L16" t="str">
        <f>C16</f>
        <v>record_sequence_nbr</v>
      </c>
      <c r="M16" t="str">
        <f t="shared" ref="M16:M39" si="0">E16&amp;"("&amp;F16&amp;"),"</f>
        <v>DECIMAL(38,0),</v>
      </c>
      <c r="O16" s="38" t="str">
        <f t="shared" ref="O16:O39" si="1">"COMMENT ON COLUMN "&amp;$L$3&amp;"."&amp;$L16&amp;" IS '"&amp;D16&amp;"';"</f>
        <v>COMMENT ON COLUMN cop_product.record_sequence_nbr IS 'レコードシーケンス番号';</v>
      </c>
      <c r="S16" s="34" t="s">
        <v>3649</v>
      </c>
    </row>
    <row r="17" spans="1:19" ht="18.600000000000001" customHeight="1">
      <c r="A17" s="13"/>
      <c r="B17" s="13">
        <v>2</v>
      </c>
      <c r="C17" s="13" t="s">
        <v>3677</v>
      </c>
      <c r="D17" s="13" t="s">
        <v>3978</v>
      </c>
      <c r="E17" s="13" t="s">
        <v>66</v>
      </c>
      <c r="F17" s="13">
        <v>2</v>
      </c>
      <c r="G17" s="14" t="s">
        <v>67</v>
      </c>
      <c r="H17" s="13" t="s">
        <v>3678</v>
      </c>
      <c r="I17" s="8" t="s">
        <v>3679</v>
      </c>
      <c r="J17" s="13"/>
      <c r="K17" s="13"/>
      <c r="L17" t="str">
        <f t="shared" ref="L17:L39" si="2">C17</f>
        <v>ifdb_proc_type</v>
      </c>
      <c r="M17" t="str">
        <f t="shared" si="0"/>
        <v>VARCHAR(2),</v>
      </c>
      <c r="O17" s="38" t="str">
        <f t="shared" si="1"/>
        <v>COMMENT ON COLUMN cop_product.ifdb_proc_type IS 'ifdb proc タイプ';</v>
      </c>
      <c r="S17" s="34" t="s">
        <v>3921</v>
      </c>
    </row>
    <row r="18" spans="1:19" ht="18.75">
      <c r="A18" s="11"/>
      <c r="B18" s="11">
        <v>3</v>
      </c>
      <c r="C18" s="11" t="s">
        <v>3979</v>
      </c>
      <c r="D18" s="11" t="s">
        <v>3980</v>
      </c>
      <c r="E18" s="11" t="s">
        <v>66</v>
      </c>
      <c r="F18" s="11">
        <v>4</v>
      </c>
      <c r="G18" s="10" t="s">
        <v>67</v>
      </c>
      <c r="H18" s="11" t="s">
        <v>3981</v>
      </c>
      <c r="I18" s="5" t="s">
        <v>3982</v>
      </c>
      <c r="J18" s="11"/>
      <c r="K18" s="11"/>
      <c r="L18" t="str">
        <f t="shared" si="2"/>
        <v>key_type_cde</v>
      </c>
      <c r="M18" t="str">
        <f t="shared" si="0"/>
        <v>VARCHAR(4),</v>
      </c>
      <c r="O18" s="38" t="str">
        <f t="shared" si="1"/>
        <v>COMMENT ON COLUMN cop_product.key_type_cde IS 'キータイプ cde';</v>
      </c>
      <c r="S18" s="34" t="s">
        <v>3983</v>
      </c>
    </row>
    <row r="19" spans="1:19" ht="18.75">
      <c r="A19" s="55"/>
      <c r="B19" s="55">
        <v>4</v>
      </c>
      <c r="C19" s="55" t="s">
        <v>3984</v>
      </c>
      <c r="D19" s="15" t="s">
        <v>3985</v>
      </c>
      <c r="E19" s="55" t="s">
        <v>66</v>
      </c>
      <c r="F19" s="55">
        <v>40</v>
      </c>
      <c r="G19" s="49" t="s">
        <v>3523</v>
      </c>
      <c r="H19" s="15" t="s">
        <v>3986</v>
      </c>
      <c r="I19" s="52"/>
      <c r="J19" s="55" t="s">
        <v>3530</v>
      </c>
      <c r="K19" s="55"/>
      <c r="L19" t="str">
        <f t="shared" si="2"/>
        <v>key_id</v>
      </c>
      <c r="M19" t="str">
        <f t="shared" si="0"/>
        <v>VARCHAR(40),</v>
      </c>
      <c r="O19" s="38" t="str">
        <f t="shared" si="1"/>
        <v>COMMENT ON COLUMN cop_product.key_id IS 'キー ID';</v>
      </c>
      <c r="S19" s="34" t="s">
        <v>3987</v>
      </c>
    </row>
    <row r="20" spans="1:19" ht="18.75">
      <c r="A20" s="57"/>
      <c r="B20" s="57"/>
      <c r="C20" s="57"/>
      <c r="D20" s="16"/>
      <c r="E20" s="57"/>
      <c r="F20" s="57"/>
      <c r="G20" s="51"/>
      <c r="H20" s="16" t="s">
        <v>3988</v>
      </c>
      <c r="I20" s="54"/>
      <c r="J20" s="57"/>
      <c r="K20" s="57"/>
      <c r="L20">
        <f t="shared" si="2"/>
        <v>0</v>
      </c>
      <c r="M20" t="str">
        <f t="shared" si="0"/>
        <v>(),</v>
      </c>
      <c r="O20" s="38" t="str">
        <f t="shared" si="1"/>
        <v>COMMENT ON COLUMN cop_product.0 IS '';</v>
      </c>
      <c r="S20" s="34" t="s">
        <v>3989</v>
      </c>
    </row>
    <row r="21" spans="1:19" ht="18.75">
      <c r="A21" s="47"/>
      <c r="B21" s="47">
        <v>5</v>
      </c>
      <c r="C21" s="47" t="s">
        <v>3990</v>
      </c>
      <c r="D21" s="17" t="s">
        <v>3991</v>
      </c>
      <c r="E21" s="47" t="s">
        <v>66</v>
      </c>
      <c r="F21" s="47">
        <v>40</v>
      </c>
      <c r="G21" s="60" t="s">
        <v>67</v>
      </c>
      <c r="H21" s="17" t="s">
        <v>3992</v>
      </c>
      <c r="I21" s="58"/>
      <c r="J21" s="47"/>
      <c r="K21" s="47" t="s">
        <v>3993</v>
      </c>
      <c r="L21" t="str">
        <f t="shared" si="2"/>
        <v>product_category_cde</v>
      </c>
      <c r="M21" t="str">
        <f t="shared" si="0"/>
        <v>VARCHAR(40),</v>
      </c>
      <c r="O21" s="38" t="str">
        <f t="shared" si="1"/>
        <v>COMMENT ON COLUMN cop_product.product_category_cde IS '製品カテゴリ cde';</v>
      </c>
      <c r="S21" s="34" t="s">
        <v>3994</v>
      </c>
    </row>
    <row r="22" spans="1:19" ht="18.75">
      <c r="A22" s="48"/>
      <c r="B22" s="48"/>
      <c r="C22" s="48"/>
      <c r="D22" s="20"/>
      <c r="E22" s="48"/>
      <c r="F22" s="48"/>
      <c r="G22" s="61"/>
      <c r="H22" s="20" t="s">
        <v>3995</v>
      </c>
      <c r="I22" s="59"/>
      <c r="J22" s="48"/>
      <c r="K22" s="48"/>
      <c r="L22">
        <f t="shared" si="2"/>
        <v>0</v>
      </c>
      <c r="M22" t="str">
        <f t="shared" si="0"/>
        <v>(),</v>
      </c>
      <c r="O22" s="38" t="str">
        <f t="shared" si="1"/>
        <v>COMMENT ON COLUMN cop_product.0 IS '';</v>
      </c>
      <c r="S22" s="34" t="s">
        <v>3642</v>
      </c>
    </row>
    <row r="23" spans="1:19" ht="18.75">
      <c r="A23" s="55"/>
      <c r="B23" s="55">
        <v>6</v>
      </c>
      <c r="C23" s="55" t="s">
        <v>3996</v>
      </c>
      <c r="D23" s="15" t="s">
        <v>3997</v>
      </c>
      <c r="E23" s="55" t="s">
        <v>66</v>
      </c>
      <c r="F23" s="55">
        <v>40</v>
      </c>
      <c r="G23" s="49" t="s">
        <v>67</v>
      </c>
      <c r="H23" s="15" t="s">
        <v>3998</v>
      </c>
      <c r="I23" s="52" t="s">
        <v>3999</v>
      </c>
      <c r="J23" s="55"/>
      <c r="K23" s="55" t="s">
        <v>3993</v>
      </c>
      <c r="L23" t="str">
        <f t="shared" si="2"/>
        <v>product_id</v>
      </c>
      <c r="M23" t="str">
        <f t="shared" si="0"/>
        <v>VARCHAR(40),</v>
      </c>
      <c r="O23" s="38" t="str">
        <f t="shared" si="1"/>
        <v>COMMENT ON COLUMN cop_product.product_id IS '製品 ID';</v>
      </c>
      <c r="S23" s="34" t="s">
        <v>3645</v>
      </c>
    </row>
    <row r="24" spans="1:19" ht="18.75">
      <c r="A24" s="57"/>
      <c r="B24" s="57"/>
      <c r="C24" s="57"/>
      <c r="D24" s="16"/>
      <c r="E24" s="57"/>
      <c r="F24" s="57"/>
      <c r="G24" s="51"/>
      <c r="H24" s="16" t="s">
        <v>4000</v>
      </c>
      <c r="I24" s="54"/>
      <c r="J24" s="57"/>
      <c r="K24" s="57"/>
      <c r="L24">
        <f t="shared" si="2"/>
        <v>0</v>
      </c>
      <c r="M24" t="str">
        <f t="shared" si="0"/>
        <v>(),</v>
      </c>
      <c r="O24" s="38" t="str">
        <f t="shared" si="1"/>
        <v>COMMENT ON COLUMN cop_product.0 IS '';</v>
      </c>
      <c r="S24" s="34" t="s">
        <v>3931</v>
      </c>
    </row>
    <row r="25" spans="1:19" ht="18.75">
      <c r="A25" s="11"/>
      <c r="B25" s="11">
        <v>7</v>
      </c>
      <c r="C25" s="11" t="s">
        <v>3640</v>
      </c>
      <c r="D25" s="11" t="s">
        <v>4001</v>
      </c>
      <c r="E25" s="11" t="s">
        <v>66</v>
      </c>
      <c r="F25" s="11">
        <v>16</v>
      </c>
      <c r="G25" s="10" t="s">
        <v>67</v>
      </c>
      <c r="H25" s="11" t="s">
        <v>3534</v>
      </c>
      <c r="I25" s="5"/>
      <c r="J25" s="11"/>
      <c r="K25" s="11"/>
      <c r="L25" t="str">
        <f t="shared" si="2"/>
        <v>effective_dt_from</v>
      </c>
      <c r="M25" t="str">
        <f t="shared" si="0"/>
        <v>VARCHAR(16),</v>
      </c>
      <c r="O25" s="38" t="str">
        <f t="shared" si="1"/>
        <v>COMMENT ON COLUMN cop_product.effective_dt_from IS '有効データ送信元';</v>
      </c>
      <c r="S25" s="34" t="s">
        <v>4002</v>
      </c>
    </row>
    <row r="26" spans="1:19" ht="18.75">
      <c r="A26" s="13"/>
      <c r="B26" s="13">
        <v>8</v>
      </c>
      <c r="C26" s="13" t="s">
        <v>3643</v>
      </c>
      <c r="D26" s="13" t="s">
        <v>4003</v>
      </c>
      <c r="E26" s="13" t="s">
        <v>66</v>
      </c>
      <c r="F26" s="13">
        <v>16</v>
      </c>
      <c r="G26" s="14" t="s">
        <v>67</v>
      </c>
      <c r="H26" s="13" t="s">
        <v>3560</v>
      </c>
      <c r="I26" s="8"/>
      <c r="J26" s="13"/>
      <c r="K26" s="13"/>
      <c r="L26" t="str">
        <f t="shared" si="2"/>
        <v>effective_dt_to</v>
      </c>
      <c r="M26" t="str">
        <f t="shared" si="0"/>
        <v>VARCHAR(16),</v>
      </c>
      <c r="O26" s="38" t="str">
        <f t="shared" si="1"/>
        <v>COMMENT ON COLUMN cop_product.effective_dt_to IS '有効データ送信先';</v>
      </c>
      <c r="S26" s="34" t="s">
        <v>3635</v>
      </c>
    </row>
    <row r="27" spans="1:19" ht="18.75">
      <c r="A27" s="11"/>
      <c r="B27" s="11">
        <v>9</v>
      </c>
      <c r="C27" s="11" t="s">
        <v>3695</v>
      </c>
      <c r="D27" s="11" t="s">
        <v>3696</v>
      </c>
      <c r="E27" s="11" t="s">
        <v>89</v>
      </c>
      <c r="F27" s="11" t="s">
        <v>3697</v>
      </c>
      <c r="G27" s="10" t="s">
        <v>67</v>
      </c>
      <c r="H27" s="11" t="s">
        <v>3696</v>
      </c>
      <c r="I27" s="5"/>
      <c r="J27" s="11" t="s">
        <v>3526</v>
      </c>
      <c r="K27" s="11"/>
      <c r="L27" t="str">
        <f t="shared" si="2"/>
        <v>transaction_nbr</v>
      </c>
      <c r="M27" t="str">
        <f t="shared" si="0"/>
        <v>DECIMAL(15,0),</v>
      </c>
      <c r="O27" s="38" t="str">
        <f t="shared" si="1"/>
        <v>COMMENT ON COLUMN cop_product.transaction_nbr IS 'トランザクション番号';</v>
      </c>
      <c r="S27" s="34" t="s">
        <v>3751</v>
      </c>
    </row>
    <row r="28" spans="1:19" ht="18.75">
      <c r="A28" s="13"/>
      <c r="B28" s="13">
        <v>10</v>
      </c>
      <c r="C28" s="13" t="s">
        <v>4004</v>
      </c>
      <c r="D28" s="13" t="s">
        <v>4005</v>
      </c>
      <c r="E28" s="13" t="s">
        <v>66</v>
      </c>
      <c r="F28" s="13">
        <v>200</v>
      </c>
      <c r="G28" s="14" t="s">
        <v>67</v>
      </c>
      <c r="H28" s="13" t="s">
        <v>4006</v>
      </c>
      <c r="I28" s="8"/>
      <c r="J28" s="13"/>
      <c r="K28" s="13" t="s">
        <v>4007</v>
      </c>
      <c r="L28" t="str">
        <f t="shared" si="2"/>
        <v>created_by_user_id</v>
      </c>
      <c r="M28" t="str">
        <f t="shared" si="0"/>
        <v>VARCHAR(200),</v>
      </c>
      <c r="O28" s="38" t="str">
        <f t="shared" si="1"/>
        <v>COMMENT ON COLUMN cop_product.created_by_user_id IS '作成者ユーザー ID';</v>
      </c>
      <c r="S28" s="34" t="s">
        <v>3934</v>
      </c>
    </row>
    <row r="29" spans="1:19" ht="18.75">
      <c r="A29" s="11"/>
      <c r="B29" s="11">
        <v>11</v>
      </c>
      <c r="C29" s="11" t="s">
        <v>3632</v>
      </c>
      <c r="D29" s="11" t="s">
        <v>4008</v>
      </c>
      <c r="E29" s="11" t="s">
        <v>66</v>
      </c>
      <c r="F29" s="11">
        <v>16</v>
      </c>
      <c r="G29" s="10" t="s">
        <v>67</v>
      </c>
      <c r="H29" s="11" t="s">
        <v>3634</v>
      </c>
      <c r="I29" s="5"/>
      <c r="J29" s="11"/>
      <c r="K29" s="11"/>
      <c r="L29" t="str">
        <f t="shared" si="2"/>
        <v>created_dt</v>
      </c>
      <c r="M29" t="str">
        <f t="shared" si="0"/>
        <v>VARCHAR(16),</v>
      </c>
      <c r="O29" s="38" t="str">
        <f t="shared" si="1"/>
        <v>COMMENT ON COLUMN cop_product.created_dt IS '作成データ';</v>
      </c>
      <c r="S29" s="34" t="s">
        <v>3937</v>
      </c>
    </row>
    <row r="30" spans="1:19" ht="18.75">
      <c r="A30" s="13"/>
      <c r="B30" s="13">
        <v>12</v>
      </c>
      <c r="C30" s="13" t="s">
        <v>3700</v>
      </c>
      <c r="D30" s="13" t="s">
        <v>4009</v>
      </c>
      <c r="E30" s="13" t="s">
        <v>66</v>
      </c>
      <c r="F30" s="13">
        <v>12</v>
      </c>
      <c r="G30" s="14" t="s">
        <v>67</v>
      </c>
      <c r="H30" s="13" t="s">
        <v>3702</v>
      </c>
      <c r="I30" s="8"/>
      <c r="J30" s="13"/>
      <c r="K30" s="13"/>
      <c r="L30" t="str">
        <f t="shared" si="2"/>
        <v>created_tm</v>
      </c>
      <c r="M30" t="str">
        <f t="shared" si="0"/>
        <v>VARCHAR(12),</v>
      </c>
      <c r="O30" s="38" t="str">
        <f t="shared" si="1"/>
        <v>COMMENT ON COLUMN cop_product.created_tm IS '作成日時 tm';</v>
      </c>
      <c r="S30" s="34" t="s">
        <v>4010</v>
      </c>
    </row>
    <row r="31" spans="1:19" ht="18.75">
      <c r="A31" s="11"/>
      <c r="B31" s="11">
        <v>13</v>
      </c>
      <c r="C31" s="11" t="s">
        <v>3704</v>
      </c>
      <c r="D31" s="11" t="s">
        <v>4011</v>
      </c>
      <c r="E31" s="11" t="s">
        <v>66</v>
      </c>
      <c r="F31" s="11">
        <v>16</v>
      </c>
      <c r="G31" s="10" t="s">
        <v>67</v>
      </c>
      <c r="H31" s="11" t="s">
        <v>3706</v>
      </c>
      <c r="I31" s="5"/>
      <c r="J31" s="11"/>
      <c r="K31" s="11"/>
      <c r="L31" t="str">
        <f t="shared" si="2"/>
        <v>last_updated_dt</v>
      </c>
      <c r="M31" t="str">
        <f t="shared" si="0"/>
        <v>VARCHAR(16),</v>
      </c>
      <c r="O31" s="38" t="str">
        <f t="shared" si="1"/>
        <v>COMMENT ON COLUMN cop_product.last_updated_dt IS '最終更新日時 tm';</v>
      </c>
      <c r="S31" s="34" t="s">
        <v>3648</v>
      </c>
    </row>
    <row r="32" spans="1:19" ht="18.75">
      <c r="A32" s="13"/>
      <c r="B32" s="13">
        <v>14</v>
      </c>
      <c r="C32" s="13" t="s">
        <v>3708</v>
      </c>
      <c r="D32" s="13" t="s">
        <v>4011</v>
      </c>
      <c r="E32" s="13" t="s">
        <v>66</v>
      </c>
      <c r="F32" s="13">
        <v>12</v>
      </c>
      <c r="G32" s="14" t="s">
        <v>67</v>
      </c>
      <c r="H32" s="13" t="s">
        <v>3709</v>
      </c>
      <c r="I32" s="8"/>
      <c r="J32" s="13"/>
      <c r="K32" s="13"/>
      <c r="L32" t="str">
        <f t="shared" si="2"/>
        <v>last_updated_tm</v>
      </c>
      <c r="M32" t="str">
        <f t="shared" si="0"/>
        <v>VARCHAR(12),</v>
      </c>
      <c r="O32" s="38" t="str">
        <f t="shared" si="1"/>
        <v>COMMENT ON COLUMN cop_product.last_updated_tm IS '最終更新日時 tm';</v>
      </c>
      <c r="S32" s="34" t="s">
        <v>3775</v>
      </c>
    </row>
    <row r="33" spans="1:19" ht="18.75">
      <c r="A33" s="11"/>
      <c r="B33" s="11">
        <v>15</v>
      </c>
      <c r="C33" s="11" t="s">
        <v>4012</v>
      </c>
      <c r="D33" s="11" t="s">
        <v>4013</v>
      </c>
      <c r="E33" s="11" t="s">
        <v>66</v>
      </c>
      <c r="F33" s="11">
        <v>200</v>
      </c>
      <c r="G33" s="10" t="s">
        <v>67</v>
      </c>
      <c r="H33" s="11" t="s">
        <v>4014</v>
      </c>
      <c r="I33" s="5"/>
      <c r="J33" s="11"/>
      <c r="K33" s="11" t="s">
        <v>4007</v>
      </c>
      <c r="L33" t="str">
        <f t="shared" si="2"/>
        <v>last_updated_user_id</v>
      </c>
      <c r="M33" t="str">
        <f t="shared" si="0"/>
        <v>VARCHAR(200),</v>
      </c>
      <c r="O33" s="38" t="str">
        <f t="shared" si="1"/>
        <v>COMMENT ON COLUMN cop_product.last_updated_user_id IS '最終更新ユーザー ID';</v>
      </c>
      <c r="S33" s="34" t="s">
        <v>4015</v>
      </c>
    </row>
    <row r="34" spans="1:19" ht="18.75">
      <c r="A34" s="55"/>
      <c r="B34" s="55">
        <v>16</v>
      </c>
      <c r="C34" s="55" t="s">
        <v>3646</v>
      </c>
      <c r="D34" s="15" t="s">
        <v>3647</v>
      </c>
      <c r="E34" s="55" t="s">
        <v>66</v>
      </c>
      <c r="F34" s="55">
        <v>2</v>
      </c>
      <c r="G34" s="49" t="s">
        <v>67</v>
      </c>
      <c r="H34" s="15" t="s">
        <v>3576</v>
      </c>
      <c r="I34" s="52"/>
      <c r="J34" s="55"/>
      <c r="K34" s="55"/>
      <c r="L34" t="str">
        <f t="shared" si="2"/>
        <v>delete_ind</v>
      </c>
      <c r="M34" t="str">
        <f t="shared" si="0"/>
        <v>VARCHAR(2),</v>
      </c>
      <c r="O34" s="38" t="str">
        <f t="shared" si="1"/>
        <v>COMMENT ON COLUMN cop_product.delete_ind IS '削除インデックス';</v>
      </c>
      <c r="S34" s="34" t="s">
        <v>3652</v>
      </c>
    </row>
    <row r="35" spans="1:19" ht="18.75">
      <c r="A35" s="57"/>
      <c r="B35" s="57"/>
      <c r="C35" s="57"/>
      <c r="D35" s="16"/>
      <c r="E35" s="57"/>
      <c r="F35" s="57"/>
      <c r="G35" s="51"/>
      <c r="H35" s="16" t="s">
        <v>3579</v>
      </c>
      <c r="I35" s="54"/>
      <c r="J35" s="57"/>
      <c r="K35" s="57"/>
      <c r="L35">
        <f t="shared" si="2"/>
        <v>0</v>
      </c>
      <c r="M35" t="str">
        <f t="shared" si="0"/>
        <v>(),</v>
      </c>
      <c r="O35" s="38" t="str">
        <f t="shared" si="1"/>
        <v>COMMENT ON COLUMN cop_product.0 IS '';</v>
      </c>
      <c r="S35" s="34" t="s">
        <v>4016</v>
      </c>
    </row>
    <row r="36" spans="1:19" ht="18.75">
      <c r="A36" s="11"/>
      <c r="B36" s="11">
        <v>17</v>
      </c>
      <c r="C36" s="11" t="s">
        <v>3786</v>
      </c>
      <c r="D36" s="11" t="s">
        <v>4017</v>
      </c>
      <c r="E36" s="11" t="s">
        <v>66</v>
      </c>
      <c r="F36" s="11">
        <v>40</v>
      </c>
      <c r="G36" s="10" t="s">
        <v>67</v>
      </c>
      <c r="H36" s="11" t="s">
        <v>3788</v>
      </c>
      <c r="I36" s="5"/>
      <c r="J36" s="11"/>
      <c r="K36" s="11"/>
      <c r="L36" t="str">
        <f t="shared" si="2"/>
        <v>svc_org_id</v>
      </c>
      <c r="M36" t="str">
        <f t="shared" si="0"/>
        <v>VARCHAR(40),</v>
      </c>
      <c r="O36" s="38" t="str">
        <f t="shared" si="1"/>
        <v>COMMENT ON COLUMN cop_product.svc_org_id IS 'サービス組織 ID';</v>
      </c>
      <c r="S36" s="33" t="s">
        <v>4018</v>
      </c>
    </row>
    <row r="37" spans="1:19" ht="18.75">
      <c r="A37" s="13"/>
      <c r="B37" s="13">
        <v>18</v>
      </c>
      <c r="C37" s="13" t="s">
        <v>4019</v>
      </c>
      <c r="D37" s="13" t="s">
        <v>4020</v>
      </c>
      <c r="E37" s="13" t="s">
        <v>66</v>
      </c>
      <c r="F37" s="13">
        <v>40</v>
      </c>
      <c r="G37" s="14" t="s">
        <v>67</v>
      </c>
      <c r="H37" s="13" t="s">
        <v>4021</v>
      </c>
      <c r="I37" s="8"/>
      <c r="J37" s="13"/>
      <c r="K37" s="13"/>
      <c r="L37" t="str">
        <f t="shared" si="2"/>
        <v>agent_id</v>
      </c>
      <c r="M37" t="str">
        <f t="shared" si="0"/>
        <v>VARCHAR(40),</v>
      </c>
      <c r="O37" s="38" t="str">
        <f t="shared" si="1"/>
        <v>COMMENT ON COLUMN cop_product.agent_id IS 'エージェント ID';</v>
      </c>
      <c r="S37" s="29" t="s">
        <v>4022</v>
      </c>
    </row>
    <row r="38" spans="1:19" ht="18.75">
      <c r="A38" s="11"/>
      <c r="B38" s="11">
        <v>19</v>
      </c>
      <c r="C38" s="11" t="s">
        <v>3653</v>
      </c>
      <c r="D38" s="11" t="s">
        <v>3654</v>
      </c>
      <c r="E38" s="11" t="s">
        <v>66</v>
      </c>
      <c r="F38" s="11">
        <v>2</v>
      </c>
      <c r="G38" s="10" t="s">
        <v>67</v>
      </c>
      <c r="H38" s="11" t="s">
        <v>3655</v>
      </c>
      <c r="I38" s="5" t="s">
        <v>3656</v>
      </c>
      <c r="J38" s="11"/>
      <c r="K38" s="11"/>
      <c r="L38" t="str">
        <f t="shared" si="2"/>
        <v>deactivate_ind</v>
      </c>
      <c r="M38" t="str">
        <f t="shared" si="0"/>
        <v>VARCHAR(2),</v>
      </c>
      <c r="O38" s="38" t="str">
        <f t="shared" si="1"/>
        <v>COMMENT ON COLUMN cop_product.deactivate_ind IS '無効化インデックス';</v>
      </c>
      <c r="S38" s="29" t="s">
        <v>4023</v>
      </c>
    </row>
    <row r="39" spans="1:19" ht="18.75">
      <c r="A39" s="13"/>
      <c r="B39" s="13">
        <v>20</v>
      </c>
      <c r="C39" s="13" t="s">
        <v>4024</v>
      </c>
      <c r="D39" s="13" t="s">
        <v>4025</v>
      </c>
      <c r="E39" s="13" t="s">
        <v>66</v>
      </c>
      <c r="F39" s="13">
        <v>20</v>
      </c>
      <c r="G39" s="14" t="s">
        <v>67</v>
      </c>
      <c r="H39" s="13" t="s">
        <v>4026</v>
      </c>
      <c r="I39" s="8"/>
      <c r="J39" s="13"/>
      <c r="K39" s="13" t="s">
        <v>4007</v>
      </c>
      <c r="L39" t="str">
        <f t="shared" si="2"/>
        <v>application_dt</v>
      </c>
      <c r="M39" t="str">
        <f t="shared" si="0"/>
        <v>VARCHAR(20),</v>
      </c>
      <c r="O39" s="38" t="str">
        <f t="shared" si="1"/>
        <v>COMMENT ON COLUMN cop_product.application_dt IS 'アプリケーション ID';</v>
      </c>
      <c r="S39" s="29" t="s">
        <v>4027</v>
      </c>
    </row>
    <row r="40" spans="1:19" ht="18.75">
      <c r="L40" t="str">
        <f>"CONSTRAINT pk_"&amp;L3&amp;" PRIMARY KEY (id));"</f>
        <v>CONSTRAINT pk_cop_product PRIMARY KEY (id));</v>
      </c>
      <c r="S40" s="29" t="s">
        <v>4028</v>
      </c>
    </row>
    <row r="41" spans="1:19" ht="18.75">
      <c r="S41" s="29" t="s">
        <v>4029</v>
      </c>
    </row>
    <row r="42" spans="1:19" ht="18.75">
      <c r="S42" s="29" t="s">
        <v>4030</v>
      </c>
    </row>
    <row r="43" spans="1:19" ht="18.75">
      <c r="S43" s="29" t="s">
        <v>4031</v>
      </c>
    </row>
    <row r="44" spans="1:19" ht="18.75">
      <c r="S44" s="29" t="s">
        <v>4032</v>
      </c>
    </row>
    <row r="45" spans="1:19" ht="18.75">
      <c r="S45" s="29" t="s">
        <v>4033</v>
      </c>
    </row>
    <row r="46" spans="1:19" ht="18.75">
      <c r="S46" s="29" t="s">
        <v>4034</v>
      </c>
    </row>
    <row r="47" spans="1:19" ht="18.75">
      <c r="S47" s="29" t="s">
        <v>4035</v>
      </c>
    </row>
    <row r="48" spans="1:19" ht="18.75">
      <c r="S48" s="29" t="s">
        <v>4036</v>
      </c>
    </row>
    <row r="49" spans="19:19" ht="18.75">
      <c r="S49" s="29" t="s">
        <v>4037</v>
      </c>
    </row>
    <row r="50" spans="19:19" ht="18.75">
      <c r="S50" s="29" t="s">
        <v>4038</v>
      </c>
    </row>
    <row r="51" spans="19:19" ht="18.75">
      <c r="S51" s="29" t="s">
        <v>4039</v>
      </c>
    </row>
    <row r="52" spans="19:19" ht="18.75">
      <c r="S52" s="29" t="s">
        <v>4040</v>
      </c>
    </row>
    <row r="53" spans="19:19" ht="18.75">
      <c r="S53" s="29" t="s">
        <v>4041</v>
      </c>
    </row>
    <row r="54" spans="19:19" ht="18.75">
      <c r="S54" s="29" t="s">
        <v>4042</v>
      </c>
    </row>
    <row r="55" spans="19:19" ht="18.75">
      <c r="S55" s="29" t="s">
        <v>4043</v>
      </c>
    </row>
    <row r="56" spans="19:19" ht="18.75">
      <c r="S56" s="29" t="s">
        <v>4044</v>
      </c>
    </row>
    <row r="57" spans="19:19" ht="18.75">
      <c r="S57" s="29" t="s">
        <v>4045</v>
      </c>
    </row>
    <row r="58" spans="19:19" ht="18.75">
      <c r="S58" s="29" t="s">
        <v>4046</v>
      </c>
    </row>
  </sheetData>
  <mergeCells count="45">
    <mergeCell ref="G9:K9"/>
    <mergeCell ref="G4:K4"/>
    <mergeCell ref="G5:K5"/>
    <mergeCell ref="G6:K6"/>
    <mergeCell ref="G7:K7"/>
    <mergeCell ref="G8:K8"/>
    <mergeCell ref="J21:J22"/>
    <mergeCell ref="K21:K22"/>
    <mergeCell ref="A19:A20"/>
    <mergeCell ref="B19:B20"/>
    <mergeCell ref="C19:C20"/>
    <mergeCell ref="E19:E20"/>
    <mergeCell ref="F19:F20"/>
    <mergeCell ref="G10:K10"/>
    <mergeCell ref="G11:K11"/>
    <mergeCell ref="G12:K12"/>
    <mergeCell ref="G19:G20"/>
    <mergeCell ref="I19:I20"/>
    <mergeCell ref="J19:J20"/>
    <mergeCell ref="K19:K20"/>
    <mergeCell ref="G23:G24"/>
    <mergeCell ref="I23:I24"/>
    <mergeCell ref="J23:J24"/>
    <mergeCell ref="K23:K24"/>
    <mergeCell ref="A21:A22"/>
    <mergeCell ref="B21:B22"/>
    <mergeCell ref="C21:C22"/>
    <mergeCell ref="A23:A24"/>
    <mergeCell ref="B23:B24"/>
    <mergeCell ref="C23:C24"/>
    <mergeCell ref="E23:E24"/>
    <mergeCell ref="F23:F24"/>
    <mergeCell ref="E21:E22"/>
    <mergeCell ref="F21:F22"/>
    <mergeCell ref="G21:G22"/>
    <mergeCell ref="I21:I22"/>
    <mergeCell ref="I34:I35"/>
    <mergeCell ref="J34:J35"/>
    <mergeCell ref="K34:K35"/>
    <mergeCell ref="A34:A35"/>
    <mergeCell ref="B34:B35"/>
    <mergeCell ref="C34:C35"/>
    <mergeCell ref="E34:E35"/>
    <mergeCell ref="F34:F35"/>
    <mergeCell ref="G34:G35"/>
  </mergeCells>
  <phoneticPr fontId="2"/>
  <hyperlinks>
    <hyperlink ref="I18" r:id="rId1" location="0021" display="https://tools.l2.dwh.sb-sys.info/userhelp/data/komoku/codereference/asp/omcodereference_view.asp - 0021" xr:uid="{6857244C-619B-4C38-A519-EF6380D9F541}"/>
    <hyperlink ref="I19" r:id="rId2" display="https://tools.l2.dwh.sb-sys.info/userhelp/data/komoku" xr:uid="{FC34EB9E-CB82-4FF9-9808-8C79BE226BB5}"/>
    <hyperlink ref="I21" r:id="rId3" display="https://tools.l2.dwh.sb-sys.info/userhelp/data/komoku" xr:uid="{5660C6DC-C245-468F-8E5E-31987B3C6D1B}"/>
    <hyperlink ref="I23" r:id="rId4" location="0043" display="https://tools.l2.dwh.sb-sys.info/userhelp/data/komoku/codereference/asp/omcodereference_view.asp - 0043" xr:uid="{D039A65A-C06F-4727-AB6E-C20C811AD7BE}"/>
    <hyperlink ref="I25" r:id="rId5" display="https://tools.l2.dwh.sb-sys.info/userhelp/data/komoku" xr:uid="{2216807F-EDB6-4E12-85FC-93CA65420D4F}"/>
    <hyperlink ref="I26" r:id="rId6" display="https://tools.l2.dwh.sb-sys.info/userhelp/data/komoku" xr:uid="{A930F26D-3728-4BE4-8311-ED4B476FF96E}"/>
    <hyperlink ref="I27" r:id="rId7" display="https://tools.l2.dwh.sb-sys.info/userhelp/data/komoku" xr:uid="{C9CD0DC8-048D-4520-A5B3-598D46BB9503}"/>
    <hyperlink ref="I28" r:id="rId8" display="https://tools.l2.dwh.sb-sys.info/userhelp/data/komoku" xr:uid="{383BB033-B5F1-46DF-A535-7196A3B239B0}"/>
    <hyperlink ref="I29" r:id="rId9" display="https://tools.l2.dwh.sb-sys.info/userhelp/data/komoku" xr:uid="{42CC1C4E-9FE9-4C2E-94C0-65C10CEA3003}"/>
    <hyperlink ref="I30" r:id="rId10" display="https://tools.l2.dwh.sb-sys.info/userhelp/data/komoku" xr:uid="{AFF3E288-0BCB-4BB7-8D47-F01B5D946BDD}"/>
    <hyperlink ref="I31" r:id="rId11" display="https://tools.l2.dwh.sb-sys.info/userhelp/data/komoku" xr:uid="{7FDEF2A8-5C87-4975-8092-7197894A3F05}"/>
    <hyperlink ref="I32" r:id="rId12" display="https://tools.l2.dwh.sb-sys.info/userhelp/data/komoku" xr:uid="{F15E445B-E000-4674-9D60-AF83A76F2224}"/>
    <hyperlink ref="I33" r:id="rId13" display="https://tools.l2.dwh.sb-sys.info/userhelp/data/komoku" xr:uid="{88509D0E-9031-4055-A38C-FED9B18D00B7}"/>
    <hyperlink ref="I34" r:id="rId14" display="https://tools.l2.dwh.sb-sys.info/userhelp/data/komoku" xr:uid="{79DD9996-CCE7-4191-BD57-DE5F0F7715E8}"/>
    <hyperlink ref="I36" r:id="rId15" display="https://tools.l2.dwh.sb-sys.info/userhelp/data/komoku" xr:uid="{E5D652C9-4CCE-4022-B048-25A690511400}"/>
    <hyperlink ref="I37" r:id="rId16" display="https://tools.l2.dwh.sb-sys.info/userhelp/data/komoku" xr:uid="{AFD94A0E-553F-48A3-BB52-B8B60940745F}"/>
    <hyperlink ref="I38" r:id="rId17" location="0009" display="https://tools.l2.dwh.sb-sys.info/userhelp/data/komoku/codereference/asp/codereference_view.asp - 0009" xr:uid="{8862EF8F-C642-4D5C-A2A9-A769F13AD9D6}"/>
    <hyperlink ref="I39" r:id="rId18" display="https://tools.l2.dwh.sb-sys.info/userhelp/data/komoku" xr:uid="{02E9A6F3-CF74-4401-93BA-343BC2891796}"/>
    <hyperlink ref="I17" r:id="rId19" location="0008" display="https://tools.l2.dwh.sb-sys.info/userhelp/data/komoku/codereference/asp/codereference_view.asp - 0008" xr:uid="{ECFD0F49-6099-492C-BA07-3177A6A1ADE4}"/>
    <hyperlink ref="I16" r:id="rId20" display="https://tools.l2.dwh.sb-sys.info/userhelp/data/komoku" xr:uid="{2129297B-6AF7-4712-B7DB-A4F4F1C293D6}"/>
  </hyperlinks>
  <pageMargins left="0.7" right="0.7" top="0.75" bottom="0.75" header="0.3" footer="0.3"/>
  <pageSetup paperSize="9" orientation="portrait" r:id="rId2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2487B-8736-4A5A-BF83-2CB1F3941317}">
  <sheetPr>
    <tabColor theme="7"/>
  </sheetPr>
  <dimension ref="A1:R369"/>
  <sheetViews>
    <sheetView zoomScale="85" zoomScaleNormal="85" workbookViewId="0"/>
  </sheetViews>
  <sheetFormatPr defaultRowHeight="18.75"/>
  <cols>
    <col min="1" max="1" width="2.75" bestFit="1" customWidth="1"/>
    <col min="2" max="2" width="3.5" bestFit="1" customWidth="1"/>
    <col min="3" max="3" width="14" bestFit="1" customWidth="1"/>
    <col min="4" max="4" width="5.75" bestFit="1" customWidth="1"/>
    <col min="5" max="5" width="3.375" bestFit="1" customWidth="1"/>
    <col min="6" max="6" width="4.5" bestFit="1" customWidth="1"/>
    <col min="7" max="7" width="12.75" bestFit="1" customWidth="1"/>
    <col min="8" max="8" width="13.875" bestFit="1" customWidth="1"/>
    <col min="9" max="9" width="3.5" bestFit="1" customWidth="1"/>
    <col min="10" max="10" width="4.5" bestFit="1" customWidth="1"/>
    <col min="11" max="11" width="26.375" customWidth="1"/>
    <col min="14" max="14" width="25.375" customWidth="1"/>
  </cols>
  <sheetData>
    <row r="1" spans="1:18" ht="19.5" thickBot="1"/>
    <row r="2" spans="1:18" ht="39.75" thickBot="1">
      <c r="F2" s="9" t="s">
        <v>41</v>
      </c>
      <c r="G2" s="9" t="s">
        <v>42</v>
      </c>
      <c r="H2" s="9" t="s">
        <v>43</v>
      </c>
      <c r="I2" s="9" t="s">
        <v>44</v>
      </c>
      <c r="J2" s="9" t="s">
        <v>45</v>
      </c>
    </row>
    <row r="3" spans="1:18" ht="20.25" thickBot="1">
      <c r="F3" s="10" t="s">
        <v>46</v>
      </c>
      <c r="G3" s="11" t="s">
        <v>4047</v>
      </c>
      <c r="H3" s="11"/>
      <c r="I3" s="11" t="s">
        <v>4048</v>
      </c>
      <c r="J3" s="11" t="s">
        <v>4049</v>
      </c>
      <c r="K3" s="18" t="s">
        <v>4050</v>
      </c>
    </row>
    <row r="4" spans="1:18">
      <c r="F4" s="62" t="s">
        <v>51</v>
      </c>
      <c r="G4" s="63"/>
      <c r="H4" s="63"/>
      <c r="I4" s="63"/>
      <c r="J4" s="64"/>
    </row>
    <row r="5" spans="1:18" ht="38.450000000000003" customHeight="1" thickBot="1">
      <c r="F5" s="65" t="s">
        <v>4051</v>
      </c>
      <c r="G5" s="66"/>
      <c r="H5" s="66"/>
      <c r="I5" s="66"/>
      <c r="J5" s="67"/>
    </row>
    <row r="6" spans="1:18" ht="19.5" thickBot="1">
      <c r="K6" t="str">
        <f>"DROP TABLE IF EXISTS "&amp;K3&amp;" CASCADE;"</f>
        <v>DROP TABLE IF EXISTS mars_agency_store CASCADE;</v>
      </c>
      <c r="R6" s="33" t="s">
        <v>4052</v>
      </c>
    </row>
    <row r="7" spans="1:18" ht="19.5" thickBot="1">
      <c r="K7" t="str">
        <f>"CREATE TABLE IF NOT EXISTS "&amp;K3&amp;" ("</f>
        <v>CREATE TABLE IF NOT EXISTS mars_agency_store (</v>
      </c>
      <c r="N7" s="40" t="str">
        <f>"COMMENT ON TABLE "&amp;K3&amp;" IS '"&amp;G3&amp;"';"</f>
        <v>COMMENT ON TABLE mars_agency_store IS 'm_取次店';</v>
      </c>
      <c r="R7" s="33" t="s">
        <v>4053</v>
      </c>
    </row>
    <row r="8" spans="1:18" ht="19.5" thickBot="1">
      <c r="A8" s="12" t="s">
        <v>54</v>
      </c>
      <c r="B8" s="12" t="s">
        <v>55</v>
      </c>
      <c r="C8" s="12" t="s">
        <v>56</v>
      </c>
      <c r="D8" s="12" t="s">
        <v>57</v>
      </c>
      <c r="E8" s="12" t="s">
        <v>58</v>
      </c>
      <c r="F8" s="12" t="s">
        <v>59</v>
      </c>
      <c r="G8" s="12" t="s">
        <v>60</v>
      </c>
      <c r="H8" s="12" t="s">
        <v>61</v>
      </c>
      <c r="I8" s="12" t="s">
        <v>62</v>
      </c>
      <c r="J8" s="12" t="s">
        <v>63</v>
      </c>
      <c r="K8" t="s">
        <v>64</v>
      </c>
      <c r="N8" s="38" t="str">
        <f>"COMMENT ON COLUMN "&amp;$K$3&amp;".id IS 'id';"</f>
        <v>COMMENT ON COLUMN mars_agency_store.id IS 'id';</v>
      </c>
      <c r="R8" s="34" t="s">
        <v>65</v>
      </c>
    </row>
    <row r="9" spans="1:18" ht="19.5" thickBot="1">
      <c r="A9" s="11"/>
      <c r="B9" s="11">
        <v>1</v>
      </c>
      <c r="C9" s="11" t="s">
        <v>2186</v>
      </c>
      <c r="D9" s="11" t="s">
        <v>66</v>
      </c>
      <c r="E9" s="11">
        <v>40</v>
      </c>
      <c r="F9" s="10" t="s">
        <v>67</v>
      </c>
      <c r="G9" s="11"/>
      <c r="H9" s="5"/>
      <c r="I9" s="11"/>
      <c r="J9" s="11"/>
      <c r="K9" s="25" t="s">
        <v>4054</v>
      </c>
      <c r="L9" t="str">
        <f t="shared" ref="L9:L72" si="0">D9&amp;"("&amp;E9&amp;"),"</f>
        <v>VARCHAR(40),</v>
      </c>
      <c r="N9" s="38" t="str">
        <f>"COMMENT ON COLUMN "&amp;$K$3&amp;"."&amp;$K9&amp;" IS '"&amp;C9&amp;"';"</f>
        <v>COMMENT ON COLUMN mars_agency_store.agent_code IS '取次店コード';</v>
      </c>
      <c r="R9" s="34" t="s">
        <v>4055</v>
      </c>
    </row>
    <row r="10" spans="1:18" ht="19.5" thickBot="1">
      <c r="A10" s="13"/>
      <c r="B10" s="13">
        <v>2</v>
      </c>
      <c r="C10" s="13" t="s">
        <v>3533</v>
      </c>
      <c r="D10" s="13" t="s">
        <v>66</v>
      </c>
      <c r="E10" s="13">
        <v>16</v>
      </c>
      <c r="F10" s="14" t="s">
        <v>67</v>
      </c>
      <c r="G10" s="13"/>
      <c r="H10" s="8"/>
      <c r="I10" s="13"/>
      <c r="J10" s="13"/>
      <c r="K10" s="25" t="s">
        <v>4056</v>
      </c>
      <c r="L10" t="str">
        <f t="shared" si="0"/>
        <v>VARCHAR(16),</v>
      </c>
      <c r="N10" s="38" t="str">
        <f t="shared" ref="N10:N73" si="1">"COMMENT ON COLUMN "&amp;$K$3&amp;"."&amp;$K10&amp;" IS '"&amp;C10&amp;"';"</f>
        <v>COMMENT ON COLUMN mars_agency_store.valid_start_date IS '有効開始日';</v>
      </c>
      <c r="R10" s="34" t="s">
        <v>4057</v>
      </c>
    </row>
    <row r="11" spans="1:18" ht="19.5" thickBot="1">
      <c r="A11" s="11"/>
      <c r="B11" s="11">
        <v>3</v>
      </c>
      <c r="C11" s="11" t="s">
        <v>3559</v>
      </c>
      <c r="D11" s="11" t="s">
        <v>66</v>
      </c>
      <c r="E11" s="11">
        <v>16</v>
      </c>
      <c r="F11" s="10" t="s">
        <v>67</v>
      </c>
      <c r="G11" s="11"/>
      <c r="H11" s="5"/>
      <c r="I11" s="11"/>
      <c r="J11" s="11"/>
      <c r="K11" s="25" t="s">
        <v>4058</v>
      </c>
      <c r="L11" t="str">
        <f t="shared" si="0"/>
        <v>VARCHAR(16),</v>
      </c>
      <c r="N11" s="38" t="str">
        <f t="shared" si="1"/>
        <v>COMMENT ON COLUMN mars_agency_store.valid_end_date IS '有効終了日';</v>
      </c>
      <c r="R11" s="34" t="s">
        <v>4059</v>
      </c>
    </row>
    <row r="12" spans="1:18" ht="19.5" thickBot="1">
      <c r="A12" s="13"/>
      <c r="B12" s="13">
        <v>4</v>
      </c>
      <c r="C12" s="13" t="s">
        <v>4060</v>
      </c>
      <c r="D12" s="13" t="s">
        <v>66</v>
      </c>
      <c r="E12" s="13">
        <v>20</v>
      </c>
      <c r="F12" s="14" t="s">
        <v>67</v>
      </c>
      <c r="G12" s="13"/>
      <c r="H12" s="8"/>
      <c r="I12" s="13"/>
      <c r="J12" s="13"/>
      <c r="K12" s="25" t="s">
        <v>4061</v>
      </c>
      <c r="L12" t="str">
        <f t="shared" si="0"/>
        <v>VARCHAR(20),</v>
      </c>
      <c r="N12" s="38" t="str">
        <f t="shared" si="1"/>
        <v>COMMENT ON COLUMN mars_agency_store.common_store_code IS '共通店舗コード';</v>
      </c>
      <c r="R12" s="34" t="s">
        <v>4062</v>
      </c>
    </row>
    <row r="13" spans="1:18" ht="19.5" thickBot="1">
      <c r="A13" s="11"/>
      <c r="B13" s="11">
        <v>5</v>
      </c>
      <c r="C13" s="11" t="s">
        <v>4063</v>
      </c>
      <c r="D13" s="11" t="s">
        <v>66</v>
      </c>
      <c r="E13" s="11">
        <v>22</v>
      </c>
      <c r="F13" s="10" t="s">
        <v>67</v>
      </c>
      <c r="G13" s="11"/>
      <c r="H13" s="5"/>
      <c r="I13" s="11"/>
      <c r="J13" s="11"/>
      <c r="K13" s="25" t="s">
        <v>4064</v>
      </c>
      <c r="L13" t="str">
        <f t="shared" si="0"/>
        <v>VARCHAR(22),</v>
      </c>
      <c r="N13" s="38" t="str">
        <f t="shared" si="1"/>
        <v>COMMENT ON COLUMN mars_agency_store.chkdigit_common_store_cd IS 'chkdigit共通店舗cd';</v>
      </c>
      <c r="R13" s="34" t="s">
        <v>4065</v>
      </c>
    </row>
    <row r="14" spans="1:18" ht="19.5" thickBot="1">
      <c r="A14" s="13"/>
      <c r="B14" s="13">
        <v>6</v>
      </c>
      <c r="C14" s="13" t="s">
        <v>4066</v>
      </c>
      <c r="D14" s="13" t="s">
        <v>66</v>
      </c>
      <c r="E14" s="13">
        <v>40</v>
      </c>
      <c r="F14" s="14" t="s">
        <v>67</v>
      </c>
      <c r="G14" s="13"/>
      <c r="H14" s="8"/>
      <c r="I14" s="13"/>
      <c r="J14" s="13"/>
      <c r="K14" s="25" t="s">
        <v>4067</v>
      </c>
      <c r="L14" t="str">
        <f t="shared" si="0"/>
        <v>VARCHAR(40),</v>
      </c>
      <c r="N14" s="38" t="str">
        <f t="shared" si="1"/>
        <v>COMMENT ON COLUMN mars_agency_store.logistics_agent_code IS '物流取次店コード';</v>
      </c>
      <c r="R14" s="34" t="s">
        <v>4068</v>
      </c>
    </row>
    <row r="15" spans="1:18" ht="19.5" thickBot="1">
      <c r="A15" s="11"/>
      <c r="B15" s="11">
        <v>7</v>
      </c>
      <c r="C15" s="11" t="s">
        <v>4069</v>
      </c>
      <c r="D15" s="11" t="s">
        <v>66</v>
      </c>
      <c r="E15" s="11">
        <v>40</v>
      </c>
      <c r="F15" s="10" t="s">
        <v>67</v>
      </c>
      <c r="G15" s="11"/>
      <c r="H15" s="5"/>
      <c r="I15" s="11"/>
      <c r="J15" s="11"/>
      <c r="K15" s="25" t="s">
        <v>4070</v>
      </c>
      <c r="L15" t="str">
        <f t="shared" si="0"/>
        <v>VARCHAR(40),</v>
      </c>
      <c r="N15" s="38" t="str">
        <f t="shared" si="1"/>
        <v>COMMENT ON COLUMN mars_agency_store.chkdigit_agent_cd IS 'chkdigit取次店cd';</v>
      </c>
      <c r="R15" s="34" t="s">
        <v>4071</v>
      </c>
    </row>
    <row r="16" spans="1:18" ht="19.5" thickBot="1">
      <c r="A16" s="13"/>
      <c r="B16" s="13">
        <v>8</v>
      </c>
      <c r="C16" s="13" t="s">
        <v>4072</v>
      </c>
      <c r="D16" s="13" t="s">
        <v>66</v>
      </c>
      <c r="E16" s="13">
        <v>40</v>
      </c>
      <c r="F16" s="14" t="s">
        <v>67</v>
      </c>
      <c r="G16" s="13"/>
      <c r="H16" s="8"/>
      <c r="I16" s="13"/>
      <c r="J16" s="13"/>
      <c r="K16" s="25" t="s">
        <v>4073</v>
      </c>
      <c r="L16" t="str">
        <f t="shared" si="0"/>
        <v>VARCHAR(40),</v>
      </c>
      <c r="N16" s="38" t="str">
        <f t="shared" si="1"/>
        <v>COMMENT ON COLUMN mars_agency_store.front_desk_code IS 'フロント用コード';</v>
      </c>
      <c r="R16" s="34" t="s">
        <v>4074</v>
      </c>
    </row>
    <row r="17" spans="1:18" ht="19.5" thickBot="1">
      <c r="A17" s="11"/>
      <c r="B17" s="11">
        <v>9</v>
      </c>
      <c r="C17" s="11" t="s">
        <v>4075</v>
      </c>
      <c r="D17" s="11" t="s">
        <v>66</v>
      </c>
      <c r="E17" s="11">
        <v>40</v>
      </c>
      <c r="F17" s="10" t="s">
        <v>67</v>
      </c>
      <c r="G17" s="11"/>
      <c r="H17" s="5"/>
      <c r="I17" s="11"/>
      <c r="J17" s="11"/>
      <c r="K17" s="25" t="s">
        <v>4076</v>
      </c>
      <c r="L17" t="str">
        <f t="shared" si="0"/>
        <v>VARCHAR(40),</v>
      </c>
      <c r="N17" s="38" t="str">
        <f t="shared" si="1"/>
        <v>COMMENT ON COLUMN mars_agency_store.primary_agent_code IS '一次代理店コード';</v>
      </c>
      <c r="R17" s="34" t="s">
        <v>4077</v>
      </c>
    </row>
    <row r="18" spans="1:18" ht="19.5" thickBot="1">
      <c r="A18" s="13"/>
      <c r="B18" s="13">
        <v>10</v>
      </c>
      <c r="C18" s="13" t="s">
        <v>4078</v>
      </c>
      <c r="D18" s="13" t="s">
        <v>66</v>
      </c>
      <c r="E18" s="13">
        <v>40</v>
      </c>
      <c r="F18" s="14" t="s">
        <v>67</v>
      </c>
      <c r="G18" s="13"/>
      <c r="H18" s="8"/>
      <c r="I18" s="13"/>
      <c r="J18" s="13"/>
      <c r="K18" s="25" t="s">
        <v>4079</v>
      </c>
      <c r="L18" t="str">
        <f t="shared" si="0"/>
        <v>VARCHAR(40),</v>
      </c>
      <c r="N18" s="38" t="str">
        <f t="shared" si="1"/>
        <v>COMMENT ON COLUMN mars_agency_store.chkdigit_primary_agent_cd IS 'chkdigit一次代理店cd';</v>
      </c>
      <c r="R18" s="34" t="s">
        <v>4080</v>
      </c>
    </row>
    <row r="19" spans="1:18" ht="19.5" thickBot="1">
      <c r="A19" s="11"/>
      <c r="B19" s="11">
        <v>11</v>
      </c>
      <c r="C19" s="11" t="s">
        <v>4081</v>
      </c>
      <c r="D19" s="11" t="s">
        <v>66</v>
      </c>
      <c r="E19" s="11">
        <v>40</v>
      </c>
      <c r="F19" s="10" t="s">
        <v>67</v>
      </c>
      <c r="G19" s="11"/>
      <c r="H19" s="5"/>
      <c r="I19" s="11"/>
      <c r="J19" s="11"/>
      <c r="K19" s="25" t="s">
        <v>4082</v>
      </c>
      <c r="L19" t="str">
        <f t="shared" si="0"/>
        <v>VARCHAR(40),</v>
      </c>
      <c r="N19" s="38" t="str">
        <f t="shared" si="1"/>
        <v>COMMENT ON COLUMN mars_agency_store.aggregated_primary_agent_code IS '集約一次代理店コード';</v>
      </c>
      <c r="R19" s="34" t="s">
        <v>4083</v>
      </c>
    </row>
    <row r="20" spans="1:18" ht="19.5" thickBot="1">
      <c r="A20" s="13"/>
      <c r="B20" s="13">
        <v>12</v>
      </c>
      <c r="C20" s="13" t="s">
        <v>4084</v>
      </c>
      <c r="D20" s="13" t="s">
        <v>66</v>
      </c>
      <c r="E20" s="13">
        <v>40</v>
      </c>
      <c r="F20" s="14" t="s">
        <v>67</v>
      </c>
      <c r="G20" s="13"/>
      <c r="H20" s="8"/>
      <c r="I20" s="13"/>
      <c r="J20" s="13"/>
      <c r="K20" s="25" t="s">
        <v>4085</v>
      </c>
      <c r="L20" t="str">
        <f t="shared" si="0"/>
        <v>VARCHAR(40),</v>
      </c>
      <c r="N20" s="38" t="str">
        <f t="shared" si="1"/>
        <v>COMMENT ON COLUMN mars_agency_store.chkdigit_collected_primary_agent_cd IS 'chkdigit_集_一次代理店cd';</v>
      </c>
      <c r="R20" s="34" t="s">
        <v>4086</v>
      </c>
    </row>
    <row r="21" spans="1:18" ht="19.5" thickBot="1">
      <c r="A21" s="11"/>
      <c r="B21" s="11">
        <v>13</v>
      </c>
      <c r="C21" s="11" t="s">
        <v>4087</v>
      </c>
      <c r="D21" s="11" t="s">
        <v>66</v>
      </c>
      <c r="E21" s="11">
        <v>40</v>
      </c>
      <c r="F21" s="10" t="s">
        <v>67</v>
      </c>
      <c r="G21" s="11"/>
      <c r="H21" s="5"/>
      <c r="I21" s="11"/>
      <c r="J21" s="11"/>
      <c r="K21" s="25" t="s">
        <v>4088</v>
      </c>
      <c r="L21" t="str">
        <f t="shared" si="0"/>
        <v>VARCHAR(40),</v>
      </c>
      <c r="N21" s="38" t="str">
        <f t="shared" si="1"/>
        <v>COMMENT ON COLUMN mars_agency_store.aggregated_agent_code IS '集約取次店コード';</v>
      </c>
      <c r="R21" s="34" t="s">
        <v>4089</v>
      </c>
    </row>
    <row r="22" spans="1:18" ht="19.5" thickBot="1">
      <c r="A22" s="13"/>
      <c r="B22" s="13">
        <v>14</v>
      </c>
      <c r="C22" s="13" t="s">
        <v>4090</v>
      </c>
      <c r="D22" s="13" t="s">
        <v>66</v>
      </c>
      <c r="E22" s="13">
        <v>40</v>
      </c>
      <c r="F22" s="14" t="s">
        <v>67</v>
      </c>
      <c r="G22" s="13"/>
      <c r="H22" s="8"/>
      <c r="I22" s="13"/>
      <c r="J22" s="13"/>
      <c r="K22" s="25" t="s">
        <v>4091</v>
      </c>
      <c r="L22" t="str">
        <f t="shared" si="0"/>
        <v>VARCHAR(40),</v>
      </c>
      <c r="N22" s="38" t="str">
        <f t="shared" si="1"/>
        <v>COMMENT ON COLUMN mars_agency_store.chkdigit_aggregated_agent_cd IS 'chkdigit集約取次店cd';</v>
      </c>
      <c r="R22" s="34" t="s">
        <v>4092</v>
      </c>
    </row>
    <row r="23" spans="1:18" ht="19.5" thickBot="1">
      <c r="A23" s="11"/>
      <c r="B23" s="11">
        <v>15</v>
      </c>
      <c r="C23" s="11" t="s">
        <v>4093</v>
      </c>
      <c r="D23" s="11" t="s">
        <v>89</v>
      </c>
      <c r="E23" s="11" t="s">
        <v>3805</v>
      </c>
      <c r="F23" s="10" t="s">
        <v>67</v>
      </c>
      <c r="G23" s="11"/>
      <c r="H23" s="5"/>
      <c r="I23" s="11"/>
      <c r="J23" s="11"/>
      <c r="K23" s="25" t="s">
        <v>4094</v>
      </c>
      <c r="L23" t="str">
        <f t="shared" si="0"/>
        <v>DECIMAL(10,0),</v>
      </c>
      <c r="N23" s="38" t="str">
        <f t="shared" si="1"/>
        <v>COMMENT ON COLUMN mars_agency_store.company_category IS '企業区分';</v>
      </c>
      <c r="R23" s="34" t="s">
        <v>4095</v>
      </c>
    </row>
    <row r="24" spans="1:18" ht="19.5" thickBot="1">
      <c r="A24" s="13"/>
      <c r="B24" s="13">
        <v>16</v>
      </c>
      <c r="C24" s="13" t="s">
        <v>4096</v>
      </c>
      <c r="D24" s="13" t="s">
        <v>66</v>
      </c>
      <c r="E24" s="13">
        <v>1200</v>
      </c>
      <c r="F24" s="14" t="s">
        <v>67</v>
      </c>
      <c r="G24" s="13"/>
      <c r="H24" s="8"/>
      <c r="I24" s="13"/>
      <c r="J24" s="13"/>
      <c r="K24" s="25" t="s">
        <v>4097</v>
      </c>
      <c r="L24" t="str">
        <f t="shared" si="0"/>
        <v>VARCHAR(1200),</v>
      </c>
      <c r="N24" s="38" t="str">
        <f t="shared" si="1"/>
        <v>COMMENT ON COLUMN mars_agency_store.company_category_official_name IS '企業区分正式名称';</v>
      </c>
      <c r="R24" s="34" t="s">
        <v>4098</v>
      </c>
    </row>
    <row r="25" spans="1:18" ht="19.5" thickBot="1">
      <c r="A25" s="11"/>
      <c r="B25" s="11">
        <v>17</v>
      </c>
      <c r="C25" s="11" t="s">
        <v>4099</v>
      </c>
      <c r="D25" s="11" t="s">
        <v>89</v>
      </c>
      <c r="E25" s="11" t="s">
        <v>3805</v>
      </c>
      <c r="F25" s="10" t="s">
        <v>67</v>
      </c>
      <c r="G25" s="11"/>
      <c r="H25" s="5"/>
      <c r="I25" s="11"/>
      <c r="J25" s="11"/>
      <c r="K25" s="25" t="s">
        <v>4100</v>
      </c>
      <c r="L25" t="str">
        <f t="shared" si="0"/>
        <v>DECIMAL(10,0),</v>
      </c>
      <c r="N25" s="38" t="str">
        <f t="shared" si="1"/>
        <v>COMMENT ON COLUMN mars_agency_store.store_type_code IS '店舗種別コード';</v>
      </c>
      <c r="R25" s="34" t="s">
        <v>4101</v>
      </c>
    </row>
    <row r="26" spans="1:18" ht="19.5" thickBot="1">
      <c r="A26" s="13"/>
      <c r="B26" s="13">
        <v>18</v>
      </c>
      <c r="C26" s="13" t="s">
        <v>4102</v>
      </c>
      <c r="D26" s="13" t="s">
        <v>89</v>
      </c>
      <c r="E26" s="13" t="s">
        <v>3805</v>
      </c>
      <c r="F26" s="14" t="s">
        <v>67</v>
      </c>
      <c r="G26" s="13"/>
      <c r="H26" s="8"/>
      <c r="I26" s="13"/>
      <c r="J26" s="13"/>
      <c r="K26" s="25" t="s">
        <v>4103</v>
      </c>
      <c r="L26" t="str">
        <f t="shared" si="0"/>
        <v>DECIMAL(10,0),</v>
      </c>
      <c r="N26" s="38" t="str">
        <f t="shared" si="1"/>
        <v>COMMENT ON COLUMN mars_agency_store.store_registration_settings_ptn_cd IS '店舗登録設定ptn_cd';</v>
      </c>
      <c r="R26" s="34" t="s">
        <v>4104</v>
      </c>
    </row>
    <row r="27" spans="1:18" ht="19.5" thickBot="1">
      <c r="A27" s="11"/>
      <c r="B27" s="11">
        <v>19</v>
      </c>
      <c r="C27" s="11" t="s">
        <v>4105</v>
      </c>
      <c r="D27" s="11" t="s">
        <v>66</v>
      </c>
      <c r="E27" s="11">
        <v>1200</v>
      </c>
      <c r="F27" s="10" t="s">
        <v>67</v>
      </c>
      <c r="G27" s="11"/>
      <c r="H27" s="5"/>
      <c r="I27" s="11"/>
      <c r="J27" s="11"/>
      <c r="K27" s="25" t="s">
        <v>4106</v>
      </c>
      <c r="L27" t="str">
        <f t="shared" si="0"/>
        <v>VARCHAR(1200),</v>
      </c>
      <c r="N27" s="38" t="str">
        <f t="shared" si="1"/>
        <v>COMMENT ON COLUMN mars_agency_store.aggregator_official_name IS '取次店正式名称';</v>
      </c>
      <c r="R27" s="34" t="s">
        <v>4107</v>
      </c>
    </row>
    <row r="28" spans="1:18" ht="19.5" thickBot="1">
      <c r="A28" s="13"/>
      <c r="B28" s="13">
        <v>20</v>
      </c>
      <c r="C28" s="13" t="s">
        <v>4108</v>
      </c>
      <c r="D28" s="13" t="s">
        <v>66</v>
      </c>
      <c r="E28" s="13">
        <v>240</v>
      </c>
      <c r="F28" s="14" t="s">
        <v>67</v>
      </c>
      <c r="G28" s="13"/>
      <c r="H28" s="8"/>
      <c r="I28" s="13"/>
      <c r="J28" s="13"/>
      <c r="K28" s="25" t="s">
        <v>4109</v>
      </c>
      <c r="L28" t="str">
        <f t="shared" si="0"/>
        <v>VARCHAR(240),</v>
      </c>
      <c r="N28" s="38" t="str">
        <f t="shared" si="1"/>
        <v>COMMENT ON COLUMN mars_agency_store.aggregator_abbreviation IS '取次店略称';</v>
      </c>
      <c r="R28" s="34" t="s">
        <v>4110</v>
      </c>
    </row>
    <row r="29" spans="1:18" ht="19.5" thickBot="1">
      <c r="A29" s="11"/>
      <c r="B29" s="11">
        <v>21</v>
      </c>
      <c r="C29" s="11" t="s">
        <v>4111</v>
      </c>
      <c r="D29" s="11" t="s">
        <v>66</v>
      </c>
      <c r="E29" s="11">
        <v>1200</v>
      </c>
      <c r="F29" s="10" t="s">
        <v>67</v>
      </c>
      <c r="G29" s="11"/>
      <c r="H29" s="5"/>
      <c r="I29" s="11"/>
      <c r="J29" s="11"/>
      <c r="K29" s="25" t="s">
        <v>4112</v>
      </c>
      <c r="L29" t="str">
        <f t="shared" si="0"/>
        <v>VARCHAR(1200),</v>
      </c>
      <c r="N29" s="38" t="str">
        <f t="shared" si="1"/>
        <v>COMMENT ON COLUMN mars_agency_store.aggregator_name_katakana IS '取次店カナ名称';</v>
      </c>
      <c r="R29" s="34" t="s">
        <v>4113</v>
      </c>
    </row>
    <row r="30" spans="1:18" ht="19.5" thickBot="1">
      <c r="A30" s="13"/>
      <c r="B30" s="13">
        <v>22</v>
      </c>
      <c r="C30" s="13" t="s">
        <v>4114</v>
      </c>
      <c r="D30" s="13" t="s">
        <v>66</v>
      </c>
      <c r="E30" s="13">
        <v>1200</v>
      </c>
      <c r="F30" s="14" t="s">
        <v>67</v>
      </c>
      <c r="G30" s="13"/>
      <c r="H30" s="8"/>
      <c r="I30" s="13"/>
      <c r="J30" s="13"/>
      <c r="K30" s="25" t="s">
        <v>4115</v>
      </c>
      <c r="L30" t="str">
        <f t="shared" si="0"/>
        <v>VARCHAR(1200),</v>
      </c>
      <c r="N30" s="38" t="str">
        <f t="shared" si="1"/>
        <v>COMMENT ON COLUMN mars_agency_store.aggregator_store_name_in_english IS '取次店英語名称';</v>
      </c>
      <c r="R30" s="34" t="s">
        <v>4116</v>
      </c>
    </row>
    <row r="31" spans="1:18" ht="19.5" thickBot="1">
      <c r="A31" s="11"/>
      <c r="B31" s="11">
        <v>23</v>
      </c>
      <c r="C31" s="11" t="s">
        <v>4117</v>
      </c>
      <c r="D31" s="11" t="s">
        <v>66</v>
      </c>
      <c r="E31" s="11">
        <v>600</v>
      </c>
      <c r="F31" s="10" t="s">
        <v>67</v>
      </c>
      <c r="G31" s="11"/>
      <c r="H31" s="5"/>
      <c r="I31" s="11"/>
      <c r="J31" s="11"/>
      <c r="K31" s="25" t="s">
        <v>4118</v>
      </c>
      <c r="L31" t="str">
        <f t="shared" si="0"/>
        <v>VARCHAR(600),</v>
      </c>
      <c r="N31" s="38" t="str">
        <f t="shared" si="1"/>
        <v>COMMENT ON COLUMN mars_agency_store.registered_corporate_name IS '登記簿登録法人名';</v>
      </c>
      <c r="R31" s="34" t="s">
        <v>4119</v>
      </c>
    </row>
    <row r="32" spans="1:18" ht="19.5" thickBot="1">
      <c r="A32" s="13"/>
      <c r="B32" s="13">
        <v>24</v>
      </c>
      <c r="C32" s="13" t="s">
        <v>4120</v>
      </c>
      <c r="D32" s="13" t="s">
        <v>66</v>
      </c>
      <c r="E32" s="13">
        <v>20</v>
      </c>
      <c r="F32" s="14" t="s">
        <v>67</v>
      </c>
      <c r="G32" s="13"/>
      <c r="H32" s="8"/>
      <c r="I32" s="13"/>
      <c r="J32" s="13"/>
      <c r="K32" s="25" t="s">
        <v>4121</v>
      </c>
      <c r="L32" t="str">
        <f t="shared" si="0"/>
        <v>VARCHAR(20),</v>
      </c>
      <c r="N32" s="38" t="str">
        <f t="shared" si="1"/>
        <v>COMMENT ON COLUMN mars_agency_store.area_code IS '地域コード';</v>
      </c>
      <c r="R32" s="34" t="s">
        <v>4122</v>
      </c>
    </row>
    <row r="33" spans="1:18" ht="19.5" thickBot="1">
      <c r="A33" s="11"/>
      <c r="B33" s="11">
        <v>25</v>
      </c>
      <c r="C33" s="11" t="s">
        <v>4123</v>
      </c>
      <c r="D33" s="11" t="s">
        <v>66</v>
      </c>
      <c r="E33" s="11">
        <v>1200</v>
      </c>
      <c r="F33" s="10" t="s">
        <v>67</v>
      </c>
      <c r="G33" s="11"/>
      <c r="H33" s="5"/>
      <c r="I33" s="11"/>
      <c r="J33" s="11"/>
      <c r="K33" s="25" t="s">
        <v>4124</v>
      </c>
      <c r="L33" t="str">
        <f t="shared" si="0"/>
        <v>VARCHAR(1200),</v>
      </c>
      <c r="N33" s="38" t="str">
        <f t="shared" si="1"/>
        <v>COMMENT ON COLUMN mars_agency_store.area_official_name IS '地域正式名称';</v>
      </c>
      <c r="R33" s="34" t="s">
        <v>4125</v>
      </c>
    </row>
    <row r="34" spans="1:18" ht="19.5" thickBot="1">
      <c r="A34" s="13"/>
      <c r="B34" s="13">
        <v>26</v>
      </c>
      <c r="C34" s="13" t="s">
        <v>4126</v>
      </c>
      <c r="D34" s="13" t="s">
        <v>66</v>
      </c>
      <c r="E34" s="13">
        <v>2</v>
      </c>
      <c r="F34" s="14" t="s">
        <v>67</v>
      </c>
      <c r="G34" s="13"/>
      <c r="H34" s="8"/>
      <c r="I34" s="13"/>
      <c r="J34" s="13"/>
      <c r="K34" s="25" t="s">
        <v>4127</v>
      </c>
      <c r="L34" t="str">
        <f t="shared" si="0"/>
        <v>VARCHAR(2),</v>
      </c>
      <c r="N34" s="38" t="str">
        <f t="shared" si="1"/>
        <v>COMMENT ON COLUMN mars_agency_store.area_english_code IS '地域英語コード';</v>
      </c>
      <c r="R34" s="34" t="s">
        <v>4128</v>
      </c>
    </row>
    <row r="35" spans="1:18" ht="19.5" thickBot="1">
      <c r="A35" s="11"/>
      <c r="B35" s="11">
        <v>27</v>
      </c>
      <c r="C35" s="11" t="s">
        <v>4129</v>
      </c>
      <c r="D35" s="11" t="s">
        <v>66</v>
      </c>
      <c r="E35" s="11">
        <v>1200</v>
      </c>
      <c r="F35" s="10" t="s">
        <v>67</v>
      </c>
      <c r="G35" s="11"/>
      <c r="H35" s="5"/>
      <c r="I35" s="11"/>
      <c r="J35" s="11"/>
      <c r="K35" s="25" t="s">
        <v>4130</v>
      </c>
      <c r="L35" t="str">
        <f t="shared" si="0"/>
        <v>VARCHAR(1200),</v>
      </c>
      <c r="N35" s="38" t="str">
        <f t="shared" si="1"/>
        <v>COMMENT ON COLUMN mars_agency_store.area_half_width_kana_name IS '地域半角カナ名称';</v>
      </c>
      <c r="R35" s="34" t="s">
        <v>4131</v>
      </c>
    </row>
    <row r="36" spans="1:18" ht="19.5" thickBot="1">
      <c r="A36" s="13"/>
      <c r="B36" s="13">
        <v>28</v>
      </c>
      <c r="C36" s="13" t="s">
        <v>4132</v>
      </c>
      <c r="D36" s="13" t="s">
        <v>66</v>
      </c>
      <c r="E36" s="13">
        <v>1200</v>
      </c>
      <c r="F36" s="14" t="s">
        <v>67</v>
      </c>
      <c r="G36" s="13"/>
      <c r="H36" s="8"/>
      <c r="I36" s="13"/>
      <c r="J36" s="13"/>
      <c r="K36" s="25" t="s">
        <v>4133</v>
      </c>
      <c r="L36" t="str">
        <f t="shared" si="0"/>
        <v>VARCHAR(1200),</v>
      </c>
      <c r="N36" s="38" t="str">
        <f t="shared" si="1"/>
        <v>COMMENT ON COLUMN mars_agency_store.area_english_name IS '地域英語名称';</v>
      </c>
      <c r="R36" s="34" t="s">
        <v>4134</v>
      </c>
    </row>
    <row r="37" spans="1:18" ht="19.5" thickBot="1">
      <c r="A37" s="11"/>
      <c r="B37" s="11">
        <v>29</v>
      </c>
      <c r="C37" s="11" t="s">
        <v>4135</v>
      </c>
      <c r="D37" s="11" t="s">
        <v>66</v>
      </c>
      <c r="E37" s="11">
        <v>20</v>
      </c>
      <c r="F37" s="10" t="s">
        <v>67</v>
      </c>
      <c r="G37" s="11"/>
      <c r="H37" s="5"/>
      <c r="I37" s="11"/>
      <c r="J37" s="11"/>
      <c r="K37" s="25" t="s">
        <v>4136</v>
      </c>
      <c r="L37" t="str">
        <f t="shared" si="0"/>
        <v>VARCHAR(20),</v>
      </c>
      <c r="N37" s="38" t="str">
        <f t="shared" si="1"/>
        <v>COMMENT ON COLUMN mars_agency_store.agent_postal_code IS '取次店郵便番号';</v>
      </c>
      <c r="R37" s="34" t="s">
        <v>4137</v>
      </c>
    </row>
    <row r="38" spans="1:18" ht="19.5" thickBot="1">
      <c r="A38" s="13"/>
      <c r="B38" s="13">
        <v>30</v>
      </c>
      <c r="C38" s="13" t="s">
        <v>4138</v>
      </c>
      <c r="D38" s="13" t="s">
        <v>66</v>
      </c>
      <c r="E38" s="13">
        <v>4</v>
      </c>
      <c r="F38" s="14" t="s">
        <v>67</v>
      </c>
      <c r="G38" s="13"/>
      <c r="H38" s="8"/>
      <c r="I38" s="13"/>
      <c r="J38" s="13"/>
      <c r="K38" s="25" t="s">
        <v>4139</v>
      </c>
      <c r="L38" t="str">
        <f t="shared" si="0"/>
        <v>VARCHAR(4),</v>
      </c>
      <c r="N38" s="38" t="str">
        <f t="shared" si="1"/>
        <v>COMMENT ON COLUMN mars_agency_store.prefecture_code IS '都道府県コード';</v>
      </c>
      <c r="R38" s="34" t="s">
        <v>4140</v>
      </c>
    </row>
    <row r="39" spans="1:18" ht="19.5" thickBot="1">
      <c r="A39" s="11"/>
      <c r="B39" s="11">
        <v>31</v>
      </c>
      <c r="C39" s="11" t="s">
        <v>4141</v>
      </c>
      <c r="D39" s="11" t="s">
        <v>66</v>
      </c>
      <c r="E39" s="11">
        <v>96</v>
      </c>
      <c r="F39" s="10" t="s">
        <v>67</v>
      </c>
      <c r="G39" s="11"/>
      <c r="H39" s="5"/>
      <c r="I39" s="11"/>
      <c r="J39" s="11"/>
      <c r="K39" s="25" t="s">
        <v>4142</v>
      </c>
      <c r="L39" t="str">
        <f t="shared" si="0"/>
        <v>VARCHAR(96),</v>
      </c>
      <c r="N39" s="38" t="str">
        <f t="shared" si="1"/>
        <v>COMMENT ON COLUMN mars_agency_store.prefecture_kana IS '都道府県カナ';</v>
      </c>
      <c r="R39" s="34" t="s">
        <v>4143</v>
      </c>
    </row>
    <row r="40" spans="1:18" ht="19.5" thickBot="1">
      <c r="A40" s="13"/>
      <c r="B40" s="13">
        <v>32</v>
      </c>
      <c r="C40" s="13" t="s">
        <v>4144</v>
      </c>
      <c r="D40" s="13" t="s">
        <v>66</v>
      </c>
      <c r="E40" s="13">
        <v>96</v>
      </c>
      <c r="F40" s="14" t="s">
        <v>67</v>
      </c>
      <c r="G40" s="13"/>
      <c r="H40" s="8"/>
      <c r="I40" s="13"/>
      <c r="J40" s="13"/>
      <c r="K40" s="25" t="s">
        <v>4145</v>
      </c>
      <c r="L40" t="str">
        <f t="shared" si="0"/>
        <v>VARCHAR(96),</v>
      </c>
      <c r="N40" s="38" t="str">
        <f t="shared" si="1"/>
        <v>COMMENT ON COLUMN mars_agency_store.prefecture_kanji IS '都道府県漢字';</v>
      </c>
      <c r="R40" s="34" t="s">
        <v>4146</v>
      </c>
    </row>
    <row r="41" spans="1:18" ht="19.5" thickBot="1">
      <c r="A41" s="11"/>
      <c r="B41" s="11">
        <v>33</v>
      </c>
      <c r="C41" s="11" t="s">
        <v>4147</v>
      </c>
      <c r="D41" s="11" t="s">
        <v>89</v>
      </c>
      <c r="E41" s="11" t="s">
        <v>3805</v>
      </c>
      <c r="F41" s="10" t="s">
        <v>67</v>
      </c>
      <c r="G41" s="11"/>
      <c r="H41" s="5"/>
      <c r="I41" s="11"/>
      <c r="J41" s="11"/>
      <c r="K41" s="25" t="s">
        <v>4148</v>
      </c>
      <c r="L41" t="str">
        <f t="shared" si="0"/>
        <v>DECIMAL(10,0),</v>
      </c>
      <c r="N41" s="38" t="str">
        <f t="shared" si="1"/>
        <v>COMMENT ON COLUMN mars_agency_store.earthquake_flag IS '震災フラグ';</v>
      </c>
      <c r="R41" s="34" t="s">
        <v>4149</v>
      </c>
    </row>
    <row r="42" spans="1:18" ht="19.5" thickBot="1">
      <c r="A42" s="13"/>
      <c r="B42" s="13">
        <v>34</v>
      </c>
      <c r="C42" s="13" t="s">
        <v>4150</v>
      </c>
      <c r="D42" s="13" t="s">
        <v>66</v>
      </c>
      <c r="E42" s="13">
        <v>720</v>
      </c>
      <c r="F42" s="14" t="s">
        <v>67</v>
      </c>
      <c r="G42" s="13"/>
      <c r="H42" s="8"/>
      <c r="I42" s="13"/>
      <c r="J42" s="13"/>
      <c r="K42" s="25" t="s">
        <v>4151</v>
      </c>
      <c r="L42" t="str">
        <f t="shared" si="0"/>
        <v>VARCHAR(720),</v>
      </c>
      <c r="N42" s="38" t="str">
        <f t="shared" si="1"/>
        <v>COMMENT ON COLUMN mars_agency_store.earthquake_flag_official_name IS '震災フラグ正式名称';</v>
      </c>
      <c r="R42" s="34" t="s">
        <v>4152</v>
      </c>
    </row>
    <row r="43" spans="1:18" ht="19.5" thickBot="1">
      <c r="A43" s="11"/>
      <c r="B43" s="11">
        <v>35</v>
      </c>
      <c r="C43" s="11" t="s">
        <v>4153</v>
      </c>
      <c r="D43" s="11" t="s">
        <v>66</v>
      </c>
      <c r="E43" s="11">
        <v>6</v>
      </c>
      <c r="F43" s="10" t="s">
        <v>67</v>
      </c>
      <c r="G43" s="11"/>
      <c r="H43" s="5"/>
      <c r="I43" s="11"/>
      <c r="J43" s="11"/>
      <c r="K43" s="25" t="s">
        <v>4154</v>
      </c>
      <c r="L43" t="str">
        <f t="shared" si="0"/>
        <v>VARCHAR(6),</v>
      </c>
      <c r="N43" s="38" t="str">
        <f t="shared" si="1"/>
        <v>COMMENT ON COLUMN mars_agency_store.city_code IS '市区町村コード';</v>
      </c>
      <c r="R43" s="34" t="s">
        <v>4155</v>
      </c>
    </row>
    <row r="44" spans="1:18" ht="19.5" thickBot="1">
      <c r="A44" s="13"/>
      <c r="B44" s="13">
        <v>36</v>
      </c>
      <c r="C44" s="13" t="s">
        <v>4156</v>
      </c>
      <c r="D44" s="13" t="s">
        <v>66</v>
      </c>
      <c r="E44" s="13">
        <v>288</v>
      </c>
      <c r="F44" s="14" t="s">
        <v>67</v>
      </c>
      <c r="G44" s="13"/>
      <c r="H44" s="8"/>
      <c r="I44" s="13"/>
      <c r="J44" s="13"/>
      <c r="K44" s="25" t="s">
        <v>4157</v>
      </c>
      <c r="L44" t="str">
        <f t="shared" si="0"/>
        <v>VARCHAR(288),</v>
      </c>
      <c r="N44" s="38" t="str">
        <f t="shared" si="1"/>
        <v>COMMENT ON COLUMN mars_agency_store.city_kana IS '市区町村カナ';</v>
      </c>
      <c r="R44" s="34" t="s">
        <v>4158</v>
      </c>
    </row>
    <row r="45" spans="1:18" ht="19.5" thickBot="1">
      <c r="A45" s="11"/>
      <c r="B45" s="11">
        <v>37</v>
      </c>
      <c r="C45" s="11" t="s">
        <v>4159</v>
      </c>
      <c r="D45" s="11" t="s">
        <v>66</v>
      </c>
      <c r="E45" s="11">
        <v>288</v>
      </c>
      <c r="F45" s="10" t="s">
        <v>67</v>
      </c>
      <c r="G45" s="11"/>
      <c r="H45" s="5"/>
      <c r="I45" s="11"/>
      <c r="J45" s="11"/>
      <c r="K45" s="25" t="s">
        <v>4160</v>
      </c>
      <c r="L45" t="str">
        <f t="shared" si="0"/>
        <v>VARCHAR(288),</v>
      </c>
      <c r="N45" s="38" t="str">
        <f t="shared" si="1"/>
        <v>COMMENT ON COLUMN mars_agency_store.city_kanji IS '市区町村漢字';</v>
      </c>
      <c r="R45" s="34" t="s">
        <v>4161</v>
      </c>
    </row>
    <row r="46" spans="1:18" ht="19.5" thickBot="1">
      <c r="A46" s="13"/>
      <c r="B46" s="13">
        <v>38</v>
      </c>
      <c r="C46" s="13" t="s">
        <v>4162</v>
      </c>
      <c r="D46" s="13" t="s">
        <v>66</v>
      </c>
      <c r="E46" s="13">
        <v>6</v>
      </c>
      <c r="F46" s="14" t="s">
        <v>67</v>
      </c>
      <c r="G46" s="13"/>
      <c r="H46" s="8"/>
      <c r="I46" s="13"/>
      <c r="J46" s="13"/>
      <c r="K46" s="25" t="s">
        <v>4163</v>
      </c>
      <c r="L46" t="str">
        <f t="shared" si="0"/>
        <v>VARCHAR(6),</v>
      </c>
      <c r="N46" s="38" t="str">
        <f t="shared" si="1"/>
        <v>COMMENT ON COLUMN mars_agency_store.common_name_code IS '通称コード';</v>
      </c>
      <c r="R46" s="34" t="s">
        <v>4164</v>
      </c>
    </row>
    <row r="47" spans="1:18" ht="19.5" thickBot="1">
      <c r="A47" s="11"/>
      <c r="B47" s="11">
        <v>39</v>
      </c>
      <c r="C47" s="11" t="s">
        <v>4165</v>
      </c>
      <c r="D47" s="11" t="s">
        <v>66</v>
      </c>
      <c r="E47" s="11">
        <v>432</v>
      </c>
      <c r="F47" s="10" t="s">
        <v>67</v>
      </c>
      <c r="G47" s="11"/>
      <c r="H47" s="5"/>
      <c r="I47" s="11"/>
      <c r="J47" s="11"/>
      <c r="K47" s="25" t="s">
        <v>4166</v>
      </c>
      <c r="L47" t="str">
        <f t="shared" si="0"/>
        <v>VARCHAR(432),</v>
      </c>
      <c r="N47" s="38" t="str">
        <f t="shared" si="1"/>
        <v>COMMENT ON COLUMN mars_agency_store.common_name_kana IS '通称カナ';</v>
      </c>
      <c r="R47" s="34" t="s">
        <v>4167</v>
      </c>
    </row>
    <row r="48" spans="1:18" ht="19.5" thickBot="1">
      <c r="A48" s="13"/>
      <c r="B48" s="13">
        <v>40</v>
      </c>
      <c r="C48" s="13" t="s">
        <v>4168</v>
      </c>
      <c r="D48" s="13" t="s">
        <v>66</v>
      </c>
      <c r="E48" s="13">
        <v>432</v>
      </c>
      <c r="F48" s="14" t="s">
        <v>67</v>
      </c>
      <c r="G48" s="13"/>
      <c r="H48" s="8"/>
      <c r="I48" s="13"/>
      <c r="J48" s="13"/>
      <c r="K48" s="25" t="s">
        <v>4169</v>
      </c>
      <c r="L48" t="str">
        <f t="shared" si="0"/>
        <v>VARCHAR(432),</v>
      </c>
      <c r="N48" s="38" t="str">
        <f t="shared" si="1"/>
        <v>COMMENT ON COLUMN mars_agency_store.common_name_kanji IS '通称漢字';</v>
      </c>
      <c r="R48" s="34" t="s">
        <v>4170</v>
      </c>
    </row>
    <row r="49" spans="1:18" ht="19.5" thickBot="1">
      <c r="A49" s="11"/>
      <c r="B49" s="11">
        <v>41</v>
      </c>
      <c r="C49" s="11" t="s">
        <v>4171</v>
      </c>
      <c r="D49" s="11" t="s">
        <v>66</v>
      </c>
      <c r="E49" s="11">
        <v>6</v>
      </c>
      <c r="F49" s="10" t="s">
        <v>67</v>
      </c>
      <c r="G49" s="11"/>
      <c r="H49" s="5"/>
      <c r="I49" s="11"/>
      <c r="J49" s="11"/>
      <c r="K49" s="25" t="s">
        <v>4172</v>
      </c>
      <c r="L49" t="str">
        <f t="shared" si="0"/>
        <v>VARCHAR(6),</v>
      </c>
      <c r="N49" s="38" t="str">
        <f t="shared" si="1"/>
        <v>COMMENT ON COLUMN mars_agency_store.chome_code IS '丁目コード';</v>
      </c>
      <c r="R49" s="34" t="s">
        <v>4173</v>
      </c>
    </row>
    <row r="50" spans="1:18" ht="19.5" thickBot="1">
      <c r="A50" s="13"/>
      <c r="B50" s="13">
        <v>42</v>
      </c>
      <c r="C50" s="13" t="s">
        <v>4174</v>
      </c>
      <c r="D50" s="13" t="s">
        <v>66</v>
      </c>
      <c r="E50" s="13">
        <v>288</v>
      </c>
      <c r="F50" s="14" t="s">
        <v>67</v>
      </c>
      <c r="G50" s="13"/>
      <c r="H50" s="8"/>
      <c r="I50" s="13"/>
      <c r="J50" s="13"/>
      <c r="K50" s="25" t="s">
        <v>4175</v>
      </c>
      <c r="L50" t="str">
        <f t="shared" si="0"/>
        <v>VARCHAR(288),</v>
      </c>
      <c r="N50" s="38" t="str">
        <f t="shared" si="1"/>
        <v>COMMENT ON COLUMN mars_agency_store.chome_kana IS '丁目カナ';</v>
      </c>
      <c r="R50" s="34" t="s">
        <v>4176</v>
      </c>
    </row>
    <row r="51" spans="1:18" ht="19.5" thickBot="1">
      <c r="A51" s="11"/>
      <c r="B51" s="11">
        <v>43</v>
      </c>
      <c r="C51" s="11" t="s">
        <v>4177</v>
      </c>
      <c r="D51" s="11" t="s">
        <v>66</v>
      </c>
      <c r="E51" s="11">
        <v>288</v>
      </c>
      <c r="F51" s="10" t="s">
        <v>67</v>
      </c>
      <c r="G51" s="11"/>
      <c r="H51" s="5"/>
      <c r="I51" s="11"/>
      <c r="J51" s="11"/>
      <c r="K51" s="25" t="s">
        <v>4178</v>
      </c>
      <c r="L51" t="str">
        <f t="shared" si="0"/>
        <v>VARCHAR(288),</v>
      </c>
      <c r="N51" s="38" t="str">
        <f t="shared" si="1"/>
        <v>COMMENT ON COLUMN mars_agency_store.chome_kanji IS '丁目漢字';</v>
      </c>
      <c r="R51" s="34" t="s">
        <v>4179</v>
      </c>
    </row>
    <row r="52" spans="1:18" ht="19.5" thickBot="1">
      <c r="A52" s="13"/>
      <c r="B52" s="13">
        <v>44</v>
      </c>
      <c r="C52" s="13" t="s">
        <v>4180</v>
      </c>
      <c r="D52" s="13" t="s">
        <v>66</v>
      </c>
      <c r="E52" s="13">
        <v>720</v>
      </c>
      <c r="F52" s="14" t="s">
        <v>67</v>
      </c>
      <c r="G52" s="13"/>
      <c r="H52" s="8"/>
      <c r="I52" s="13"/>
      <c r="J52" s="13"/>
      <c r="K52" s="25" t="s">
        <v>4181</v>
      </c>
      <c r="L52" t="str">
        <f t="shared" si="0"/>
        <v>VARCHAR(720),</v>
      </c>
      <c r="N52" s="38" t="str">
        <f t="shared" si="1"/>
        <v>COMMENT ON COLUMN mars_agency_store.additional_address IS '付帯住所';</v>
      </c>
      <c r="R52" s="34" t="s">
        <v>4182</v>
      </c>
    </row>
    <row r="53" spans="1:18" ht="19.5" thickBot="1">
      <c r="A53" s="11"/>
      <c r="B53" s="11">
        <v>45</v>
      </c>
      <c r="C53" s="11" t="s">
        <v>4183</v>
      </c>
      <c r="D53" s="11" t="s">
        <v>66</v>
      </c>
      <c r="E53" s="11">
        <v>30</v>
      </c>
      <c r="F53" s="10" t="s">
        <v>67</v>
      </c>
      <c r="G53" s="11"/>
      <c r="H53" s="5"/>
      <c r="I53" s="11"/>
      <c r="J53" s="11"/>
      <c r="K53" s="25" t="s">
        <v>4184</v>
      </c>
      <c r="L53" t="str">
        <f t="shared" si="0"/>
        <v>VARCHAR(30),</v>
      </c>
      <c r="N53" s="38" t="str">
        <f t="shared" si="1"/>
        <v>COMMENT ON COLUMN mars_agency_store.agent_tel_no IS '取次店tel_no';</v>
      </c>
      <c r="R53" s="34" t="s">
        <v>4185</v>
      </c>
    </row>
    <row r="54" spans="1:18" ht="19.5" thickBot="1">
      <c r="A54" s="13"/>
      <c r="B54" s="13">
        <v>46</v>
      </c>
      <c r="C54" s="13" t="s">
        <v>4186</v>
      </c>
      <c r="D54" s="13" t="s">
        <v>66</v>
      </c>
      <c r="E54" s="13">
        <v>30</v>
      </c>
      <c r="F54" s="14" t="s">
        <v>67</v>
      </c>
      <c r="G54" s="13"/>
      <c r="H54" s="8"/>
      <c r="I54" s="13"/>
      <c r="J54" s="13"/>
      <c r="K54" s="25" t="s">
        <v>4187</v>
      </c>
      <c r="L54" t="str">
        <f t="shared" si="0"/>
        <v>VARCHAR(30),</v>
      </c>
      <c r="N54" s="38" t="str">
        <f t="shared" si="1"/>
        <v>COMMENT ON COLUMN mars_agency_store.agent_fax_no IS '取次店fax_no';</v>
      </c>
      <c r="R54" s="34" t="s">
        <v>4188</v>
      </c>
    </row>
    <row r="55" spans="1:18" ht="19.5" thickBot="1">
      <c r="A55" s="11"/>
      <c r="B55" s="11">
        <v>47</v>
      </c>
      <c r="C55" s="11" t="s">
        <v>4189</v>
      </c>
      <c r="D55" s="11" t="s">
        <v>66</v>
      </c>
      <c r="E55" s="11">
        <v>32</v>
      </c>
      <c r="F55" s="10" t="s">
        <v>67</v>
      </c>
      <c r="G55" s="11"/>
      <c r="H55" s="5"/>
      <c r="I55" s="11"/>
      <c r="J55" s="11"/>
      <c r="K55" s="25" t="s">
        <v>4190</v>
      </c>
      <c r="L55" t="str">
        <f t="shared" si="0"/>
        <v>VARCHAR(32),</v>
      </c>
      <c r="N55" s="38" t="str">
        <f t="shared" si="1"/>
        <v>COMMENT ON COLUMN mars_agency_store.registration_business_tel_no IS '登録業務用tel_no';</v>
      </c>
      <c r="R55" s="34" t="s">
        <v>4191</v>
      </c>
    </row>
    <row r="56" spans="1:18" ht="19.5" thickBot="1">
      <c r="A56" s="13"/>
      <c r="B56" s="13">
        <v>48</v>
      </c>
      <c r="C56" s="13" t="s">
        <v>4192</v>
      </c>
      <c r="D56" s="13" t="s">
        <v>66</v>
      </c>
      <c r="E56" s="13">
        <v>32</v>
      </c>
      <c r="F56" s="14" t="s">
        <v>67</v>
      </c>
      <c r="G56" s="13"/>
      <c r="H56" s="8"/>
      <c r="I56" s="13"/>
      <c r="J56" s="13"/>
      <c r="K56" s="25" t="s">
        <v>4193</v>
      </c>
      <c r="L56" t="str">
        <f t="shared" si="0"/>
        <v>VARCHAR(32),</v>
      </c>
      <c r="N56" s="38" t="str">
        <f t="shared" si="1"/>
        <v>COMMENT ON COLUMN mars_agency_store.registration_business_tel_no_2 IS '登録業務用tel_no2';</v>
      </c>
      <c r="R56" s="34" t="s">
        <v>4194</v>
      </c>
    </row>
    <row r="57" spans="1:18" ht="19.5" thickBot="1">
      <c r="A57" s="11"/>
      <c r="B57" s="11">
        <v>49</v>
      </c>
      <c r="C57" s="11" t="s">
        <v>4195</v>
      </c>
      <c r="D57" s="11" t="s">
        <v>66</v>
      </c>
      <c r="E57" s="11">
        <v>32</v>
      </c>
      <c r="F57" s="10" t="s">
        <v>67</v>
      </c>
      <c r="G57" s="11"/>
      <c r="H57" s="5"/>
      <c r="I57" s="11"/>
      <c r="J57" s="11"/>
      <c r="K57" s="25" t="s">
        <v>4196</v>
      </c>
      <c r="L57" t="str">
        <f t="shared" si="0"/>
        <v>VARCHAR(32),</v>
      </c>
      <c r="N57" s="38" t="str">
        <f t="shared" si="1"/>
        <v>COMMENT ON COLUMN mars_agency_store.registration_business_fax_no IS '登録業務用fax_no';</v>
      </c>
      <c r="R57" s="34" t="s">
        <v>4197</v>
      </c>
    </row>
    <row r="58" spans="1:18" ht="19.5" thickBot="1">
      <c r="A58" s="13"/>
      <c r="B58" s="13">
        <v>50</v>
      </c>
      <c r="C58" s="13" t="s">
        <v>4198</v>
      </c>
      <c r="D58" s="13" t="s">
        <v>66</v>
      </c>
      <c r="E58" s="13">
        <v>720</v>
      </c>
      <c r="F58" s="14" t="s">
        <v>67</v>
      </c>
      <c r="G58" s="13"/>
      <c r="H58" s="8"/>
      <c r="I58" s="13"/>
      <c r="J58" s="13"/>
      <c r="K58" s="25" t="s">
        <v>4199</v>
      </c>
      <c r="L58" t="str">
        <f t="shared" si="0"/>
        <v>VARCHAR(720),</v>
      </c>
      <c r="N58" s="38" t="str">
        <f t="shared" si="1"/>
        <v>COMMENT ON COLUMN mars_agency_store.representative_name IS '代表者氏名';</v>
      </c>
      <c r="R58" s="34" t="s">
        <v>4200</v>
      </c>
    </row>
    <row r="59" spans="1:18" ht="19.5" thickBot="1">
      <c r="A59" s="11"/>
      <c r="B59" s="11">
        <v>51</v>
      </c>
      <c r="C59" s="11" t="s">
        <v>4201</v>
      </c>
      <c r="D59" s="11" t="s">
        <v>66</v>
      </c>
      <c r="E59" s="11">
        <v>1200</v>
      </c>
      <c r="F59" s="10" t="s">
        <v>67</v>
      </c>
      <c r="G59" s="11"/>
      <c r="H59" s="5"/>
      <c r="I59" s="11"/>
      <c r="J59" s="11"/>
      <c r="K59" s="25" t="s">
        <v>4202</v>
      </c>
      <c r="L59" t="str">
        <f t="shared" si="0"/>
        <v>VARCHAR(1200),</v>
      </c>
      <c r="N59" s="38" t="str">
        <f t="shared" si="1"/>
        <v>COMMENT ON COLUMN mars_agency_store.department_name_of_person_in_charge IS '担当者部署名';</v>
      </c>
      <c r="R59" s="34" t="s">
        <v>4203</v>
      </c>
    </row>
    <row r="60" spans="1:18" ht="19.5" thickBot="1">
      <c r="A60" s="13"/>
      <c r="B60" s="13">
        <v>52</v>
      </c>
      <c r="C60" s="13" t="s">
        <v>4204</v>
      </c>
      <c r="D60" s="13" t="s">
        <v>66</v>
      </c>
      <c r="E60" s="13">
        <v>360</v>
      </c>
      <c r="F60" s="14" t="s">
        <v>67</v>
      </c>
      <c r="G60" s="13"/>
      <c r="H60" s="8"/>
      <c r="I60" s="13"/>
      <c r="J60" s="13"/>
      <c r="K60" s="25" t="s">
        <v>4205</v>
      </c>
      <c r="L60" t="str">
        <f t="shared" si="0"/>
        <v>VARCHAR(360),</v>
      </c>
      <c r="N60" s="38" t="str">
        <f t="shared" si="1"/>
        <v>COMMENT ON COLUMN mars_agency_store.name_of_person_in_charge IS '担当者氏名';</v>
      </c>
      <c r="R60" s="34" t="s">
        <v>4206</v>
      </c>
    </row>
    <row r="61" spans="1:18" ht="19.5" thickBot="1">
      <c r="A61" s="11"/>
      <c r="B61" s="11">
        <v>53</v>
      </c>
      <c r="C61" s="11" t="s">
        <v>4207</v>
      </c>
      <c r="D61" s="11" t="s">
        <v>66</v>
      </c>
      <c r="E61" s="11">
        <v>360</v>
      </c>
      <c r="F61" s="10" t="s">
        <v>67</v>
      </c>
      <c r="G61" s="11"/>
      <c r="H61" s="5"/>
      <c r="I61" s="11"/>
      <c r="J61" s="11"/>
      <c r="K61" s="25" t="s">
        <v>4208</v>
      </c>
      <c r="L61" t="str">
        <f t="shared" si="0"/>
        <v>VARCHAR(360),</v>
      </c>
      <c r="N61" s="38" t="str">
        <f t="shared" si="1"/>
        <v>COMMENT ON COLUMN mars_agency_store.position_of_person_in_charge IS '担当者役職';</v>
      </c>
      <c r="R61" s="34" t="s">
        <v>4209</v>
      </c>
    </row>
    <row r="62" spans="1:18" ht="19.5" thickBot="1">
      <c r="A62" s="13"/>
      <c r="B62" s="13">
        <v>54</v>
      </c>
      <c r="C62" s="13" t="s">
        <v>4210</v>
      </c>
      <c r="D62" s="13" t="s">
        <v>89</v>
      </c>
      <c r="E62" s="13" t="s">
        <v>3805</v>
      </c>
      <c r="F62" s="14" t="s">
        <v>67</v>
      </c>
      <c r="G62" s="13"/>
      <c r="H62" s="8"/>
      <c r="I62" s="13"/>
      <c r="J62" s="13"/>
      <c r="K62" s="25" t="s">
        <v>4211</v>
      </c>
      <c r="L62" t="str">
        <f t="shared" si="0"/>
        <v>DECIMAL(10,0),</v>
      </c>
      <c r="N62" s="38" t="str">
        <f t="shared" si="1"/>
        <v>COMMENT ON COLUMN mars_agency_store.agency_small_category_id IS '取次店小分類id';</v>
      </c>
      <c r="R62" s="34" t="s">
        <v>4212</v>
      </c>
    </row>
    <row r="63" spans="1:18" ht="19.5" thickBot="1">
      <c r="A63" s="11"/>
      <c r="B63" s="11">
        <v>55</v>
      </c>
      <c r="C63" s="11" t="s">
        <v>4213</v>
      </c>
      <c r="D63" s="11" t="s">
        <v>66</v>
      </c>
      <c r="E63" s="11">
        <v>6</v>
      </c>
      <c r="F63" s="10" t="s">
        <v>67</v>
      </c>
      <c r="G63" s="11"/>
      <c r="H63" s="5"/>
      <c r="I63" s="11"/>
      <c r="J63" s="11"/>
      <c r="K63" s="25" t="s">
        <v>4214</v>
      </c>
      <c r="L63" t="str">
        <f t="shared" si="0"/>
        <v>VARCHAR(6),</v>
      </c>
      <c r="N63" s="38" t="str">
        <f t="shared" si="1"/>
        <v>COMMENT ON COLUMN mars_agency_store.order_to_order_small_category_code IS '受注先小分類コード';</v>
      </c>
      <c r="R63" s="34" t="s">
        <v>4215</v>
      </c>
    </row>
    <row r="64" spans="1:18" ht="19.5" thickBot="1">
      <c r="A64" s="13"/>
      <c r="B64" s="13">
        <v>56</v>
      </c>
      <c r="C64" s="13" t="s">
        <v>4216</v>
      </c>
      <c r="D64" s="13" t="s">
        <v>89</v>
      </c>
      <c r="E64" s="13" t="s">
        <v>3805</v>
      </c>
      <c r="F64" s="14" t="s">
        <v>67</v>
      </c>
      <c r="G64" s="13"/>
      <c r="H64" s="8"/>
      <c r="I64" s="13"/>
      <c r="J64" s="13"/>
      <c r="K64" s="25" t="s">
        <v>4217</v>
      </c>
      <c r="L64" t="str">
        <f t="shared" si="0"/>
        <v>DECIMAL(10,0),</v>
      </c>
      <c r="N64" s="38" t="str">
        <f t="shared" si="1"/>
        <v>COMMENT ON COLUMN mars_agency_store.order_to_order_medium_category_id IS '受注先中分類id';</v>
      </c>
      <c r="R64" s="34" t="s">
        <v>4218</v>
      </c>
    </row>
    <row r="65" spans="1:18" ht="19.5" thickBot="1">
      <c r="A65" s="11"/>
      <c r="B65" s="11">
        <v>57</v>
      </c>
      <c r="C65" s="11" t="s">
        <v>4219</v>
      </c>
      <c r="D65" s="11" t="s">
        <v>66</v>
      </c>
      <c r="E65" s="11">
        <v>600</v>
      </c>
      <c r="F65" s="10" t="s">
        <v>67</v>
      </c>
      <c r="G65" s="11"/>
      <c r="H65" s="5"/>
      <c r="I65" s="11"/>
      <c r="J65" s="11"/>
      <c r="K65" s="25" t="s">
        <v>4220</v>
      </c>
      <c r="L65" t="str">
        <f t="shared" si="0"/>
        <v>VARCHAR(600),</v>
      </c>
      <c r="N65" s="38" t="str">
        <f t="shared" si="1"/>
        <v>COMMENT ON COLUMN mars_agency_store.order_to_order_small_category_full_name IS '受注先小分類正式名称';</v>
      </c>
      <c r="R65" s="34" t="s">
        <v>4221</v>
      </c>
    </row>
    <row r="66" spans="1:18" ht="19.5" thickBot="1">
      <c r="A66" s="13"/>
      <c r="B66" s="13">
        <v>58</v>
      </c>
      <c r="C66" s="13" t="s">
        <v>4222</v>
      </c>
      <c r="D66" s="13" t="s">
        <v>66</v>
      </c>
      <c r="E66" s="13">
        <v>600</v>
      </c>
      <c r="F66" s="14" t="s">
        <v>67</v>
      </c>
      <c r="G66" s="13"/>
      <c r="H66" s="8"/>
      <c r="I66" s="13"/>
      <c r="J66" s="13"/>
      <c r="K66" s="25" t="s">
        <v>4223</v>
      </c>
      <c r="L66" t="str">
        <f t="shared" si="0"/>
        <v>VARCHAR(600),</v>
      </c>
      <c r="N66" s="38" t="str">
        <f t="shared" si="1"/>
        <v>COMMENT ON COLUMN mars_agency_store.order_to_order_small_category_half_width_kn IS '受注先小分類半角kn';</v>
      </c>
      <c r="R66" s="34" t="s">
        <v>4224</v>
      </c>
    </row>
    <row r="67" spans="1:18" ht="19.5" thickBot="1">
      <c r="A67" s="11"/>
      <c r="B67" s="11">
        <v>59</v>
      </c>
      <c r="C67" s="11" t="s">
        <v>4225</v>
      </c>
      <c r="D67" s="11" t="s">
        <v>66</v>
      </c>
      <c r="E67" s="11">
        <v>600</v>
      </c>
      <c r="F67" s="10" t="s">
        <v>67</v>
      </c>
      <c r="G67" s="11"/>
      <c r="H67" s="5"/>
      <c r="I67" s="11"/>
      <c r="J67" s="11"/>
      <c r="K67" s="25" t="s">
        <v>4226</v>
      </c>
      <c r="L67" t="str">
        <f t="shared" si="0"/>
        <v>VARCHAR(600),</v>
      </c>
      <c r="N67" s="38" t="str">
        <f t="shared" si="1"/>
        <v>COMMENT ON COLUMN mars_agency_store.order_to_order_small_category_english_name IS '受注先小分類英語名称';</v>
      </c>
      <c r="R67" s="34" t="s">
        <v>4227</v>
      </c>
    </row>
    <row r="68" spans="1:18" ht="19.5" thickBot="1">
      <c r="A68" s="13"/>
      <c r="B68" s="13">
        <v>60</v>
      </c>
      <c r="C68" s="13" t="s">
        <v>4228</v>
      </c>
      <c r="D68" s="13" t="s">
        <v>66</v>
      </c>
      <c r="E68" s="13">
        <v>4</v>
      </c>
      <c r="F68" s="14" t="s">
        <v>67</v>
      </c>
      <c r="G68" s="13"/>
      <c r="H68" s="8"/>
      <c r="I68" s="13"/>
      <c r="J68" s="13"/>
      <c r="K68" s="25" t="s">
        <v>4229</v>
      </c>
      <c r="L68" t="str">
        <f t="shared" si="0"/>
        <v>VARCHAR(4),</v>
      </c>
      <c r="N68" s="38" t="str">
        <f t="shared" si="1"/>
        <v>COMMENT ON COLUMN mars_agency_store.order_to_order_medium_category_code IS '受注先中分類コード';</v>
      </c>
      <c r="R68" s="34" t="s">
        <v>4230</v>
      </c>
    </row>
    <row r="69" spans="1:18" ht="19.5" thickBot="1">
      <c r="A69" s="11"/>
      <c r="B69" s="11">
        <v>61</v>
      </c>
      <c r="C69" s="11" t="s">
        <v>4231</v>
      </c>
      <c r="D69" s="11" t="s">
        <v>89</v>
      </c>
      <c r="E69" s="11" t="s">
        <v>3805</v>
      </c>
      <c r="F69" s="10" t="s">
        <v>67</v>
      </c>
      <c r="G69" s="11"/>
      <c r="H69" s="5"/>
      <c r="I69" s="11"/>
      <c r="J69" s="11"/>
      <c r="K69" s="25" t="s">
        <v>4232</v>
      </c>
      <c r="L69" t="str">
        <f t="shared" si="0"/>
        <v>DECIMAL(10,0),</v>
      </c>
      <c r="N69" s="38" t="str">
        <f t="shared" si="1"/>
        <v>COMMENT ON COLUMN mars_agency_store.order_to_order_large_category_id IS '受注先大分類id';</v>
      </c>
      <c r="R69" s="34" t="s">
        <v>4233</v>
      </c>
    </row>
    <row r="70" spans="1:18" ht="19.5" thickBot="1">
      <c r="A70" s="13"/>
      <c r="B70" s="13">
        <v>62</v>
      </c>
      <c r="C70" s="13" t="s">
        <v>4234</v>
      </c>
      <c r="D70" s="13" t="s">
        <v>66</v>
      </c>
      <c r="E70" s="13">
        <v>600</v>
      </c>
      <c r="F70" s="14" t="s">
        <v>67</v>
      </c>
      <c r="G70" s="13"/>
      <c r="H70" s="8"/>
      <c r="I70" s="13"/>
      <c r="J70" s="13"/>
      <c r="K70" s="25" t="s">
        <v>4235</v>
      </c>
      <c r="L70" t="str">
        <f t="shared" si="0"/>
        <v>VARCHAR(600),</v>
      </c>
      <c r="N70" s="38" t="str">
        <f t="shared" si="1"/>
        <v>COMMENT ON COLUMN mars_agency_store.order_to_order_medium_category_full_name IS '受注先中分類正式名称';</v>
      </c>
      <c r="R70" s="34" t="s">
        <v>4236</v>
      </c>
    </row>
    <row r="71" spans="1:18" ht="19.5" thickBot="1">
      <c r="A71" s="11"/>
      <c r="B71" s="11">
        <v>63</v>
      </c>
      <c r="C71" s="11" t="s">
        <v>4237</v>
      </c>
      <c r="D71" s="11" t="s">
        <v>66</v>
      </c>
      <c r="E71" s="11">
        <v>600</v>
      </c>
      <c r="F71" s="10" t="s">
        <v>67</v>
      </c>
      <c r="G71" s="11"/>
      <c r="H71" s="5"/>
      <c r="I71" s="11"/>
      <c r="J71" s="11"/>
      <c r="K71" s="25" t="s">
        <v>4238</v>
      </c>
      <c r="L71" t="str">
        <f t="shared" si="0"/>
        <v>VARCHAR(600),</v>
      </c>
      <c r="N71" s="38" t="str">
        <f t="shared" si="1"/>
        <v>COMMENT ON COLUMN mars_agency_store.order_to_order_medium_category_half_width_kn IS '受注先中分類半角kn';</v>
      </c>
      <c r="R71" s="34" t="s">
        <v>4239</v>
      </c>
    </row>
    <row r="72" spans="1:18" ht="19.5" thickBot="1">
      <c r="A72" s="13"/>
      <c r="B72" s="13">
        <v>64</v>
      </c>
      <c r="C72" s="13" t="s">
        <v>4240</v>
      </c>
      <c r="D72" s="13" t="s">
        <v>66</v>
      </c>
      <c r="E72" s="13">
        <v>600</v>
      </c>
      <c r="F72" s="14" t="s">
        <v>67</v>
      </c>
      <c r="G72" s="13"/>
      <c r="H72" s="8"/>
      <c r="I72" s="13"/>
      <c r="J72" s="13"/>
      <c r="K72" s="25" t="s">
        <v>4241</v>
      </c>
      <c r="L72" t="str">
        <f t="shared" si="0"/>
        <v>VARCHAR(600),</v>
      </c>
      <c r="N72" s="38" t="str">
        <f t="shared" si="1"/>
        <v>COMMENT ON COLUMN mars_agency_store.order_to_order_medium_category_english_name IS '受注先中分類英語名称';</v>
      </c>
      <c r="R72" s="34" t="s">
        <v>4242</v>
      </c>
    </row>
    <row r="73" spans="1:18" ht="19.5" thickBot="1">
      <c r="A73" s="11"/>
      <c r="B73" s="11">
        <v>65</v>
      </c>
      <c r="C73" s="11" t="s">
        <v>4243</v>
      </c>
      <c r="D73" s="11" t="s">
        <v>66</v>
      </c>
      <c r="E73" s="11">
        <v>4</v>
      </c>
      <c r="F73" s="10" t="s">
        <v>67</v>
      </c>
      <c r="G73" s="11"/>
      <c r="H73" s="5"/>
      <c r="I73" s="11"/>
      <c r="J73" s="11"/>
      <c r="K73" s="25" t="s">
        <v>4244</v>
      </c>
      <c r="L73" t="str">
        <f t="shared" ref="L73:L136" si="2">D73&amp;"("&amp;E73&amp;"),"</f>
        <v>VARCHAR(4),</v>
      </c>
      <c r="N73" s="38" t="str">
        <f t="shared" si="1"/>
        <v>COMMENT ON COLUMN mars_agency_store.order_to_order_large_category_code IS '受注先大分類コード';</v>
      </c>
      <c r="R73" s="34" t="s">
        <v>4245</v>
      </c>
    </row>
    <row r="74" spans="1:18" ht="19.5" thickBot="1">
      <c r="A74" s="13"/>
      <c r="B74" s="13">
        <v>66</v>
      </c>
      <c r="C74" s="13" t="s">
        <v>4246</v>
      </c>
      <c r="D74" s="13" t="s">
        <v>66</v>
      </c>
      <c r="E74" s="13">
        <v>600</v>
      </c>
      <c r="F74" s="14" t="s">
        <v>67</v>
      </c>
      <c r="G74" s="13"/>
      <c r="H74" s="8"/>
      <c r="I74" s="13"/>
      <c r="J74" s="13"/>
      <c r="K74" s="25" t="s">
        <v>4247</v>
      </c>
      <c r="L74" t="str">
        <f t="shared" si="2"/>
        <v>VARCHAR(600),</v>
      </c>
      <c r="N74" s="38" t="str">
        <f t="shared" ref="N74:N137" si="3">"COMMENT ON COLUMN "&amp;$K$3&amp;"."&amp;$K74&amp;" IS '"&amp;C74&amp;"';"</f>
        <v>COMMENT ON COLUMN mars_agency_store.order_to_order_large_category_full_name IS '受注先大分類正式名称';</v>
      </c>
      <c r="R74" s="34" t="s">
        <v>4248</v>
      </c>
    </row>
    <row r="75" spans="1:18" ht="19.5" thickBot="1">
      <c r="A75" s="11"/>
      <c r="B75" s="11">
        <v>67</v>
      </c>
      <c r="C75" s="11" t="s">
        <v>4249</v>
      </c>
      <c r="D75" s="11" t="s">
        <v>66</v>
      </c>
      <c r="E75" s="11">
        <v>600</v>
      </c>
      <c r="F75" s="10" t="s">
        <v>67</v>
      </c>
      <c r="G75" s="11"/>
      <c r="H75" s="5"/>
      <c r="I75" s="11"/>
      <c r="J75" s="11"/>
      <c r="K75" s="25" t="s">
        <v>4250</v>
      </c>
      <c r="L75" t="str">
        <f t="shared" si="2"/>
        <v>VARCHAR(600),</v>
      </c>
      <c r="N75" s="38" t="str">
        <f t="shared" si="3"/>
        <v>COMMENT ON COLUMN mars_agency_store.order_to_order_large_category_half_width_kn IS '受注先大分類半角kn';</v>
      </c>
      <c r="R75" s="34" t="s">
        <v>4251</v>
      </c>
    </row>
    <row r="76" spans="1:18" ht="19.5" thickBot="1">
      <c r="A76" s="13"/>
      <c r="B76" s="13">
        <v>68</v>
      </c>
      <c r="C76" s="13" t="s">
        <v>4252</v>
      </c>
      <c r="D76" s="13" t="s">
        <v>66</v>
      </c>
      <c r="E76" s="13">
        <v>600</v>
      </c>
      <c r="F76" s="14" t="s">
        <v>67</v>
      </c>
      <c r="G76" s="13"/>
      <c r="H76" s="8"/>
      <c r="I76" s="13"/>
      <c r="J76" s="13"/>
      <c r="K76" s="25" t="s">
        <v>4253</v>
      </c>
      <c r="L76" t="str">
        <f t="shared" si="2"/>
        <v>VARCHAR(600),</v>
      </c>
      <c r="N76" s="38" t="str">
        <f t="shared" si="3"/>
        <v>COMMENT ON COLUMN mars_agency_store.order_to_order_large_category_english_name IS '受注先大分類英語名称';</v>
      </c>
      <c r="R76" s="34" t="s">
        <v>4254</v>
      </c>
    </row>
    <row r="77" spans="1:18" ht="19.5" thickBot="1">
      <c r="A77" s="11"/>
      <c r="B77" s="11">
        <v>69</v>
      </c>
      <c r="C77" s="11" t="s">
        <v>4255</v>
      </c>
      <c r="D77" s="11" t="s">
        <v>66</v>
      </c>
      <c r="E77" s="11">
        <v>6</v>
      </c>
      <c r="F77" s="10" t="s">
        <v>67</v>
      </c>
      <c r="G77" s="11"/>
      <c r="H77" s="5"/>
      <c r="I77" s="11"/>
      <c r="J77" s="11"/>
      <c r="K77" s="25" t="s">
        <v>4256</v>
      </c>
      <c r="L77" t="str">
        <f t="shared" si="2"/>
        <v>VARCHAR(6),</v>
      </c>
      <c r="N77" s="38" t="str">
        <f t="shared" si="3"/>
        <v>COMMENT ON COLUMN mars_agency_store.wms_packing_slip_format IS 'wms同梱伝票様式';</v>
      </c>
      <c r="R77" s="34" t="s">
        <v>4257</v>
      </c>
    </row>
    <row r="78" spans="1:18" ht="19.5" thickBot="1">
      <c r="A78" s="13"/>
      <c r="B78" s="13">
        <v>70</v>
      </c>
      <c r="C78" s="13" t="s">
        <v>4258</v>
      </c>
      <c r="D78" s="13" t="s">
        <v>66</v>
      </c>
      <c r="E78" s="13">
        <v>1200</v>
      </c>
      <c r="F78" s="14" t="s">
        <v>67</v>
      </c>
      <c r="G78" s="13"/>
      <c r="H78" s="8"/>
      <c r="I78" s="13"/>
      <c r="J78" s="13"/>
      <c r="K78" s="25" t="s">
        <v>4259</v>
      </c>
      <c r="L78" t="str">
        <f t="shared" si="2"/>
        <v>VARCHAR(1200),</v>
      </c>
      <c r="N78" s="38" t="str">
        <f t="shared" si="3"/>
        <v>COMMENT ON COLUMN mars_agency_store.wms_packing_slip_format_nm IS 'wms同梱伝票様式nm';</v>
      </c>
      <c r="R78" s="34" t="s">
        <v>4260</v>
      </c>
    </row>
    <row r="79" spans="1:18" ht="19.5" thickBot="1">
      <c r="A79" s="11"/>
      <c r="B79" s="11">
        <v>71</v>
      </c>
      <c r="C79" s="11" t="s">
        <v>4261</v>
      </c>
      <c r="D79" s="11" t="s">
        <v>66</v>
      </c>
      <c r="E79" s="11">
        <v>6</v>
      </c>
      <c r="F79" s="10" t="s">
        <v>67</v>
      </c>
      <c r="G79" s="11"/>
      <c r="H79" s="5"/>
      <c r="I79" s="11"/>
      <c r="J79" s="11"/>
      <c r="K79" s="25" t="s">
        <v>4262</v>
      </c>
      <c r="L79" t="str">
        <f t="shared" si="2"/>
        <v>VARCHAR(6),</v>
      </c>
      <c r="N79" s="38" t="str">
        <f t="shared" si="3"/>
        <v>COMMENT ON COLUMN mars_agency_store.wms_main_slip_format IS 'wms本伝伝票様式';</v>
      </c>
      <c r="R79" s="34" t="s">
        <v>4263</v>
      </c>
    </row>
    <row r="80" spans="1:18" ht="19.5" thickBot="1">
      <c r="A80" s="13"/>
      <c r="B80" s="13">
        <v>72</v>
      </c>
      <c r="C80" s="13" t="s">
        <v>4264</v>
      </c>
      <c r="D80" s="13" t="s">
        <v>66</v>
      </c>
      <c r="E80" s="13">
        <v>1200</v>
      </c>
      <c r="F80" s="14" t="s">
        <v>67</v>
      </c>
      <c r="G80" s="13"/>
      <c r="H80" s="8"/>
      <c r="I80" s="13"/>
      <c r="J80" s="13"/>
      <c r="K80" s="25" t="s">
        <v>4265</v>
      </c>
      <c r="L80" t="str">
        <f t="shared" si="2"/>
        <v>VARCHAR(1200),</v>
      </c>
      <c r="N80" s="38" t="str">
        <f t="shared" si="3"/>
        <v>COMMENT ON COLUMN mars_agency_store.wms_main_invoice_format_nm IS 'wms本伝伝票様式nm';</v>
      </c>
      <c r="R80" s="34" t="s">
        <v>4266</v>
      </c>
    </row>
    <row r="81" spans="1:18" ht="19.5" thickBot="1">
      <c r="A81" s="11"/>
      <c r="B81" s="11">
        <v>73</v>
      </c>
      <c r="C81" s="11" t="s">
        <v>4267</v>
      </c>
      <c r="D81" s="11" t="s">
        <v>66</v>
      </c>
      <c r="E81" s="11">
        <v>2</v>
      </c>
      <c r="F81" s="10" t="s">
        <v>67</v>
      </c>
      <c r="G81" s="11"/>
      <c r="H81" s="5"/>
      <c r="I81" s="11"/>
      <c r="J81" s="11"/>
      <c r="K81" s="25" t="s">
        <v>4268</v>
      </c>
      <c r="L81" t="str">
        <f t="shared" si="2"/>
        <v>VARCHAR(2),</v>
      </c>
      <c r="N81" s="38" t="str">
        <f t="shared" si="3"/>
        <v>COMMENT ON COLUMN mars_agency_store.wms_main_invoice_amount_printing_flg IS 'wms本伝金額印字flg';</v>
      </c>
      <c r="R81" s="34" t="s">
        <v>4269</v>
      </c>
    </row>
    <row r="82" spans="1:18" ht="19.5" thickBot="1">
      <c r="A82" s="13"/>
      <c r="B82" s="13">
        <v>74</v>
      </c>
      <c r="C82" s="13" t="s">
        <v>4270</v>
      </c>
      <c r="D82" s="13" t="s">
        <v>66</v>
      </c>
      <c r="E82" s="13">
        <v>1200</v>
      </c>
      <c r="F82" s="14" t="s">
        <v>67</v>
      </c>
      <c r="G82" s="13"/>
      <c r="H82" s="8"/>
      <c r="I82" s="13"/>
      <c r="J82" s="13"/>
      <c r="K82" s="25" t="s">
        <v>4271</v>
      </c>
      <c r="L82" t="str">
        <f t="shared" si="2"/>
        <v>VARCHAR(1200),</v>
      </c>
      <c r="N82" s="38" t="str">
        <f t="shared" si="3"/>
        <v>COMMENT ON COLUMN mars_agency_store.wms_main_invoice_amount_printing_flg_nm IS 'wms本伝金額印字flg_nm';</v>
      </c>
      <c r="R82" s="34" t="s">
        <v>4272</v>
      </c>
    </row>
    <row r="83" spans="1:18" ht="19.5" thickBot="1">
      <c r="A83" s="11"/>
      <c r="B83" s="11">
        <v>75</v>
      </c>
      <c r="C83" s="11" t="s">
        <v>4273</v>
      </c>
      <c r="D83" s="11" t="s">
        <v>66</v>
      </c>
      <c r="E83" s="11">
        <v>2</v>
      </c>
      <c r="F83" s="10" t="s">
        <v>67</v>
      </c>
      <c r="G83" s="11"/>
      <c r="H83" s="5"/>
      <c r="I83" s="11"/>
      <c r="J83" s="11"/>
      <c r="K83" s="25" t="s">
        <v>4274</v>
      </c>
      <c r="L83" t="str">
        <f t="shared" si="2"/>
        <v>VARCHAR(2),</v>
      </c>
      <c r="N83" s="38" t="str">
        <f t="shared" si="3"/>
        <v>COMMENT ON COLUMN mars_agency_store.wms_main_transmission_destination_flg IS 'wms本伝送付先flg';</v>
      </c>
      <c r="R83" s="34" t="s">
        <v>4275</v>
      </c>
    </row>
    <row r="84" spans="1:18" ht="19.5" thickBot="1">
      <c r="A84" s="13"/>
      <c r="B84" s="13">
        <v>76</v>
      </c>
      <c r="C84" s="13" t="s">
        <v>4276</v>
      </c>
      <c r="D84" s="13" t="s">
        <v>66</v>
      </c>
      <c r="E84" s="13">
        <v>120</v>
      </c>
      <c r="F84" s="14" t="s">
        <v>67</v>
      </c>
      <c r="G84" s="13"/>
      <c r="H84" s="8"/>
      <c r="I84" s="13"/>
      <c r="J84" s="13"/>
      <c r="K84" s="25" t="s">
        <v>4277</v>
      </c>
      <c r="L84" t="str">
        <f t="shared" si="2"/>
        <v>VARCHAR(120),</v>
      </c>
      <c r="N84" s="38" t="str">
        <f t="shared" si="3"/>
        <v>COMMENT ON COLUMN mars_agency_store.wms_main_transmission_destination_flg_nm IS 'wms本伝送付先flg_nm';</v>
      </c>
      <c r="R84" s="34" t="s">
        <v>4278</v>
      </c>
    </row>
    <row r="85" spans="1:18" ht="19.5" thickBot="1">
      <c r="A85" s="11"/>
      <c r="B85" s="11">
        <v>77</v>
      </c>
      <c r="C85" s="11" t="s">
        <v>4279</v>
      </c>
      <c r="D85" s="11" t="s">
        <v>66</v>
      </c>
      <c r="E85" s="11">
        <v>20</v>
      </c>
      <c r="F85" s="10" t="s">
        <v>67</v>
      </c>
      <c r="G85" s="11"/>
      <c r="H85" s="5"/>
      <c r="I85" s="11"/>
      <c r="J85" s="11"/>
      <c r="K85" s="25" t="s">
        <v>4280</v>
      </c>
      <c r="L85" t="str">
        <f t="shared" si="2"/>
        <v>VARCHAR(20),</v>
      </c>
      <c r="N85" s="38" t="str">
        <f t="shared" si="3"/>
        <v>COMMENT ON COLUMN mars_agency_store.cd_for_recipient_sys IS '相手先sys用cd';</v>
      </c>
      <c r="R85" s="34" t="s">
        <v>4281</v>
      </c>
    </row>
    <row r="86" spans="1:18" ht="19.5" thickBot="1">
      <c r="A86" s="13"/>
      <c r="B86" s="13">
        <v>78</v>
      </c>
      <c r="C86" s="13" t="s">
        <v>4282</v>
      </c>
      <c r="D86" s="13" t="s">
        <v>66</v>
      </c>
      <c r="E86" s="13">
        <v>20</v>
      </c>
      <c r="F86" s="14" t="s">
        <v>67</v>
      </c>
      <c r="G86" s="13"/>
      <c r="H86" s="8"/>
      <c r="I86" s="13"/>
      <c r="J86" s="13"/>
      <c r="K86" s="25" t="s">
        <v>4283</v>
      </c>
      <c r="L86" t="str">
        <f t="shared" si="2"/>
        <v>VARCHAR(20),</v>
      </c>
      <c r="N86" s="38" t="str">
        <f t="shared" si="3"/>
        <v>COMMENT ON COLUMN mars_agency_store.company_cd_for_recipient_sys IS '相手先sys用自社cd';</v>
      </c>
      <c r="R86" s="34" t="s">
        <v>4284</v>
      </c>
    </row>
    <row r="87" spans="1:18" ht="19.5" thickBot="1">
      <c r="A87" s="11"/>
      <c r="B87" s="11">
        <v>79</v>
      </c>
      <c r="C87" s="11" t="s">
        <v>4285</v>
      </c>
      <c r="D87" s="11" t="s">
        <v>89</v>
      </c>
      <c r="E87" s="11" t="s">
        <v>3805</v>
      </c>
      <c r="F87" s="10" t="s">
        <v>67</v>
      </c>
      <c r="G87" s="11"/>
      <c r="H87" s="5"/>
      <c r="I87" s="11"/>
      <c r="J87" s="11"/>
      <c r="K87" s="25" t="s">
        <v>4286</v>
      </c>
      <c r="L87" t="str">
        <f t="shared" si="2"/>
        <v>DECIMAL(10,0),</v>
      </c>
      <c r="N87" s="38" t="str">
        <f t="shared" si="3"/>
        <v>COMMENT ON COLUMN mars_agency_store.wholesale_channel IS '卸チャネル';</v>
      </c>
      <c r="R87" s="34" t="s">
        <v>4287</v>
      </c>
    </row>
    <row r="88" spans="1:18" ht="19.5" thickBot="1">
      <c r="A88" s="13"/>
      <c r="B88" s="13">
        <v>80</v>
      </c>
      <c r="C88" s="13" t="s">
        <v>4288</v>
      </c>
      <c r="D88" s="13" t="s">
        <v>89</v>
      </c>
      <c r="E88" s="13" t="s">
        <v>3805</v>
      </c>
      <c r="F88" s="14" t="s">
        <v>67</v>
      </c>
      <c r="G88" s="13"/>
      <c r="H88" s="8"/>
      <c r="I88" s="13"/>
      <c r="J88" s="13"/>
      <c r="K88" s="25" t="s">
        <v>4289</v>
      </c>
      <c r="L88" t="str">
        <f t="shared" si="2"/>
        <v>DECIMAL(10,0),</v>
      </c>
      <c r="N88" s="38" t="str">
        <f t="shared" si="3"/>
        <v>COMMENT ON COLUMN mars_agency_store.corporate_channel IS '法人チャネル';</v>
      </c>
      <c r="R88" s="34" t="s">
        <v>4290</v>
      </c>
    </row>
    <row r="89" spans="1:18" ht="19.5" thickBot="1">
      <c r="A89" s="11"/>
      <c r="B89" s="11">
        <v>81</v>
      </c>
      <c r="C89" s="11" t="s">
        <v>4291</v>
      </c>
      <c r="D89" s="11" t="s">
        <v>89</v>
      </c>
      <c r="E89" s="11" t="s">
        <v>3805</v>
      </c>
      <c r="F89" s="10" t="s">
        <v>67</v>
      </c>
      <c r="G89" s="11"/>
      <c r="H89" s="5"/>
      <c r="I89" s="11"/>
      <c r="J89" s="11"/>
      <c r="K89" s="25" t="s">
        <v>4292</v>
      </c>
      <c r="L89" t="str">
        <f t="shared" si="2"/>
        <v>DECIMAL(10,0),</v>
      </c>
      <c r="N89" s="38" t="str">
        <f t="shared" si="3"/>
        <v>COMMENT ON COLUMN mars_agency_store.direct_store_determination_flg IS '直営店判定flg';</v>
      </c>
      <c r="R89" s="34" t="s">
        <v>4293</v>
      </c>
    </row>
    <row r="90" spans="1:18" ht="19.5" thickBot="1">
      <c r="A90" s="13"/>
      <c r="B90" s="13">
        <v>82</v>
      </c>
      <c r="C90" s="13" t="s">
        <v>4294</v>
      </c>
      <c r="D90" s="13" t="s">
        <v>66</v>
      </c>
      <c r="E90" s="13">
        <v>1200</v>
      </c>
      <c r="F90" s="14" t="s">
        <v>67</v>
      </c>
      <c r="G90" s="13"/>
      <c r="H90" s="8"/>
      <c r="I90" s="13"/>
      <c r="J90" s="13"/>
      <c r="K90" s="25" t="s">
        <v>4295</v>
      </c>
      <c r="L90" t="str">
        <f t="shared" si="2"/>
        <v>VARCHAR(1200),</v>
      </c>
      <c r="N90" s="38" t="str">
        <f t="shared" si="3"/>
        <v>COMMENT ON COLUMN mars_agency_store.direct_store_determination_flg_nm IS '直営店判定flg_nm';</v>
      </c>
      <c r="R90" s="34" t="s">
        <v>4296</v>
      </c>
    </row>
    <row r="91" spans="1:18" ht="19.5" thickBot="1">
      <c r="A91" s="11"/>
      <c r="B91" s="11">
        <v>83</v>
      </c>
      <c r="C91" s="11" t="s">
        <v>4297</v>
      </c>
      <c r="D91" s="11" t="s">
        <v>66</v>
      </c>
      <c r="E91" s="11">
        <v>14</v>
      </c>
      <c r="F91" s="10" t="s">
        <v>67</v>
      </c>
      <c r="G91" s="11"/>
      <c r="H91" s="5"/>
      <c r="I91" s="11"/>
      <c r="J91" s="11"/>
      <c r="K91" s="25" t="s">
        <v>4298</v>
      </c>
      <c r="L91" t="str">
        <f t="shared" si="2"/>
        <v>VARCHAR(14),</v>
      </c>
      <c r="N91" s="38" t="str">
        <f t="shared" si="3"/>
        <v>COMMENT ON COLUMN mars_agency_store.store_unique_code IS '店舗ユニークコード';</v>
      </c>
      <c r="R91" s="34" t="s">
        <v>4299</v>
      </c>
    </row>
    <row r="92" spans="1:18" ht="19.5" thickBot="1">
      <c r="A92" s="13"/>
      <c r="B92" s="13">
        <v>84</v>
      </c>
      <c r="C92" s="13" t="s">
        <v>4300</v>
      </c>
      <c r="D92" s="13" t="s">
        <v>66</v>
      </c>
      <c r="E92" s="13">
        <v>14</v>
      </c>
      <c r="F92" s="14" t="s">
        <v>67</v>
      </c>
      <c r="G92" s="13"/>
      <c r="H92" s="8"/>
      <c r="I92" s="13"/>
      <c r="J92" s="13"/>
      <c r="K92" s="25" t="s">
        <v>4301</v>
      </c>
      <c r="L92" t="str">
        <f t="shared" si="2"/>
        <v>VARCHAR(14),</v>
      </c>
      <c r="N92" s="38" t="str">
        <f t="shared" si="3"/>
        <v>COMMENT ON COLUMN mars_agency_store.operating_store_corporate_code IS '運営店法人コード';</v>
      </c>
      <c r="R92" s="34" t="s">
        <v>4302</v>
      </c>
    </row>
    <row r="93" spans="1:18" ht="19.5" thickBot="1">
      <c r="A93" s="11"/>
      <c r="B93" s="11">
        <v>85</v>
      </c>
      <c r="C93" s="11" t="s">
        <v>4303</v>
      </c>
      <c r="D93" s="11" t="s">
        <v>66</v>
      </c>
      <c r="E93" s="11">
        <v>16</v>
      </c>
      <c r="F93" s="10" t="s">
        <v>67</v>
      </c>
      <c r="G93" s="11"/>
      <c r="H93" s="5"/>
      <c r="I93" s="11"/>
      <c r="J93" s="11"/>
      <c r="K93" s="25" t="s">
        <v>4304</v>
      </c>
      <c r="L93" t="str">
        <f t="shared" si="2"/>
        <v>VARCHAR(16),</v>
      </c>
      <c r="N93" s="38" t="str">
        <f t="shared" si="3"/>
        <v>COMMENT ON COLUMN mars_agency_store.business_start_date IS '業務開始日';</v>
      </c>
      <c r="R93" s="34" t="s">
        <v>4305</v>
      </c>
    </row>
    <row r="94" spans="1:18" ht="19.5" thickBot="1">
      <c r="A94" s="13"/>
      <c r="B94" s="13">
        <v>86</v>
      </c>
      <c r="C94" s="13" t="s">
        <v>4306</v>
      </c>
      <c r="D94" s="13" t="s">
        <v>66</v>
      </c>
      <c r="E94" s="13">
        <v>16</v>
      </c>
      <c r="F94" s="14" t="s">
        <v>67</v>
      </c>
      <c r="G94" s="13"/>
      <c r="H94" s="8"/>
      <c r="I94" s="13"/>
      <c r="J94" s="13"/>
      <c r="K94" s="25" t="s">
        <v>4307</v>
      </c>
      <c r="L94" t="str">
        <f t="shared" si="2"/>
        <v>VARCHAR(16),</v>
      </c>
      <c r="N94" s="38" t="str">
        <f t="shared" si="3"/>
        <v>COMMENT ON COLUMN mars_agency_store.business_end_date IS '業務終了日';</v>
      </c>
      <c r="R94" s="34" t="s">
        <v>4308</v>
      </c>
    </row>
    <row r="95" spans="1:18" ht="19.5" thickBot="1">
      <c r="A95" s="11"/>
      <c r="B95" s="11">
        <v>87</v>
      </c>
      <c r="C95" s="11" t="s">
        <v>4309</v>
      </c>
      <c r="D95" s="11" t="s">
        <v>66</v>
      </c>
      <c r="E95" s="11">
        <v>14</v>
      </c>
      <c r="F95" s="10" t="s">
        <v>67</v>
      </c>
      <c r="G95" s="11"/>
      <c r="H95" s="5"/>
      <c r="I95" s="11"/>
      <c r="J95" s="11"/>
      <c r="K95" s="25" t="s">
        <v>4310</v>
      </c>
      <c r="L95" t="str">
        <f t="shared" si="2"/>
        <v>VARCHAR(14),</v>
      </c>
      <c r="N95" s="38" t="str">
        <f t="shared" si="3"/>
        <v>COMMENT ON COLUMN mars_agency_store.registered_business_department_code IS '登録業務部門コード';</v>
      </c>
      <c r="R95" s="34" t="s">
        <v>4311</v>
      </c>
    </row>
    <row r="96" spans="1:18" ht="19.5" thickBot="1">
      <c r="A96" s="13"/>
      <c r="B96" s="13">
        <v>88</v>
      </c>
      <c r="C96" s="13" t="s">
        <v>4312</v>
      </c>
      <c r="D96" s="13" t="s">
        <v>66</v>
      </c>
      <c r="E96" s="13">
        <v>2</v>
      </c>
      <c r="F96" s="14" t="s">
        <v>67</v>
      </c>
      <c r="G96" s="13"/>
      <c r="H96" s="8"/>
      <c r="I96" s="13"/>
      <c r="J96" s="13"/>
      <c r="K96" s="25" t="s">
        <v>4313</v>
      </c>
      <c r="L96" t="str">
        <f t="shared" si="2"/>
        <v>VARCHAR(2),</v>
      </c>
      <c r="N96" s="38" t="str">
        <f t="shared" si="3"/>
        <v>COMMENT ON COLUMN mars_agency_store.organization_id__right_1_digit_ IS '組織id右1桁';</v>
      </c>
      <c r="R96" s="34" t="s">
        <v>4314</v>
      </c>
    </row>
    <row r="97" spans="1:18" ht="19.5" thickBot="1">
      <c r="A97" s="11"/>
      <c r="B97" s="11">
        <v>89</v>
      </c>
      <c r="C97" s="11" t="s">
        <v>4315</v>
      </c>
      <c r="D97" s="11" t="s">
        <v>66</v>
      </c>
      <c r="E97" s="11">
        <v>2400</v>
      </c>
      <c r="F97" s="10" t="s">
        <v>67</v>
      </c>
      <c r="G97" s="11"/>
      <c r="H97" s="5"/>
      <c r="I97" s="11"/>
      <c r="J97" s="11"/>
      <c r="K97" s="25" t="s">
        <v>4316</v>
      </c>
      <c r="L97" t="str">
        <f t="shared" si="2"/>
        <v>VARCHAR(2400),</v>
      </c>
      <c r="N97" s="38" t="str">
        <f t="shared" si="3"/>
        <v>COMMENT ON COLUMN mars_agency_store.organization_name IS '組織名称';</v>
      </c>
      <c r="R97" s="34" t="s">
        <v>4317</v>
      </c>
    </row>
    <row r="98" spans="1:18" ht="19.5" thickBot="1">
      <c r="A98" s="13"/>
      <c r="B98" s="13">
        <v>90</v>
      </c>
      <c r="C98" s="13" t="s">
        <v>4318</v>
      </c>
      <c r="D98" s="13" t="s">
        <v>66</v>
      </c>
      <c r="E98" s="13">
        <v>4</v>
      </c>
      <c r="F98" s="14" t="s">
        <v>67</v>
      </c>
      <c r="G98" s="13"/>
      <c r="H98" s="8"/>
      <c r="I98" s="13"/>
      <c r="J98" s="13"/>
      <c r="K98" s="25" t="s">
        <v>4319</v>
      </c>
      <c r="L98" t="str">
        <f t="shared" si="2"/>
        <v>VARCHAR(4),</v>
      </c>
      <c r="N98" s="38" t="str">
        <f t="shared" si="3"/>
        <v>COMMENT ON COLUMN mars_agency_store.hierarchy IS '階層';</v>
      </c>
      <c r="R98" s="34" t="s">
        <v>4320</v>
      </c>
    </row>
    <row r="99" spans="1:18" ht="19.5" thickBot="1">
      <c r="A99" s="11"/>
      <c r="B99" s="11">
        <v>91</v>
      </c>
      <c r="C99" s="11" t="s">
        <v>4321</v>
      </c>
      <c r="D99" s="11" t="s">
        <v>66</v>
      </c>
      <c r="E99" s="11">
        <v>14</v>
      </c>
      <c r="F99" s="10" t="s">
        <v>67</v>
      </c>
      <c r="G99" s="11"/>
      <c r="H99" s="5"/>
      <c r="I99" s="11"/>
      <c r="J99" s="11"/>
      <c r="K99" s="25" t="s">
        <v>4322</v>
      </c>
      <c r="L99" t="str">
        <f t="shared" si="2"/>
        <v>VARCHAR(14),</v>
      </c>
      <c r="N99" s="38" t="str">
        <f t="shared" si="3"/>
        <v>COMMENT ON COLUMN mars_agency_store.supervisor_organization_code IS '上位組織コード';</v>
      </c>
      <c r="R99" s="34" t="s">
        <v>4323</v>
      </c>
    </row>
    <row r="100" spans="1:18" ht="19.5" thickBot="1">
      <c r="A100" s="13"/>
      <c r="B100" s="13">
        <v>92</v>
      </c>
      <c r="C100" s="13" t="s">
        <v>4324</v>
      </c>
      <c r="D100" s="13" t="s">
        <v>66</v>
      </c>
      <c r="E100" s="13">
        <v>2</v>
      </c>
      <c r="F100" s="14" t="s">
        <v>67</v>
      </c>
      <c r="G100" s="13"/>
      <c r="H100" s="8"/>
      <c r="I100" s="13"/>
      <c r="J100" s="13"/>
      <c r="K100" s="25" t="s">
        <v>4325</v>
      </c>
      <c r="L100" t="str">
        <f t="shared" si="2"/>
        <v>VARCHAR(2),</v>
      </c>
      <c r="N100" s="38" t="str">
        <f t="shared" si="3"/>
        <v>COMMENT ON COLUMN mars_agency_store.supervisor_organization_code__right_1_digit_ IS '上位組織コード右1桁';</v>
      </c>
      <c r="R100" s="34" t="s">
        <v>4326</v>
      </c>
    </row>
    <row r="101" spans="1:18" ht="19.5" thickBot="1">
      <c r="A101" s="11"/>
      <c r="B101" s="11">
        <v>93</v>
      </c>
      <c r="C101" s="11" t="s">
        <v>4327</v>
      </c>
      <c r="D101" s="11" t="s">
        <v>66</v>
      </c>
      <c r="E101" s="11">
        <v>14</v>
      </c>
      <c r="F101" s="10" t="s">
        <v>67</v>
      </c>
      <c r="G101" s="11"/>
      <c r="H101" s="5"/>
      <c r="I101" s="11"/>
      <c r="J101" s="11"/>
      <c r="K101" s="25" t="s">
        <v>4328</v>
      </c>
      <c r="L101" t="str">
        <f t="shared" si="2"/>
        <v>VARCHAR(14),</v>
      </c>
      <c r="N101" s="38" t="str">
        <f t="shared" si="3"/>
        <v>COMMENT ON COLUMN mars_agency_store.manager_employee_number IS '管理者従業員番号';</v>
      </c>
      <c r="R101" s="34" t="s">
        <v>4329</v>
      </c>
    </row>
    <row r="102" spans="1:18" ht="19.5" thickBot="1">
      <c r="A102" s="13"/>
      <c r="B102" s="13">
        <v>94</v>
      </c>
      <c r="C102" s="13" t="s">
        <v>4330</v>
      </c>
      <c r="D102" s="13" t="s">
        <v>66</v>
      </c>
      <c r="E102" s="13">
        <v>40</v>
      </c>
      <c r="F102" s="14" t="s">
        <v>67</v>
      </c>
      <c r="G102" s="13"/>
      <c r="H102" s="8"/>
      <c r="I102" s="13"/>
      <c r="J102" s="13"/>
      <c r="K102" s="25" t="s">
        <v>4331</v>
      </c>
      <c r="L102" t="str">
        <f t="shared" si="2"/>
        <v>VARCHAR(40),</v>
      </c>
      <c r="N102" s="38" t="str">
        <f t="shared" si="3"/>
        <v>COMMENT ON COLUMN mars_agency_store.approval_form_number IS '決裁書番号';</v>
      </c>
      <c r="R102" s="34" t="s">
        <v>4332</v>
      </c>
    </row>
    <row r="103" spans="1:18" ht="19.5" thickBot="1">
      <c r="A103" s="11"/>
      <c r="B103" s="11">
        <v>95</v>
      </c>
      <c r="C103" s="11" t="s">
        <v>4333</v>
      </c>
      <c r="D103" s="11" t="s">
        <v>66</v>
      </c>
      <c r="E103" s="11">
        <v>2</v>
      </c>
      <c r="F103" s="10" t="s">
        <v>67</v>
      </c>
      <c r="G103" s="11"/>
      <c r="H103" s="5"/>
      <c r="I103" s="11"/>
      <c r="J103" s="11"/>
      <c r="K103" s="25" t="s">
        <v>4334</v>
      </c>
      <c r="L103" t="str">
        <f t="shared" si="2"/>
        <v>VARCHAR(2),</v>
      </c>
      <c r="N103" s="38" t="str">
        <f t="shared" si="3"/>
        <v>COMMENT ON COLUMN mars_agency_store.application_form_original_collection_notification IS '申込書原本回収通知';</v>
      </c>
      <c r="R103" s="34" t="s">
        <v>4335</v>
      </c>
    </row>
    <row r="104" spans="1:18" ht="19.5" thickBot="1">
      <c r="A104" s="13"/>
      <c r="B104" s="13">
        <v>96</v>
      </c>
      <c r="C104" s="13" t="s">
        <v>4336</v>
      </c>
      <c r="D104" s="13" t="s">
        <v>66</v>
      </c>
      <c r="E104" s="13">
        <v>1200</v>
      </c>
      <c r="F104" s="14" t="s">
        <v>67</v>
      </c>
      <c r="G104" s="13"/>
      <c r="H104" s="8"/>
      <c r="I104" s="13"/>
      <c r="J104" s="13"/>
      <c r="K104" s="25" t="s">
        <v>4337</v>
      </c>
      <c r="L104" t="str">
        <f t="shared" si="2"/>
        <v>VARCHAR(1200),</v>
      </c>
      <c r="N104" s="38" t="str">
        <f t="shared" si="3"/>
        <v>COMMENT ON COLUMN mars_agency_store.application_form_original_collection_notification_nm IS '申込書原本回収通知nm';</v>
      </c>
      <c r="R104" s="34" t="s">
        <v>4338</v>
      </c>
    </row>
    <row r="105" spans="1:18" ht="19.5" thickBot="1">
      <c r="A105" s="11"/>
      <c r="B105" s="11">
        <v>97</v>
      </c>
      <c r="C105" s="11" t="s">
        <v>4339</v>
      </c>
      <c r="D105" s="11" t="s">
        <v>66</v>
      </c>
      <c r="E105" s="11">
        <v>2</v>
      </c>
      <c r="F105" s="10" t="s">
        <v>67</v>
      </c>
      <c r="G105" s="11"/>
      <c r="H105" s="5"/>
      <c r="I105" s="11"/>
      <c r="J105" s="11"/>
      <c r="K105" s="25" t="s">
        <v>4340</v>
      </c>
      <c r="L105" t="str">
        <f t="shared" si="2"/>
        <v>VARCHAR(2),</v>
      </c>
      <c r="N105" s="38" t="str">
        <f t="shared" si="3"/>
        <v>COMMENT ON COLUMN mars_agency_store.application_form_original_not_collected_lst IS '申込書原本未回収lst';</v>
      </c>
      <c r="R105" s="34" t="s">
        <v>4341</v>
      </c>
    </row>
    <row r="106" spans="1:18" ht="19.5" thickBot="1">
      <c r="A106" s="13"/>
      <c r="B106" s="13">
        <v>98</v>
      </c>
      <c r="C106" s="13" t="s">
        <v>4342</v>
      </c>
      <c r="D106" s="13" t="s">
        <v>66</v>
      </c>
      <c r="E106" s="13">
        <v>1200</v>
      </c>
      <c r="F106" s="14" t="s">
        <v>67</v>
      </c>
      <c r="G106" s="13"/>
      <c r="H106" s="8"/>
      <c r="I106" s="13"/>
      <c r="J106" s="13"/>
      <c r="K106" s="25" t="s">
        <v>4343</v>
      </c>
      <c r="L106" t="str">
        <f t="shared" si="2"/>
        <v>VARCHAR(1200),</v>
      </c>
      <c r="N106" s="38" t="str">
        <f t="shared" si="3"/>
        <v>COMMENT ON COLUMN mars_agency_store.application_form_original_not_collected_lst_nm IS '申込書原本未回収lst_nm';</v>
      </c>
      <c r="R106" s="34" t="s">
        <v>4344</v>
      </c>
    </row>
    <row r="107" spans="1:18" ht="19.5" thickBot="1">
      <c r="A107" s="11"/>
      <c r="B107" s="11">
        <v>99</v>
      </c>
      <c r="C107" s="11" t="s">
        <v>4345</v>
      </c>
      <c r="D107" s="11" t="s">
        <v>66</v>
      </c>
      <c r="E107" s="11">
        <v>2</v>
      </c>
      <c r="F107" s="10" t="s">
        <v>67</v>
      </c>
      <c r="G107" s="11"/>
      <c r="H107" s="5"/>
      <c r="I107" s="11"/>
      <c r="J107" s="11"/>
      <c r="K107" s="25" t="s">
        <v>4346</v>
      </c>
      <c r="L107" t="str">
        <f t="shared" si="2"/>
        <v>VARCHAR(2),</v>
      </c>
      <c r="N107" s="38" t="str">
        <f t="shared" si="3"/>
        <v>COMMENT ON COLUMN mars_agency_store.application_form_original_return_address IS '申込書原本返却先';</v>
      </c>
      <c r="R107" s="34" t="s">
        <v>4347</v>
      </c>
    </row>
    <row r="108" spans="1:18" ht="19.5" thickBot="1">
      <c r="A108" s="13"/>
      <c r="B108" s="13">
        <v>100</v>
      </c>
      <c r="C108" s="13" t="s">
        <v>4348</v>
      </c>
      <c r="D108" s="13" t="s">
        <v>66</v>
      </c>
      <c r="E108" s="13">
        <v>1200</v>
      </c>
      <c r="F108" s="14" t="s">
        <v>67</v>
      </c>
      <c r="G108" s="13"/>
      <c r="H108" s="8"/>
      <c r="I108" s="13"/>
      <c r="J108" s="13"/>
      <c r="K108" s="25" t="s">
        <v>4349</v>
      </c>
      <c r="L108" t="str">
        <f t="shared" si="2"/>
        <v>VARCHAR(1200),</v>
      </c>
      <c r="N108" s="38" t="str">
        <f t="shared" si="3"/>
        <v>COMMENT ON COLUMN mars_agency_store.application_form_original_return_address_nm IS '申込書原本返却先nm';</v>
      </c>
      <c r="R108" s="34" t="s">
        <v>4350</v>
      </c>
    </row>
    <row r="109" spans="1:18" ht="19.5" thickBot="1">
      <c r="A109" s="11"/>
      <c r="B109" s="11">
        <v>101</v>
      </c>
      <c r="C109" s="11" t="s">
        <v>4351</v>
      </c>
      <c r="D109" s="11" t="s">
        <v>66</v>
      </c>
      <c r="E109" s="11">
        <v>2</v>
      </c>
      <c r="F109" s="10" t="s">
        <v>67</v>
      </c>
      <c r="G109" s="11"/>
      <c r="H109" s="5"/>
      <c r="I109" s="11"/>
      <c r="J109" s="11"/>
      <c r="K109" s="25" t="s">
        <v>4352</v>
      </c>
      <c r="L109" t="str">
        <f t="shared" si="2"/>
        <v>VARCHAR(2),</v>
      </c>
      <c r="N109" s="38" t="str">
        <f t="shared" si="3"/>
        <v>COMMENT ON COLUMN mars_agency_store.store_performance_report_sending_address IS '店舗実績報告送付先';</v>
      </c>
      <c r="R109" s="34" t="s">
        <v>4353</v>
      </c>
    </row>
    <row r="110" spans="1:18" ht="19.5" thickBot="1">
      <c r="A110" s="13"/>
      <c r="B110" s="13">
        <v>102</v>
      </c>
      <c r="C110" s="13" t="s">
        <v>4354</v>
      </c>
      <c r="D110" s="13" t="s">
        <v>66</v>
      </c>
      <c r="E110" s="13">
        <v>1200</v>
      </c>
      <c r="F110" s="14" t="s">
        <v>67</v>
      </c>
      <c r="G110" s="13"/>
      <c r="H110" s="8"/>
      <c r="I110" s="13"/>
      <c r="J110" s="13"/>
      <c r="K110" s="25" t="s">
        <v>4355</v>
      </c>
      <c r="L110" t="str">
        <f t="shared" si="2"/>
        <v>VARCHAR(1200),</v>
      </c>
      <c r="N110" s="38" t="str">
        <f t="shared" si="3"/>
        <v>COMMENT ON COLUMN mars_agency_store.store_performance_report_sending_address_nm IS '店舗実績報告送付先nm';</v>
      </c>
      <c r="R110" s="34" t="s">
        <v>4356</v>
      </c>
    </row>
    <row r="111" spans="1:18" ht="19.5" thickBot="1">
      <c r="A111" s="11"/>
      <c r="B111" s="11">
        <v>103</v>
      </c>
      <c r="C111" s="11" t="s">
        <v>4357</v>
      </c>
      <c r="D111" s="11" t="s">
        <v>66</v>
      </c>
      <c r="E111" s="11">
        <v>4</v>
      </c>
      <c r="F111" s="10" t="s">
        <v>67</v>
      </c>
      <c r="G111" s="11"/>
      <c r="H111" s="5"/>
      <c r="I111" s="11"/>
      <c r="J111" s="11"/>
      <c r="K111" s="25" t="s">
        <v>4358</v>
      </c>
      <c r="L111" t="str">
        <f t="shared" si="2"/>
        <v>VARCHAR(4),</v>
      </c>
      <c r="N111" s="38" t="str">
        <f t="shared" si="3"/>
        <v>COMMENT ON COLUMN mars_agency_store.ginie_permission_code IS 'ginie権限コード';</v>
      </c>
      <c r="R111" s="34" t="s">
        <v>4359</v>
      </c>
    </row>
    <row r="112" spans="1:18" ht="19.5" thickBot="1">
      <c r="A112" s="13"/>
      <c r="B112" s="13">
        <v>104</v>
      </c>
      <c r="C112" s="13" t="s">
        <v>4360</v>
      </c>
      <c r="D112" s="13" t="s">
        <v>66</v>
      </c>
      <c r="E112" s="13">
        <v>1200</v>
      </c>
      <c r="F112" s="14" t="s">
        <v>67</v>
      </c>
      <c r="G112" s="13"/>
      <c r="H112" s="8"/>
      <c r="I112" s="13"/>
      <c r="J112" s="13"/>
      <c r="K112" s="25" t="s">
        <v>4361</v>
      </c>
      <c r="L112" t="str">
        <f t="shared" si="2"/>
        <v>VARCHAR(1200),</v>
      </c>
      <c r="N112" s="38" t="str">
        <f t="shared" si="3"/>
        <v>COMMENT ON COLUMN mars_agency_store.ginie_permission_code_nm IS 'ginie権限コードnm';</v>
      </c>
      <c r="R112" s="34" t="s">
        <v>4362</v>
      </c>
    </row>
    <row r="113" spans="1:18" ht="19.5" thickBot="1">
      <c r="A113" s="11"/>
      <c r="B113" s="11">
        <v>105</v>
      </c>
      <c r="C113" s="11" t="s">
        <v>4363</v>
      </c>
      <c r="D113" s="11" t="s">
        <v>66</v>
      </c>
      <c r="E113" s="11">
        <v>4</v>
      </c>
      <c r="F113" s="10" t="s">
        <v>67</v>
      </c>
      <c r="G113" s="11"/>
      <c r="H113" s="5"/>
      <c r="I113" s="11"/>
      <c r="J113" s="11"/>
      <c r="K113" s="25" t="s">
        <v>4364</v>
      </c>
      <c r="L113" t="str">
        <f t="shared" si="2"/>
        <v>VARCHAR(4),</v>
      </c>
      <c r="N113" s="38" t="str">
        <f t="shared" si="3"/>
        <v>COMMENT ON COLUMN mars_agency_store.operation_permission IS '操作権限';</v>
      </c>
      <c r="R113" s="34" t="s">
        <v>4365</v>
      </c>
    </row>
    <row r="114" spans="1:18" ht="19.5" thickBot="1">
      <c r="A114" s="13"/>
      <c r="B114" s="13">
        <v>106</v>
      </c>
      <c r="C114" s="13" t="s">
        <v>4366</v>
      </c>
      <c r="D114" s="13" t="s">
        <v>66</v>
      </c>
      <c r="E114" s="13">
        <v>1200</v>
      </c>
      <c r="F114" s="14" t="s">
        <v>67</v>
      </c>
      <c r="G114" s="13"/>
      <c r="H114" s="8"/>
      <c r="I114" s="13"/>
      <c r="J114" s="13"/>
      <c r="K114" s="25" t="s">
        <v>4367</v>
      </c>
      <c r="L114" t="str">
        <f t="shared" si="2"/>
        <v>VARCHAR(1200),</v>
      </c>
      <c r="N114" s="38" t="str">
        <f t="shared" si="3"/>
        <v>COMMENT ON COLUMN mars_agency_store.operation_permission_official_name IS '操作権限正式名称';</v>
      </c>
      <c r="R114" s="34" t="s">
        <v>4368</v>
      </c>
    </row>
    <row r="115" spans="1:18" ht="19.5" thickBot="1">
      <c r="A115" s="11"/>
      <c r="B115" s="11">
        <v>107</v>
      </c>
      <c r="C115" s="11" t="s">
        <v>4369</v>
      </c>
      <c r="D115" s="11" t="s">
        <v>89</v>
      </c>
      <c r="E115" s="11" t="s">
        <v>3805</v>
      </c>
      <c r="F115" s="10" t="s">
        <v>67</v>
      </c>
      <c r="G115" s="11"/>
      <c r="H115" s="5"/>
      <c r="I115" s="11"/>
      <c r="J115" s="11"/>
      <c r="K115" s="25" t="s">
        <v>4370</v>
      </c>
      <c r="L115" t="str">
        <f t="shared" si="2"/>
        <v>DECIMAL(10,0),</v>
      </c>
      <c r="N115" s="38" t="str">
        <f t="shared" si="3"/>
        <v>COMMENT ON COLUMN mars_agency_store.commission_calculation_category IS '手数料計算区分';</v>
      </c>
      <c r="R115" s="34" t="s">
        <v>4371</v>
      </c>
    </row>
    <row r="116" spans="1:18" ht="19.5" thickBot="1">
      <c r="A116" s="13"/>
      <c r="B116" s="13">
        <v>108</v>
      </c>
      <c r="C116" s="13" t="s">
        <v>4372</v>
      </c>
      <c r="D116" s="13" t="s">
        <v>66</v>
      </c>
      <c r="E116" s="13">
        <v>1200</v>
      </c>
      <c r="F116" s="14" t="s">
        <v>67</v>
      </c>
      <c r="G116" s="13"/>
      <c r="H116" s="8"/>
      <c r="I116" s="13"/>
      <c r="J116" s="13"/>
      <c r="K116" s="25" t="s">
        <v>4373</v>
      </c>
      <c r="L116" t="str">
        <f t="shared" si="2"/>
        <v>VARCHAR(1200),</v>
      </c>
      <c r="N116" s="38" t="str">
        <f t="shared" si="3"/>
        <v>COMMENT ON COLUMN mars_agency_store.commission_calculation_category_nm IS '手数料計算区分nm';</v>
      </c>
      <c r="R116" s="34" t="s">
        <v>4374</v>
      </c>
    </row>
    <row r="117" spans="1:18" ht="19.5" thickBot="1">
      <c r="A117" s="11"/>
      <c r="B117" s="11">
        <v>109</v>
      </c>
      <c r="C117" s="11" t="s">
        <v>4375</v>
      </c>
      <c r="D117" s="11" t="s">
        <v>66</v>
      </c>
      <c r="E117" s="11">
        <v>16</v>
      </c>
      <c r="F117" s="10" t="s">
        <v>67</v>
      </c>
      <c r="G117" s="11"/>
      <c r="H117" s="5"/>
      <c r="I117" s="11"/>
      <c r="J117" s="11"/>
      <c r="K117" s="25" t="s">
        <v>4376</v>
      </c>
      <c r="L117" t="str">
        <f t="shared" si="2"/>
        <v>VARCHAR(16),</v>
      </c>
      <c r="N117" s="38" t="str">
        <f t="shared" si="3"/>
        <v>COMMENT ON COLUMN mars_agency_store.commission_calculation_end_date IS '手数料計算終了日';</v>
      </c>
      <c r="R117" s="34" t="s">
        <v>4377</v>
      </c>
    </row>
    <row r="118" spans="1:18" ht="19.5" thickBot="1">
      <c r="A118" s="13"/>
      <c r="B118" s="13">
        <v>110</v>
      </c>
      <c r="C118" s="13" t="s">
        <v>4378</v>
      </c>
      <c r="D118" s="13" t="s">
        <v>66</v>
      </c>
      <c r="E118" s="13">
        <v>4</v>
      </c>
      <c r="F118" s="14" t="s">
        <v>67</v>
      </c>
      <c r="G118" s="13"/>
      <c r="H118" s="8"/>
      <c r="I118" s="13"/>
      <c r="J118" s="13"/>
      <c r="K118" s="25" t="s">
        <v>4379</v>
      </c>
      <c r="L118" t="str">
        <f t="shared" si="2"/>
        <v>VARCHAR(4),</v>
      </c>
      <c r="N118" s="38" t="str">
        <f t="shared" si="3"/>
        <v>COMMENT ON COLUMN mars_agency_store.corporate_dealer_type IS '法人取扱店タイプ';</v>
      </c>
      <c r="R118" s="34" t="s">
        <v>4380</v>
      </c>
    </row>
    <row r="119" spans="1:18" ht="19.5" thickBot="1">
      <c r="A119" s="11"/>
      <c r="B119" s="11">
        <v>111</v>
      </c>
      <c r="C119" s="11" t="s">
        <v>4381</v>
      </c>
      <c r="D119" s="11" t="s">
        <v>66</v>
      </c>
      <c r="E119" s="11">
        <v>1200</v>
      </c>
      <c r="F119" s="10" t="s">
        <v>67</v>
      </c>
      <c r="G119" s="11"/>
      <c r="H119" s="5"/>
      <c r="I119" s="11"/>
      <c r="J119" s="11"/>
      <c r="K119" s="25" t="s">
        <v>4382</v>
      </c>
      <c r="L119" t="str">
        <f t="shared" si="2"/>
        <v>VARCHAR(1200),</v>
      </c>
      <c r="N119" s="38" t="str">
        <f t="shared" si="3"/>
        <v>COMMENT ON COLUMN mars_agency_store.corporate_dealer_type_nm IS '法人取扱店タイプnm';</v>
      </c>
      <c r="R119" s="34" t="s">
        <v>4383</v>
      </c>
    </row>
    <row r="120" spans="1:18" ht="19.5" thickBot="1">
      <c r="A120" s="13"/>
      <c r="B120" s="13">
        <v>112</v>
      </c>
      <c r="C120" s="13" t="s">
        <v>4384</v>
      </c>
      <c r="D120" s="13" t="s">
        <v>66</v>
      </c>
      <c r="E120" s="13">
        <v>4</v>
      </c>
      <c r="F120" s="14" t="s">
        <v>67</v>
      </c>
      <c r="G120" s="13"/>
      <c r="H120" s="8"/>
      <c r="I120" s="13"/>
      <c r="J120" s="13"/>
      <c r="K120" s="25" t="s">
        <v>4385</v>
      </c>
      <c r="L120" t="str">
        <f t="shared" si="2"/>
        <v>VARCHAR(4),</v>
      </c>
      <c r="N120" s="38" t="str">
        <f t="shared" si="3"/>
        <v>COMMENT ON COLUMN mars_agency_store.service_fee_payment_ptn IS '業務手数料支払ptn';</v>
      </c>
      <c r="R120" s="34" t="s">
        <v>4386</v>
      </c>
    </row>
    <row r="121" spans="1:18" ht="19.5" thickBot="1">
      <c r="A121" s="11"/>
      <c r="B121" s="11">
        <v>113</v>
      </c>
      <c r="C121" s="11" t="s">
        <v>4387</v>
      </c>
      <c r="D121" s="11" t="s">
        <v>66</v>
      </c>
      <c r="E121" s="11">
        <v>1200</v>
      </c>
      <c r="F121" s="10" t="s">
        <v>67</v>
      </c>
      <c r="G121" s="11"/>
      <c r="H121" s="5"/>
      <c r="I121" s="11"/>
      <c r="J121" s="11"/>
      <c r="K121" s="25" t="s">
        <v>4388</v>
      </c>
      <c r="L121" t="str">
        <f t="shared" si="2"/>
        <v>VARCHAR(1200),</v>
      </c>
      <c r="N121" s="38" t="str">
        <f t="shared" si="3"/>
        <v>COMMENT ON COLUMN mars_agency_store.service_fee_payment_ptn_nm IS '業務手数料支払ptn_nm';</v>
      </c>
      <c r="R121" s="34" t="s">
        <v>4389</v>
      </c>
    </row>
    <row r="122" spans="1:18" ht="19.5" thickBot="1">
      <c r="A122" s="13"/>
      <c r="B122" s="13">
        <v>114</v>
      </c>
      <c r="C122" s="13" t="s">
        <v>4390</v>
      </c>
      <c r="D122" s="13" t="s">
        <v>89</v>
      </c>
      <c r="E122" s="13" t="s">
        <v>3805</v>
      </c>
      <c r="F122" s="14" t="s">
        <v>67</v>
      </c>
      <c r="G122" s="13"/>
      <c r="H122" s="8"/>
      <c r="I122" s="13"/>
      <c r="J122" s="13"/>
      <c r="K122" s="25" t="s">
        <v>4391</v>
      </c>
      <c r="L122" t="str">
        <f t="shared" si="2"/>
        <v>DECIMAL(10,0),</v>
      </c>
      <c r="N122" s="38" t="str">
        <f t="shared" si="3"/>
        <v>COMMENT ON COLUMN mars_agency_store.maintenance_agency_category IS '保守代理店区分';</v>
      </c>
      <c r="R122" s="34" t="s">
        <v>4392</v>
      </c>
    </row>
    <row r="123" spans="1:18" ht="19.5" thickBot="1">
      <c r="A123" s="11"/>
      <c r="B123" s="11">
        <v>115</v>
      </c>
      <c r="C123" s="11" t="s">
        <v>4393</v>
      </c>
      <c r="D123" s="11" t="s">
        <v>66</v>
      </c>
      <c r="E123" s="11">
        <v>1200</v>
      </c>
      <c r="F123" s="10" t="s">
        <v>67</v>
      </c>
      <c r="G123" s="11"/>
      <c r="H123" s="5"/>
      <c r="I123" s="11"/>
      <c r="J123" s="11"/>
      <c r="K123" s="25" t="s">
        <v>4394</v>
      </c>
      <c r="L123" t="str">
        <f t="shared" si="2"/>
        <v>VARCHAR(1200),</v>
      </c>
      <c r="N123" s="38" t="str">
        <f t="shared" si="3"/>
        <v>COMMENT ON COLUMN mars_agency_store.maintenance_agency_category_nm IS '保守代理店区分nm';</v>
      </c>
      <c r="R123" s="34" t="s">
        <v>4395</v>
      </c>
    </row>
    <row r="124" spans="1:18" ht="19.5" thickBot="1">
      <c r="A124" s="13"/>
      <c r="B124" s="13">
        <v>116</v>
      </c>
      <c r="C124" s="13" t="s">
        <v>4396</v>
      </c>
      <c r="D124" s="13" t="s">
        <v>89</v>
      </c>
      <c r="E124" s="13" t="s">
        <v>3805</v>
      </c>
      <c r="F124" s="14" t="s">
        <v>67</v>
      </c>
      <c r="G124" s="13"/>
      <c r="H124" s="8"/>
      <c r="I124" s="13"/>
      <c r="J124" s="13"/>
      <c r="K124" s="25" t="s">
        <v>4397</v>
      </c>
      <c r="L124" t="str">
        <f t="shared" si="2"/>
        <v>DECIMAL(10,0),</v>
      </c>
      <c r="N124" s="38" t="str">
        <f t="shared" si="3"/>
        <v>COMMENT ON COLUMN mars_agency_store.not_eligible_for_recurring_fee_kbn IS '継続手数料対象外kbn';</v>
      </c>
      <c r="R124" s="34" t="s">
        <v>4398</v>
      </c>
    </row>
    <row r="125" spans="1:18" ht="19.5" thickBot="1">
      <c r="A125" s="11"/>
      <c r="B125" s="11">
        <v>117</v>
      </c>
      <c r="C125" s="11" t="s">
        <v>4399</v>
      </c>
      <c r="D125" s="11" t="s">
        <v>66</v>
      </c>
      <c r="E125" s="11">
        <v>1200</v>
      </c>
      <c r="F125" s="10" t="s">
        <v>67</v>
      </c>
      <c r="G125" s="11"/>
      <c r="H125" s="5"/>
      <c r="I125" s="11"/>
      <c r="J125" s="11"/>
      <c r="K125" s="25" t="s">
        <v>4400</v>
      </c>
      <c r="L125" t="str">
        <f t="shared" si="2"/>
        <v>VARCHAR(1200),</v>
      </c>
      <c r="N125" s="38" t="str">
        <f t="shared" si="3"/>
        <v>COMMENT ON COLUMN mars_agency_store.not_eligible_for_recurring_fee_kbn_nm IS '継続手数料対象外kbn_nm';</v>
      </c>
      <c r="R125" s="34" t="s">
        <v>4401</v>
      </c>
    </row>
    <row r="126" spans="1:18" ht="19.5" thickBot="1">
      <c r="A126" s="13"/>
      <c r="B126" s="13">
        <v>118</v>
      </c>
      <c r="C126" s="13" t="s">
        <v>4402</v>
      </c>
      <c r="D126" s="13" t="s">
        <v>66</v>
      </c>
      <c r="E126" s="13">
        <v>16</v>
      </c>
      <c r="F126" s="14" t="s">
        <v>67</v>
      </c>
      <c r="G126" s="13"/>
      <c r="H126" s="8"/>
      <c r="I126" s="13"/>
      <c r="J126" s="13"/>
      <c r="K126" s="25" t="s">
        <v>4403</v>
      </c>
      <c r="L126" t="str">
        <f t="shared" si="2"/>
        <v>VARCHAR(16),</v>
      </c>
      <c r="N126" s="38" t="str">
        <f t="shared" si="3"/>
        <v>COMMENT ON COLUMN mars_agency_store.shop_outsourcing_dt IS 'ショップ業務委託dt';</v>
      </c>
      <c r="R126" s="34" t="s">
        <v>4404</v>
      </c>
    </row>
    <row r="127" spans="1:18" ht="19.5" thickBot="1">
      <c r="A127" s="11"/>
      <c r="B127" s="11">
        <v>119</v>
      </c>
      <c r="C127" s="11" t="s">
        <v>4405</v>
      </c>
      <c r="D127" s="11" t="s">
        <v>66</v>
      </c>
      <c r="E127" s="11">
        <v>16</v>
      </c>
      <c r="F127" s="10" t="s">
        <v>67</v>
      </c>
      <c r="G127" s="11"/>
      <c r="H127" s="5"/>
      <c r="I127" s="11"/>
      <c r="J127" s="11"/>
      <c r="K127" s="25" t="s">
        <v>4406</v>
      </c>
      <c r="L127" t="str">
        <f t="shared" si="2"/>
        <v>VARCHAR(16),</v>
      </c>
      <c r="N127" s="38" t="str">
        <f t="shared" si="3"/>
        <v>COMMENT ON COLUMN mars_agency_store.order_start_date IS '受注開始日';</v>
      </c>
      <c r="R127" s="34" t="s">
        <v>4407</v>
      </c>
    </row>
    <row r="128" spans="1:18" ht="19.5" thickBot="1">
      <c r="A128" s="13"/>
      <c r="B128" s="13">
        <v>120</v>
      </c>
      <c r="C128" s="13" t="s">
        <v>4408</v>
      </c>
      <c r="D128" s="13" t="s">
        <v>66</v>
      </c>
      <c r="E128" s="13">
        <v>16</v>
      </c>
      <c r="F128" s="14" t="s">
        <v>67</v>
      </c>
      <c r="G128" s="13"/>
      <c r="H128" s="8"/>
      <c r="I128" s="13"/>
      <c r="J128" s="13"/>
      <c r="K128" s="25" t="s">
        <v>4409</v>
      </c>
      <c r="L128" t="str">
        <f t="shared" si="2"/>
        <v>VARCHAR(16),</v>
      </c>
      <c r="N128" s="38" t="str">
        <f t="shared" si="3"/>
        <v>COMMENT ON COLUMN mars_agency_store.order_stop_date IS '受注停止日';</v>
      </c>
      <c r="R128" s="34" t="s">
        <v>4410</v>
      </c>
    </row>
    <row r="129" spans="1:18" ht="19.5" thickBot="1">
      <c r="A129" s="11"/>
      <c r="B129" s="11">
        <v>121</v>
      </c>
      <c r="C129" s="11" t="s">
        <v>4411</v>
      </c>
      <c r="D129" s="11" t="s">
        <v>89</v>
      </c>
      <c r="E129" s="11" t="s">
        <v>3805</v>
      </c>
      <c r="F129" s="10" t="s">
        <v>67</v>
      </c>
      <c r="G129" s="11"/>
      <c r="H129" s="5"/>
      <c r="I129" s="11"/>
      <c r="J129" s="11"/>
      <c r="K129" s="25" t="s">
        <v>4412</v>
      </c>
      <c r="L129" t="str">
        <f t="shared" si="2"/>
        <v>DECIMAL(10,0),</v>
      </c>
      <c r="N129" s="38" t="str">
        <f t="shared" si="3"/>
        <v>COMMENT ON COLUMN mars_agency_store.partial_delivery_category IS '分割納入区分';</v>
      </c>
      <c r="R129" s="34" t="s">
        <v>4413</v>
      </c>
    </row>
    <row r="130" spans="1:18" ht="19.5" thickBot="1">
      <c r="A130" s="13"/>
      <c r="B130" s="13">
        <v>122</v>
      </c>
      <c r="C130" s="13" t="s">
        <v>4414</v>
      </c>
      <c r="D130" s="13" t="s">
        <v>66</v>
      </c>
      <c r="E130" s="13">
        <v>1200</v>
      </c>
      <c r="F130" s="14" t="s">
        <v>67</v>
      </c>
      <c r="G130" s="13"/>
      <c r="H130" s="8"/>
      <c r="I130" s="13"/>
      <c r="J130" s="13"/>
      <c r="K130" s="25" t="s">
        <v>4415</v>
      </c>
      <c r="L130" t="str">
        <f t="shared" si="2"/>
        <v>VARCHAR(1200),</v>
      </c>
      <c r="N130" s="38" t="str">
        <f t="shared" si="3"/>
        <v>COMMENT ON COLUMN mars_agency_store.partial_delivery_category__official_name_ IS '分割納入区分正式名称';</v>
      </c>
      <c r="R130" s="34" t="s">
        <v>4416</v>
      </c>
    </row>
    <row r="131" spans="1:18" ht="19.5" thickBot="1">
      <c r="A131" s="11"/>
      <c r="B131" s="11">
        <v>123</v>
      </c>
      <c r="C131" s="11" t="s">
        <v>4417</v>
      </c>
      <c r="D131" s="11" t="s">
        <v>66</v>
      </c>
      <c r="E131" s="11">
        <v>2</v>
      </c>
      <c r="F131" s="10" t="s">
        <v>67</v>
      </c>
      <c r="G131" s="11"/>
      <c r="H131" s="5"/>
      <c r="I131" s="11"/>
      <c r="J131" s="11"/>
      <c r="K131" s="25" t="s">
        <v>4418</v>
      </c>
      <c r="L131" t="str">
        <f t="shared" si="2"/>
        <v>VARCHAR(2),</v>
      </c>
      <c r="N131" s="38" t="str">
        <f t="shared" si="3"/>
        <v>COMMENT ON COLUMN mars_agency_store.performance_management_category IS '実績管理区分';</v>
      </c>
      <c r="R131" s="34" t="s">
        <v>4419</v>
      </c>
    </row>
    <row r="132" spans="1:18" ht="19.5" thickBot="1">
      <c r="A132" s="13"/>
      <c r="B132" s="13">
        <v>124</v>
      </c>
      <c r="C132" s="13" t="s">
        <v>4420</v>
      </c>
      <c r="D132" s="13" t="s">
        <v>66</v>
      </c>
      <c r="E132" s="13">
        <v>1200</v>
      </c>
      <c r="F132" s="14" t="s">
        <v>67</v>
      </c>
      <c r="G132" s="13"/>
      <c r="H132" s="8"/>
      <c r="I132" s="13"/>
      <c r="J132" s="13"/>
      <c r="K132" s="25" t="s">
        <v>4421</v>
      </c>
      <c r="L132" t="str">
        <f t="shared" si="2"/>
        <v>VARCHAR(1200),</v>
      </c>
      <c r="N132" s="38" t="str">
        <f t="shared" si="3"/>
        <v>COMMENT ON COLUMN mars_agency_store.performance_management_category__official_name_ IS '実績管理区分正式名称';</v>
      </c>
      <c r="R132" s="34" t="s">
        <v>4422</v>
      </c>
    </row>
    <row r="133" spans="1:18" ht="19.5" thickBot="1">
      <c r="A133" s="11"/>
      <c r="B133" s="11">
        <v>125</v>
      </c>
      <c r="C133" s="11" t="s">
        <v>4423</v>
      </c>
      <c r="D133" s="11" t="s">
        <v>66</v>
      </c>
      <c r="E133" s="11">
        <v>2</v>
      </c>
      <c r="F133" s="10" t="s">
        <v>67</v>
      </c>
      <c r="G133" s="11"/>
      <c r="H133" s="5"/>
      <c r="I133" s="11"/>
      <c r="J133" s="11"/>
      <c r="K133" s="25" t="s">
        <v>4424</v>
      </c>
      <c r="L133" t="str">
        <f t="shared" si="2"/>
        <v>VARCHAR(2),</v>
      </c>
      <c r="N133" s="38" t="str">
        <f t="shared" si="3"/>
        <v>COMMENT ON COLUMN mars_agency_store.goal_management_category IS '目標管理区分';</v>
      </c>
      <c r="R133" s="34" t="s">
        <v>4425</v>
      </c>
    </row>
    <row r="134" spans="1:18" ht="19.5" thickBot="1">
      <c r="A134" s="13"/>
      <c r="B134" s="13">
        <v>126</v>
      </c>
      <c r="C134" s="13" t="s">
        <v>4426</v>
      </c>
      <c r="D134" s="13" t="s">
        <v>66</v>
      </c>
      <c r="E134" s="13">
        <v>1200</v>
      </c>
      <c r="F134" s="14" t="s">
        <v>67</v>
      </c>
      <c r="G134" s="13"/>
      <c r="H134" s="8"/>
      <c r="I134" s="13"/>
      <c r="J134" s="13"/>
      <c r="K134" s="25" t="s">
        <v>4427</v>
      </c>
      <c r="L134" t="str">
        <f t="shared" si="2"/>
        <v>VARCHAR(1200),</v>
      </c>
      <c r="N134" s="38" t="str">
        <f t="shared" si="3"/>
        <v>COMMENT ON COLUMN mars_agency_store.goal_management_category__official_name_ IS '目標管理区分正式名称';</v>
      </c>
      <c r="R134" s="34" t="s">
        <v>4428</v>
      </c>
    </row>
    <row r="135" spans="1:18" ht="19.5" thickBot="1">
      <c r="A135" s="11"/>
      <c r="B135" s="11">
        <v>127</v>
      </c>
      <c r="C135" s="11" t="s">
        <v>4429</v>
      </c>
      <c r="D135" s="11" t="s">
        <v>66</v>
      </c>
      <c r="E135" s="11">
        <v>2</v>
      </c>
      <c r="F135" s="10" t="s">
        <v>67</v>
      </c>
      <c r="G135" s="11"/>
      <c r="H135" s="5"/>
      <c r="I135" s="11"/>
      <c r="J135" s="11"/>
      <c r="K135" s="25" t="s">
        <v>4430</v>
      </c>
      <c r="L135" t="str">
        <f t="shared" si="2"/>
        <v>VARCHAR(2),</v>
      </c>
      <c r="N135" s="38" t="str">
        <f t="shared" si="3"/>
        <v>COMMENT ON COLUMN mars_agency_store.statistical_shop_category IS '統計用ショップ区分';</v>
      </c>
      <c r="R135" s="34" t="s">
        <v>4431</v>
      </c>
    </row>
    <row r="136" spans="1:18" ht="19.5" thickBot="1">
      <c r="A136" s="13"/>
      <c r="B136" s="13">
        <v>128</v>
      </c>
      <c r="C136" s="13" t="s">
        <v>4432</v>
      </c>
      <c r="D136" s="13" t="s">
        <v>66</v>
      </c>
      <c r="E136" s="13">
        <v>1200</v>
      </c>
      <c r="F136" s="14" t="s">
        <v>67</v>
      </c>
      <c r="G136" s="13"/>
      <c r="H136" s="8"/>
      <c r="I136" s="13"/>
      <c r="J136" s="13"/>
      <c r="K136" s="25" t="s">
        <v>4433</v>
      </c>
      <c r="L136" t="str">
        <f t="shared" si="2"/>
        <v>VARCHAR(1200),</v>
      </c>
      <c r="N136" s="38" t="str">
        <f t="shared" si="3"/>
        <v>COMMENT ON COLUMN mars_agency_store.statistical_shop_category_nm IS '統計用ショップ区分nm';</v>
      </c>
      <c r="R136" s="34" t="s">
        <v>4434</v>
      </c>
    </row>
    <row r="137" spans="1:18" ht="19.5" thickBot="1">
      <c r="A137" s="11"/>
      <c r="B137" s="11">
        <v>129</v>
      </c>
      <c r="C137" s="11" t="s">
        <v>4435</v>
      </c>
      <c r="D137" s="11" t="s">
        <v>66</v>
      </c>
      <c r="E137" s="11">
        <v>20</v>
      </c>
      <c r="F137" s="10" t="s">
        <v>67</v>
      </c>
      <c r="G137" s="11"/>
      <c r="H137" s="5"/>
      <c r="I137" s="11"/>
      <c r="J137" s="11"/>
      <c r="K137" s="25" t="s">
        <v>4436</v>
      </c>
      <c r="L137" t="str">
        <f t="shared" ref="L137:L187" si="4">D137&amp;"("&amp;E137&amp;"),"</f>
        <v>VARCHAR(20),</v>
      </c>
      <c r="N137" s="38" t="str">
        <f t="shared" si="3"/>
        <v>COMMENT ON COLUMN mars_agency_store.route_code IS 'ルートコード';</v>
      </c>
      <c r="R137" s="34" t="s">
        <v>4437</v>
      </c>
    </row>
    <row r="138" spans="1:18" ht="19.5" thickBot="1">
      <c r="A138" s="13"/>
      <c r="B138" s="13">
        <v>130</v>
      </c>
      <c r="C138" s="13" t="s">
        <v>4438</v>
      </c>
      <c r="D138" s="13" t="s">
        <v>66</v>
      </c>
      <c r="E138" s="13">
        <v>1200</v>
      </c>
      <c r="F138" s="14" t="s">
        <v>67</v>
      </c>
      <c r="G138" s="13"/>
      <c r="H138" s="8"/>
      <c r="I138" s="13"/>
      <c r="J138" s="13"/>
      <c r="K138" s="25" t="s">
        <v>4439</v>
      </c>
      <c r="L138" t="str">
        <f t="shared" si="4"/>
        <v>VARCHAR(1200),</v>
      </c>
      <c r="N138" s="38" t="str">
        <f t="shared" ref="N138:N187" si="5">"COMMENT ON COLUMN "&amp;$K$3&amp;"."&amp;$K138&amp;" IS '"&amp;C138&amp;"';"</f>
        <v>COMMENT ON COLUMN mars_agency_store.route_code__official_name_ IS 'ルートコード正式名称';</v>
      </c>
      <c r="R138" s="34" t="s">
        <v>4440</v>
      </c>
    </row>
    <row r="139" spans="1:18" ht="19.5" thickBot="1">
      <c r="A139" s="11"/>
      <c r="B139" s="11">
        <v>131</v>
      </c>
      <c r="C139" s="11" t="s">
        <v>4441</v>
      </c>
      <c r="D139" s="11" t="s">
        <v>66</v>
      </c>
      <c r="E139" s="11">
        <v>14</v>
      </c>
      <c r="F139" s="10" t="s">
        <v>67</v>
      </c>
      <c r="G139" s="11"/>
      <c r="H139" s="5"/>
      <c r="I139" s="11"/>
      <c r="J139" s="11"/>
      <c r="K139" s="25" t="s">
        <v>4442</v>
      </c>
      <c r="L139" t="str">
        <f t="shared" si="4"/>
        <v>VARCHAR(14),</v>
      </c>
      <c r="N139" s="38" t="str">
        <f t="shared" si="5"/>
        <v>COMMENT ON COLUMN mars_agency_store.performance_computing_department_code IS '実績集計部門コード';</v>
      </c>
      <c r="R139" s="34" t="s">
        <v>4443</v>
      </c>
    </row>
    <row r="140" spans="1:18" ht="19.5" thickBot="1">
      <c r="A140" s="13"/>
      <c r="B140" s="13">
        <v>132</v>
      </c>
      <c r="C140" s="13" t="s">
        <v>4444</v>
      </c>
      <c r="D140" s="13" t="s">
        <v>66</v>
      </c>
      <c r="E140" s="13">
        <v>1200</v>
      </c>
      <c r="F140" s="14" t="s">
        <v>67</v>
      </c>
      <c r="G140" s="13"/>
      <c r="H140" s="8"/>
      <c r="I140" s="13"/>
      <c r="J140" s="13"/>
      <c r="K140" s="25" t="s">
        <v>4445</v>
      </c>
      <c r="L140" t="str">
        <f t="shared" si="4"/>
        <v>VARCHAR(1200),</v>
      </c>
      <c r="N140" s="38" t="str">
        <f t="shared" si="5"/>
        <v>COMMENT ON COLUMN mars_agency_store.performance_computing_department_code_nm IS '実績集計部門コードnm';</v>
      </c>
      <c r="R140" s="34" t="s">
        <v>4446</v>
      </c>
    </row>
    <row r="141" spans="1:18" ht="19.5" thickBot="1">
      <c r="A141" s="11"/>
      <c r="B141" s="11">
        <v>133</v>
      </c>
      <c r="C141" s="11" t="s">
        <v>4447</v>
      </c>
      <c r="D141" s="11" t="s">
        <v>66</v>
      </c>
      <c r="E141" s="11">
        <v>14</v>
      </c>
      <c r="F141" s="10" t="s">
        <v>67</v>
      </c>
      <c r="G141" s="11"/>
      <c r="H141" s="5"/>
      <c r="I141" s="11"/>
      <c r="J141" s="11"/>
      <c r="K141" s="25" t="s">
        <v>4448</v>
      </c>
      <c r="L141" t="str">
        <f t="shared" si="4"/>
        <v>VARCHAR(14),</v>
      </c>
      <c r="N141" s="38" t="str">
        <f t="shared" si="5"/>
        <v>COMMENT ON COLUMN mars_agency_store.performance_computing_staff_code IS '実績集計担当者コード';</v>
      </c>
      <c r="R141" s="34" t="s">
        <v>4449</v>
      </c>
    </row>
    <row r="142" spans="1:18" ht="19.5" thickBot="1">
      <c r="A142" s="13"/>
      <c r="B142" s="13">
        <v>134</v>
      </c>
      <c r="C142" s="13" t="s">
        <v>4450</v>
      </c>
      <c r="D142" s="13" t="s">
        <v>66</v>
      </c>
      <c r="E142" s="13">
        <v>6</v>
      </c>
      <c r="F142" s="14" t="s">
        <v>67</v>
      </c>
      <c r="G142" s="13"/>
      <c r="H142" s="8"/>
      <c r="I142" s="13"/>
      <c r="J142" s="13"/>
      <c r="K142" s="25" t="s">
        <v>4451</v>
      </c>
      <c r="L142" t="str">
        <f t="shared" si="4"/>
        <v>VARCHAR(6),</v>
      </c>
      <c r="N142" s="38" t="str">
        <f t="shared" si="5"/>
        <v>COMMENT ON COLUMN mars_agency_store.performance_computing_channel_cd IS '実績集計用channel_cd';</v>
      </c>
      <c r="R142" s="34" t="s">
        <v>4452</v>
      </c>
    </row>
    <row r="143" spans="1:18" ht="19.5" thickBot="1">
      <c r="A143" s="11"/>
      <c r="B143" s="11">
        <v>135</v>
      </c>
      <c r="C143" s="11" t="s">
        <v>4453</v>
      </c>
      <c r="D143" s="11" t="s">
        <v>66</v>
      </c>
      <c r="E143" s="11">
        <v>1200</v>
      </c>
      <c r="F143" s="10" t="s">
        <v>67</v>
      </c>
      <c r="G143" s="11"/>
      <c r="H143" s="5"/>
      <c r="I143" s="11"/>
      <c r="J143" s="11"/>
      <c r="K143" s="25" t="s">
        <v>4454</v>
      </c>
      <c r="L143" t="str">
        <f t="shared" si="4"/>
        <v>VARCHAR(1200),</v>
      </c>
      <c r="N143" s="38" t="str">
        <f t="shared" si="5"/>
        <v>COMMENT ON COLUMN mars_agency_store.performance_computing_channel_l_cd_nm IS '実績集計用channel_cd_nm';</v>
      </c>
      <c r="R143" s="34" t="s">
        <v>4455</v>
      </c>
    </row>
    <row r="144" spans="1:18" ht="19.5" thickBot="1">
      <c r="A144" s="13"/>
      <c r="B144" s="13">
        <v>136</v>
      </c>
      <c r="C144" s="13" t="s">
        <v>4456</v>
      </c>
      <c r="D144" s="13" t="s">
        <v>66</v>
      </c>
      <c r="E144" s="13">
        <v>6</v>
      </c>
      <c r="F144" s="14" t="s">
        <v>67</v>
      </c>
      <c r="G144" s="13"/>
      <c r="H144" s="8"/>
      <c r="I144" s="13"/>
      <c r="J144" s="13"/>
      <c r="K144" s="25" t="s">
        <v>4457</v>
      </c>
      <c r="L144" t="str">
        <f t="shared" si="4"/>
        <v>VARCHAR(6),</v>
      </c>
      <c r="N144" s="38" t="str">
        <f t="shared" si="5"/>
        <v>COMMENT ON COLUMN mars_agency_store.channel_code IS 'チャネルコード';</v>
      </c>
      <c r="R144" s="34" t="s">
        <v>4458</v>
      </c>
    </row>
    <row r="145" spans="1:18" ht="19.5" thickBot="1">
      <c r="A145" s="11"/>
      <c r="B145" s="11">
        <v>137</v>
      </c>
      <c r="C145" s="11" t="s">
        <v>4459</v>
      </c>
      <c r="D145" s="11" t="s">
        <v>66</v>
      </c>
      <c r="E145" s="11">
        <v>1200</v>
      </c>
      <c r="F145" s="10" t="s">
        <v>67</v>
      </c>
      <c r="G145" s="11"/>
      <c r="H145" s="5"/>
      <c r="I145" s="11"/>
      <c r="J145" s="11"/>
      <c r="K145" s="25" t="s">
        <v>4460</v>
      </c>
      <c r="L145" t="str">
        <f t="shared" si="4"/>
        <v>VARCHAR(1200),</v>
      </c>
      <c r="N145" s="38" t="str">
        <f t="shared" si="5"/>
        <v>COMMENT ON COLUMN mars_agency_store.channel_code_nm IS 'チャネルコードnm';</v>
      </c>
      <c r="R145" s="34" t="s">
        <v>4461</v>
      </c>
    </row>
    <row r="146" spans="1:18" ht="19.5" thickBot="1">
      <c r="A146" s="13"/>
      <c r="B146" s="13">
        <v>138</v>
      </c>
      <c r="C146" s="13" t="s">
        <v>4462</v>
      </c>
      <c r="D146" s="13" t="s">
        <v>66</v>
      </c>
      <c r="E146" s="13">
        <v>30</v>
      </c>
      <c r="F146" s="14" t="s">
        <v>67</v>
      </c>
      <c r="G146" s="13"/>
      <c r="H146" s="8"/>
      <c r="I146" s="13"/>
      <c r="J146" s="13"/>
      <c r="K146" s="25" t="s">
        <v>4463</v>
      </c>
      <c r="L146" t="str">
        <f t="shared" si="4"/>
        <v>VARCHAR(30),</v>
      </c>
      <c r="N146" s="38" t="str">
        <f t="shared" si="5"/>
        <v>COMMENT ON COLUMN mars_agency_store.broadcast_fax_no IS '同報fax_no';</v>
      </c>
      <c r="R146" s="34" t="s">
        <v>4464</v>
      </c>
    </row>
    <row r="147" spans="1:18" ht="19.5" thickBot="1">
      <c r="A147" s="11"/>
      <c r="B147" s="11">
        <v>139</v>
      </c>
      <c r="C147" s="11" t="s">
        <v>4465</v>
      </c>
      <c r="D147" s="11" t="s">
        <v>66</v>
      </c>
      <c r="E147" s="11">
        <v>40</v>
      </c>
      <c r="F147" s="10" t="s">
        <v>67</v>
      </c>
      <c r="G147" s="11"/>
      <c r="H147" s="5"/>
      <c r="I147" s="11"/>
      <c r="J147" s="11"/>
      <c r="K147" s="25" t="s">
        <v>4466</v>
      </c>
      <c r="L147" t="str">
        <f t="shared" si="4"/>
        <v>VARCHAR(40),</v>
      </c>
      <c r="N147" s="38" t="str">
        <f t="shared" si="5"/>
        <v>COMMENT ON COLUMN mars_agency_store.sales_statistics_summary_key IS '営業統計集計キー';</v>
      </c>
      <c r="R147" s="34" t="s">
        <v>4467</v>
      </c>
    </row>
    <row r="148" spans="1:18" ht="19.5" thickBot="1">
      <c r="A148" s="13"/>
      <c r="B148" s="13">
        <v>140</v>
      </c>
      <c r="C148" s="13" t="s">
        <v>4468</v>
      </c>
      <c r="D148" s="13" t="s">
        <v>66</v>
      </c>
      <c r="E148" s="13">
        <v>720</v>
      </c>
      <c r="F148" s="14" t="s">
        <v>67</v>
      </c>
      <c r="G148" s="13"/>
      <c r="H148" s="8"/>
      <c r="I148" s="13"/>
      <c r="J148" s="13"/>
      <c r="K148" s="25" t="s">
        <v>4469</v>
      </c>
      <c r="L148" t="str">
        <f t="shared" si="4"/>
        <v>VARCHAR(720),</v>
      </c>
      <c r="N148" s="38" t="str">
        <f t="shared" si="5"/>
        <v>COMMENT ON COLUMN mars_agency_store.shop_name__kana_ IS 'ショップ名カナ';</v>
      </c>
      <c r="R148" s="34" t="s">
        <v>4470</v>
      </c>
    </row>
    <row r="149" spans="1:18" ht="19.5" thickBot="1">
      <c r="A149" s="11"/>
      <c r="B149" s="11">
        <v>141</v>
      </c>
      <c r="C149" s="11" t="s">
        <v>4471</v>
      </c>
      <c r="D149" s="11" t="s">
        <v>66</v>
      </c>
      <c r="E149" s="11">
        <v>14</v>
      </c>
      <c r="F149" s="10" t="s">
        <v>67</v>
      </c>
      <c r="G149" s="11"/>
      <c r="H149" s="5"/>
      <c r="I149" s="11"/>
      <c r="J149" s="11"/>
      <c r="K149" s="25" t="s">
        <v>4472</v>
      </c>
      <c r="L149" t="str">
        <f t="shared" si="4"/>
        <v>VARCHAR(14),</v>
      </c>
      <c r="N149" s="38" t="str">
        <f t="shared" si="5"/>
        <v>COMMENT ON COLUMN mars_agency_store.allocation_department_code IS '割当枠部門コード';</v>
      </c>
      <c r="R149" s="34" t="s">
        <v>4473</v>
      </c>
    </row>
    <row r="150" spans="1:18" ht="19.5" thickBot="1">
      <c r="A150" s="13"/>
      <c r="B150" s="13">
        <v>142</v>
      </c>
      <c r="C150" s="13" t="s">
        <v>4474</v>
      </c>
      <c r="D150" s="13" t="s">
        <v>66</v>
      </c>
      <c r="E150" s="13">
        <v>6</v>
      </c>
      <c r="F150" s="14" t="s">
        <v>67</v>
      </c>
      <c r="G150" s="13"/>
      <c r="H150" s="8"/>
      <c r="I150" s="13"/>
      <c r="J150" s="13"/>
      <c r="K150" s="25" t="s">
        <v>4475</v>
      </c>
      <c r="L150" t="str">
        <f t="shared" si="4"/>
        <v>VARCHAR(6),</v>
      </c>
      <c r="N150" s="38" t="str">
        <f t="shared" si="5"/>
        <v>COMMENT ON COLUMN mars_agency_store.allocation_code IS '割当枠コード';</v>
      </c>
      <c r="R150" s="34" t="s">
        <v>4476</v>
      </c>
    </row>
    <row r="151" spans="1:18" ht="19.5" thickBot="1">
      <c r="A151" s="11"/>
      <c r="B151" s="11">
        <v>143</v>
      </c>
      <c r="C151" s="11" t="s">
        <v>4477</v>
      </c>
      <c r="D151" s="11" t="s">
        <v>66</v>
      </c>
      <c r="E151" s="11">
        <v>1200</v>
      </c>
      <c r="F151" s="10" t="s">
        <v>67</v>
      </c>
      <c r="G151" s="11"/>
      <c r="H151" s="5"/>
      <c r="I151" s="11"/>
      <c r="J151" s="11"/>
      <c r="K151" s="25" t="s">
        <v>4478</v>
      </c>
      <c r="L151" t="str">
        <f t="shared" si="4"/>
        <v>VARCHAR(1200),</v>
      </c>
      <c r="N151" s="38" t="str">
        <f t="shared" si="5"/>
        <v>COMMENT ON COLUMN mars_agency_store.allocation_official_name IS '割当枠正式名称';</v>
      </c>
      <c r="R151" s="34" t="s">
        <v>4479</v>
      </c>
    </row>
    <row r="152" spans="1:18" ht="19.5" thickBot="1">
      <c r="A152" s="13"/>
      <c r="B152" s="13">
        <v>144</v>
      </c>
      <c r="C152" s="13" t="s">
        <v>4480</v>
      </c>
      <c r="D152" s="13" t="s">
        <v>66</v>
      </c>
      <c r="E152" s="13">
        <v>40</v>
      </c>
      <c r="F152" s="14" t="s">
        <v>67</v>
      </c>
      <c r="G152" s="13"/>
      <c r="H152" s="8"/>
      <c r="I152" s="13"/>
      <c r="J152" s="13"/>
      <c r="K152" s="25" t="s">
        <v>4481</v>
      </c>
      <c r="L152" t="str">
        <f t="shared" si="4"/>
        <v>VARCHAR(40),</v>
      </c>
      <c r="N152" s="38" t="str">
        <f t="shared" si="5"/>
        <v>COMMENT ON COLUMN mars_agency_store.pre_business_transfer_agent_cd IS '業務引継前取次店cd';</v>
      </c>
      <c r="R152" s="34" t="s">
        <v>4482</v>
      </c>
    </row>
    <row r="153" spans="1:18" ht="19.5" thickBot="1">
      <c r="A153" s="11"/>
      <c r="B153" s="11">
        <v>145</v>
      </c>
      <c r="C153" s="11" t="s">
        <v>4483</v>
      </c>
      <c r="D153" s="11" t="s">
        <v>66</v>
      </c>
      <c r="E153" s="11">
        <v>40</v>
      </c>
      <c r="F153" s="10" t="s">
        <v>67</v>
      </c>
      <c r="G153" s="11"/>
      <c r="H153" s="5"/>
      <c r="I153" s="11"/>
      <c r="J153" s="11"/>
      <c r="K153" s="25" t="s">
        <v>4484</v>
      </c>
      <c r="L153" t="str">
        <f t="shared" si="4"/>
        <v>VARCHAR(40),</v>
      </c>
      <c r="N153" s="38" t="str">
        <f t="shared" si="5"/>
        <v>COMMENT ON COLUMN mars_agency_store.chkdigit_pre_business_transfer_agent_cd IS 'chkdigit業務前取次店cd';</v>
      </c>
      <c r="R153" s="34" t="s">
        <v>4485</v>
      </c>
    </row>
    <row r="154" spans="1:18" ht="19.5" thickBot="1">
      <c r="A154" s="13"/>
      <c r="B154" s="13">
        <v>146</v>
      </c>
      <c r="C154" s="13" t="s">
        <v>4486</v>
      </c>
      <c r="D154" s="13" t="s">
        <v>66</v>
      </c>
      <c r="E154" s="13">
        <v>10</v>
      </c>
      <c r="F154" s="14" t="s">
        <v>67</v>
      </c>
      <c r="G154" s="13"/>
      <c r="H154" s="8"/>
      <c r="I154" s="13"/>
      <c r="J154" s="13"/>
      <c r="K154" s="25" t="s">
        <v>4487</v>
      </c>
      <c r="L154" t="str">
        <f t="shared" si="4"/>
        <v>VARCHAR(10),</v>
      </c>
      <c r="N154" s="38" t="str">
        <f t="shared" si="5"/>
        <v>COMMENT ON COLUMN mars_agency_store.arpu_manager_category IS 'arpu責任者区分';</v>
      </c>
      <c r="R154" s="34" t="s">
        <v>4488</v>
      </c>
    </row>
    <row r="155" spans="1:18" ht="19.5" thickBot="1">
      <c r="A155" s="11"/>
      <c r="B155" s="11">
        <v>147</v>
      </c>
      <c r="C155" s="11" t="s">
        <v>4489</v>
      </c>
      <c r="D155" s="11" t="s">
        <v>66</v>
      </c>
      <c r="E155" s="11">
        <v>6</v>
      </c>
      <c r="F155" s="10" t="s">
        <v>67</v>
      </c>
      <c r="G155" s="11"/>
      <c r="H155" s="5"/>
      <c r="I155" s="11"/>
      <c r="J155" s="11"/>
      <c r="K155" s="25" t="s">
        <v>4490</v>
      </c>
      <c r="L155" t="str">
        <f t="shared" si="4"/>
        <v>VARCHAR(6),</v>
      </c>
      <c r="N155" s="38" t="str">
        <f t="shared" si="5"/>
        <v>COMMENT ON COLUMN mars_agency_store.arpu_headquarters IS 'arpu管轄本部';</v>
      </c>
      <c r="R155" s="34" t="s">
        <v>4491</v>
      </c>
    </row>
    <row r="156" spans="1:18" ht="19.5" thickBot="1">
      <c r="A156" s="13"/>
      <c r="B156" s="13">
        <v>148</v>
      </c>
      <c r="C156" s="13" t="s">
        <v>4492</v>
      </c>
      <c r="D156" s="13" t="s">
        <v>66</v>
      </c>
      <c r="E156" s="13">
        <v>2</v>
      </c>
      <c r="F156" s="14" t="s">
        <v>67</v>
      </c>
      <c r="G156" s="13"/>
      <c r="H156" s="8"/>
      <c r="I156" s="13"/>
      <c r="J156" s="13"/>
      <c r="K156" s="25" t="s">
        <v>4493</v>
      </c>
      <c r="L156" t="str">
        <f t="shared" si="4"/>
        <v>VARCHAR(2),</v>
      </c>
      <c r="N156" s="38" t="str">
        <f t="shared" si="5"/>
        <v>COMMENT ON COLUMN mars_agency_store.okinawa_category IS '沖縄区分';</v>
      </c>
      <c r="R156" s="34" t="s">
        <v>4494</v>
      </c>
    </row>
    <row r="157" spans="1:18" ht="19.5" thickBot="1">
      <c r="A157" s="11"/>
      <c r="B157" s="11">
        <v>149</v>
      </c>
      <c r="C157" s="11" t="s">
        <v>4495</v>
      </c>
      <c r="D157" s="11" t="s">
        <v>66</v>
      </c>
      <c r="E157" s="11">
        <v>1200</v>
      </c>
      <c r="F157" s="10" t="s">
        <v>67</v>
      </c>
      <c r="G157" s="11"/>
      <c r="H157" s="5"/>
      <c r="I157" s="11"/>
      <c r="J157" s="11"/>
      <c r="K157" s="25" t="s">
        <v>4496</v>
      </c>
      <c r="L157" t="str">
        <f t="shared" si="4"/>
        <v>VARCHAR(1200),</v>
      </c>
      <c r="N157" s="38" t="str">
        <f t="shared" si="5"/>
        <v>COMMENT ON COLUMN mars_agency_store.okinawa_category_official_name IS '沖縄区分正式名称';</v>
      </c>
      <c r="R157" s="34" t="s">
        <v>4497</v>
      </c>
    </row>
    <row r="158" spans="1:18" ht="19.5" thickBot="1">
      <c r="A158" s="13"/>
      <c r="B158" s="13">
        <v>150</v>
      </c>
      <c r="C158" s="13" t="s">
        <v>4498</v>
      </c>
      <c r="D158" s="13" t="s">
        <v>66</v>
      </c>
      <c r="E158" s="13">
        <v>40</v>
      </c>
      <c r="F158" s="14" t="s">
        <v>67</v>
      </c>
      <c r="G158" s="13"/>
      <c r="H158" s="8"/>
      <c r="I158" s="13"/>
      <c r="J158" s="13"/>
      <c r="K158" s="25" t="s">
        <v>4499</v>
      </c>
      <c r="L158" t="str">
        <f t="shared" si="4"/>
        <v>VARCHAR(40),</v>
      </c>
      <c r="N158" s="38" t="str">
        <f t="shared" si="5"/>
        <v>COMMENT ON COLUMN mars_agency_store.step_primary_distributor_code IS 'step一次代理店コード';</v>
      </c>
      <c r="R158" s="34" t="s">
        <v>4500</v>
      </c>
    </row>
    <row r="159" spans="1:18" ht="19.5" thickBot="1">
      <c r="A159" s="11"/>
      <c r="B159" s="11">
        <v>151</v>
      </c>
      <c r="C159" s="11" t="s">
        <v>4501</v>
      </c>
      <c r="D159" s="11" t="s">
        <v>66</v>
      </c>
      <c r="E159" s="11">
        <v>20</v>
      </c>
      <c r="F159" s="10" t="s">
        <v>67</v>
      </c>
      <c r="G159" s="11"/>
      <c r="H159" s="5"/>
      <c r="I159" s="11"/>
      <c r="J159" s="11"/>
      <c r="K159" s="25" t="s">
        <v>4502</v>
      </c>
      <c r="L159" t="str">
        <f t="shared" si="4"/>
        <v>VARCHAR(20),</v>
      </c>
      <c r="N159" s="38" t="str">
        <f t="shared" si="5"/>
        <v>COMMENT ON COLUMN mars_agency_store.willcom_code IS 'willcomコード';</v>
      </c>
      <c r="R159" s="34" t="s">
        <v>4503</v>
      </c>
    </row>
    <row r="160" spans="1:18" ht="19.5" thickBot="1">
      <c r="A160" s="13"/>
      <c r="B160" s="13">
        <v>152</v>
      </c>
      <c r="C160" s="13" t="s">
        <v>4504</v>
      </c>
      <c r="D160" s="13" t="s">
        <v>66</v>
      </c>
      <c r="E160" s="13">
        <v>40</v>
      </c>
      <c r="F160" s="14" t="s">
        <v>67</v>
      </c>
      <c r="G160" s="13"/>
      <c r="H160" s="8"/>
      <c r="I160" s="13"/>
      <c r="J160" s="13"/>
      <c r="K160" s="25" t="s">
        <v>4505</v>
      </c>
      <c r="L160" t="str">
        <f t="shared" si="4"/>
        <v>VARCHAR(40),</v>
      </c>
      <c r="N160" s="38" t="str">
        <f t="shared" si="5"/>
        <v>COMMENT ON COLUMN mars_agency_store.jenesys_primary_distributor_cd IS 'jenesys一次代理店cd';</v>
      </c>
      <c r="R160" s="34" t="s">
        <v>4506</v>
      </c>
    </row>
    <row r="161" spans="1:18" ht="19.5" thickBot="1">
      <c r="A161" s="11"/>
      <c r="B161" s="11">
        <v>153</v>
      </c>
      <c r="C161" s="11" t="s">
        <v>4507</v>
      </c>
      <c r="D161" s="11" t="s">
        <v>66</v>
      </c>
      <c r="E161" s="11">
        <v>20</v>
      </c>
      <c r="F161" s="10" t="s">
        <v>67</v>
      </c>
      <c r="G161" s="11"/>
      <c r="H161" s="5"/>
      <c r="I161" s="11"/>
      <c r="J161" s="11"/>
      <c r="K161" s="25" t="s">
        <v>4508</v>
      </c>
      <c r="L161" t="str">
        <f t="shared" si="4"/>
        <v>VARCHAR(20),</v>
      </c>
      <c r="N161" s="38" t="str">
        <f t="shared" si="5"/>
        <v>COMMENT ON COLUMN mars_agency_store.eaccess_code IS 'eaccessコード';</v>
      </c>
      <c r="R161" s="34" t="s">
        <v>4509</v>
      </c>
    </row>
    <row r="162" spans="1:18" ht="19.5" thickBot="1">
      <c r="A162" s="13"/>
      <c r="B162" s="13">
        <v>154</v>
      </c>
      <c r="C162" s="13" t="s">
        <v>4510</v>
      </c>
      <c r="D162" s="13" t="s">
        <v>89</v>
      </c>
      <c r="E162" s="13" t="s">
        <v>3805</v>
      </c>
      <c r="F162" s="14" t="s">
        <v>67</v>
      </c>
      <c r="G162" s="13"/>
      <c r="H162" s="8"/>
      <c r="I162" s="13"/>
      <c r="J162" s="13"/>
      <c r="K162" s="25" t="s">
        <v>4511</v>
      </c>
      <c r="L162" t="str">
        <f t="shared" si="4"/>
        <v>DECIMAL(10,0),</v>
      </c>
      <c r="N162" s="38" t="str">
        <f t="shared" si="5"/>
        <v>COMMENT ON COLUMN mars_agency_store.billing_flag IS '請求先フラグ';</v>
      </c>
      <c r="R162" s="34" t="s">
        <v>4512</v>
      </c>
    </row>
    <row r="163" spans="1:18" ht="19.5" thickBot="1">
      <c r="A163" s="11"/>
      <c r="B163" s="11">
        <v>155</v>
      </c>
      <c r="C163" s="11" t="s">
        <v>4513</v>
      </c>
      <c r="D163" s="11" t="s">
        <v>89</v>
      </c>
      <c r="E163" s="11" t="s">
        <v>3805</v>
      </c>
      <c r="F163" s="10" t="s">
        <v>67</v>
      </c>
      <c r="G163" s="11"/>
      <c r="H163" s="5"/>
      <c r="I163" s="11"/>
      <c r="J163" s="11"/>
      <c r="K163" s="25" t="s">
        <v>4514</v>
      </c>
      <c r="L163" t="str">
        <f t="shared" si="4"/>
        <v>DECIMAL(10,0),</v>
      </c>
      <c r="N163" s="38" t="str">
        <f t="shared" si="5"/>
        <v>COMMENT ON COLUMN mars_agency_store.operating_store_flag IS '運営店フラグ';</v>
      </c>
      <c r="R163" s="34" t="s">
        <v>4515</v>
      </c>
    </row>
    <row r="164" spans="1:18" ht="19.5" thickBot="1">
      <c r="A164" s="13"/>
      <c r="B164" s="13">
        <v>156</v>
      </c>
      <c r="C164" s="13" t="s">
        <v>4516</v>
      </c>
      <c r="D164" s="13" t="s">
        <v>66</v>
      </c>
      <c r="E164" s="13">
        <v>40</v>
      </c>
      <c r="F164" s="14" t="s">
        <v>67</v>
      </c>
      <c r="G164" s="13"/>
      <c r="H164" s="8"/>
      <c r="I164" s="13"/>
      <c r="J164" s="13"/>
      <c r="K164" s="25" t="s">
        <v>4517</v>
      </c>
      <c r="L164" t="str">
        <f t="shared" si="4"/>
        <v>VARCHAR(40),</v>
      </c>
      <c r="N164" s="38" t="str">
        <f t="shared" si="5"/>
        <v>COMMENT ON COLUMN mars_agency_store.operating_store_code IS '運営店コード';</v>
      </c>
      <c r="R164" s="34" t="s">
        <v>4518</v>
      </c>
    </row>
    <row r="165" spans="1:18" ht="19.5" thickBot="1">
      <c r="A165" s="11"/>
      <c r="B165" s="11">
        <v>157</v>
      </c>
      <c r="C165" s="11" t="s">
        <v>4519</v>
      </c>
      <c r="D165" s="11" t="s">
        <v>66</v>
      </c>
      <c r="E165" s="11">
        <v>40</v>
      </c>
      <c r="F165" s="10" t="s">
        <v>67</v>
      </c>
      <c r="G165" s="11"/>
      <c r="H165" s="5"/>
      <c r="I165" s="11"/>
      <c r="J165" s="11"/>
      <c r="K165" s="25" t="s">
        <v>4520</v>
      </c>
      <c r="L165" t="str">
        <f t="shared" si="4"/>
        <v>VARCHAR(40),</v>
      </c>
      <c r="N165" s="38" t="str">
        <f t="shared" si="5"/>
        <v>COMMENT ON COLUMN mars_agency_store.chkdigit_operating_store_cd IS 'chkdigit運営店cd';</v>
      </c>
      <c r="R165" s="34" t="s">
        <v>4521</v>
      </c>
    </row>
    <row r="166" spans="1:18" ht="19.5" thickBot="1">
      <c r="A166" s="13"/>
      <c r="B166" s="13">
        <v>158</v>
      </c>
      <c r="C166" s="13" t="s">
        <v>4522</v>
      </c>
      <c r="D166" s="13" t="s">
        <v>66</v>
      </c>
      <c r="E166" s="13">
        <v>20</v>
      </c>
      <c r="F166" s="14" t="s">
        <v>67</v>
      </c>
      <c r="G166" s="13"/>
      <c r="H166" s="8"/>
      <c r="I166" s="13"/>
      <c r="J166" s="13"/>
      <c r="K166" s="25" t="s">
        <v>4523</v>
      </c>
      <c r="L166" t="str">
        <f t="shared" si="4"/>
        <v>VARCHAR(20),</v>
      </c>
      <c r="N166" s="38" t="str">
        <f t="shared" si="5"/>
        <v>COMMENT ON COLUMN mars_agency_store.affiliated_store_survey_approval_number IS '加盟店調査承認番号';</v>
      </c>
      <c r="R166" s="34" t="s">
        <v>4524</v>
      </c>
    </row>
    <row r="167" spans="1:18" ht="19.5" thickBot="1">
      <c r="A167" s="11"/>
      <c r="B167" s="11">
        <v>159</v>
      </c>
      <c r="C167" s="11" t="s">
        <v>4525</v>
      </c>
      <c r="D167" s="11" t="s">
        <v>66</v>
      </c>
      <c r="E167" s="11">
        <v>16</v>
      </c>
      <c r="F167" s="10" t="s">
        <v>67</v>
      </c>
      <c r="G167" s="11"/>
      <c r="H167" s="5"/>
      <c r="I167" s="11"/>
      <c r="J167" s="11"/>
      <c r="K167" s="25" t="s">
        <v>4526</v>
      </c>
      <c r="L167" t="str">
        <f t="shared" si="4"/>
        <v>VARCHAR(16),</v>
      </c>
      <c r="N167" s="38" t="str">
        <f t="shared" si="5"/>
        <v>COMMENT ON COLUMN mars_agency_store.backup_date IS '予備日付';</v>
      </c>
      <c r="R167" s="34" t="s">
        <v>4527</v>
      </c>
    </row>
    <row r="168" spans="1:18" ht="19.5" thickBot="1">
      <c r="A168" s="13"/>
      <c r="B168" s="13">
        <v>160</v>
      </c>
      <c r="C168" s="13" t="s">
        <v>4528</v>
      </c>
      <c r="D168" s="13" t="s">
        <v>89</v>
      </c>
      <c r="E168" s="13" t="s">
        <v>3805</v>
      </c>
      <c r="F168" s="14" t="s">
        <v>67</v>
      </c>
      <c r="G168" s="13"/>
      <c r="H168" s="8"/>
      <c r="I168" s="13"/>
      <c r="J168" s="13"/>
      <c r="K168" s="25" t="s">
        <v>4529</v>
      </c>
      <c r="L168" t="str">
        <f t="shared" si="4"/>
        <v>DECIMAL(10,0),</v>
      </c>
      <c r="N168" s="38" t="str">
        <f t="shared" si="5"/>
        <v>COMMENT ON COLUMN mars_agency_store.billing_payment_summary_flag IS '請求支払集計フラグ';</v>
      </c>
      <c r="R168" s="34" t="s">
        <v>4530</v>
      </c>
    </row>
    <row r="169" spans="1:18" ht="19.5" thickBot="1">
      <c r="A169" s="11"/>
      <c r="B169" s="11">
        <v>161</v>
      </c>
      <c r="C169" s="11" t="s">
        <v>4531</v>
      </c>
      <c r="D169" s="11" t="s">
        <v>66</v>
      </c>
      <c r="E169" s="11">
        <v>40</v>
      </c>
      <c r="F169" s="10" t="s">
        <v>67</v>
      </c>
      <c r="G169" s="11"/>
      <c r="H169" s="5"/>
      <c r="I169" s="11"/>
      <c r="J169" s="11"/>
      <c r="K169" s="25" t="s">
        <v>4532</v>
      </c>
      <c r="L169" t="str">
        <f t="shared" si="4"/>
        <v>VARCHAR(40),</v>
      </c>
      <c r="N169" s="38" t="str">
        <f t="shared" si="5"/>
        <v>COMMENT ON COLUMN mars_agency_store.billing_payment_summary_code IS '請求支払集計コード';</v>
      </c>
      <c r="R169" s="34" t="s">
        <v>4533</v>
      </c>
    </row>
    <row r="170" spans="1:18" ht="19.5" thickBot="1">
      <c r="A170" s="13"/>
      <c r="B170" s="13">
        <v>162</v>
      </c>
      <c r="C170" s="13" t="s">
        <v>4534</v>
      </c>
      <c r="D170" s="13" t="s">
        <v>66</v>
      </c>
      <c r="E170" s="13">
        <v>40</v>
      </c>
      <c r="F170" s="14" t="s">
        <v>67</v>
      </c>
      <c r="G170" s="13"/>
      <c r="H170" s="8"/>
      <c r="I170" s="13"/>
      <c r="J170" s="13"/>
      <c r="K170" s="25" t="s">
        <v>4535</v>
      </c>
      <c r="L170" t="str">
        <f t="shared" si="4"/>
        <v>VARCHAR(40),</v>
      </c>
      <c r="N170" s="38" t="str">
        <f t="shared" si="5"/>
        <v>COMMENT ON COLUMN mars_agency_store.chkdigit_billing_payment_summary_cd IS 'chkdigit請求支払集計cd';</v>
      </c>
      <c r="R170" s="34" t="s">
        <v>4536</v>
      </c>
    </row>
    <row r="171" spans="1:18" ht="19.5" thickBot="1">
      <c r="A171" s="11"/>
      <c r="B171" s="11">
        <v>163</v>
      </c>
      <c r="C171" s="11" t="s">
        <v>4537</v>
      </c>
      <c r="D171" s="11" t="s">
        <v>66</v>
      </c>
      <c r="E171" s="11">
        <v>8</v>
      </c>
      <c r="F171" s="10" t="s">
        <v>67</v>
      </c>
      <c r="G171" s="11"/>
      <c r="H171" s="5"/>
      <c r="I171" s="11"/>
      <c r="J171" s="11"/>
      <c r="K171" s="25" t="s">
        <v>4538</v>
      </c>
      <c r="L171" t="str">
        <f t="shared" si="4"/>
        <v>VARCHAR(8),</v>
      </c>
      <c r="N171" s="38" t="str">
        <f t="shared" si="5"/>
        <v>COMMENT ON COLUMN mars_agency_store.shop_classification_code IS 'ショップ分類コード';</v>
      </c>
      <c r="R171" s="34" t="s">
        <v>4539</v>
      </c>
    </row>
    <row r="172" spans="1:18" ht="19.5" thickBot="1">
      <c r="A172" s="13"/>
      <c r="B172" s="13">
        <v>164</v>
      </c>
      <c r="C172" s="13" t="s">
        <v>4540</v>
      </c>
      <c r="D172" s="13" t="s">
        <v>66</v>
      </c>
      <c r="E172" s="13">
        <v>4</v>
      </c>
      <c r="F172" s="14" t="s">
        <v>67</v>
      </c>
      <c r="G172" s="13"/>
      <c r="H172" s="8"/>
      <c r="I172" s="13"/>
      <c r="J172" s="13"/>
      <c r="K172" s="25" t="s">
        <v>4541</v>
      </c>
      <c r="L172" t="str">
        <f t="shared" si="4"/>
        <v>VARCHAR(4),</v>
      </c>
      <c r="N172" s="38" t="str">
        <f t="shared" si="5"/>
        <v>COMMENT ON COLUMN mars_agency_store.logistics_channel_cd IS '物流流通チャネルcd';</v>
      </c>
      <c r="R172" s="34" t="s">
        <v>4542</v>
      </c>
    </row>
    <row r="173" spans="1:18" ht="19.5" thickBot="1">
      <c r="A173" s="11"/>
      <c r="B173" s="11">
        <v>165</v>
      </c>
      <c r="C173" s="11" t="s">
        <v>4543</v>
      </c>
      <c r="D173" s="11" t="s">
        <v>89</v>
      </c>
      <c r="E173" s="11" t="s">
        <v>3805</v>
      </c>
      <c r="F173" s="10" t="s">
        <v>67</v>
      </c>
      <c r="G173" s="11"/>
      <c r="H173" s="5"/>
      <c r="I173" s="11"/>
      <c r="J173" s="11"/>
      <c r="K173" s="25" t="s">
        <v>4544</v>
      </c>
      <c r="L173" t="str">
        <f t="shared" si="4"/>
        <v>DECIMAL(10,0),</v>
      </c>
      <c r="N173" s="38" t="str">
        <f t="shared" si="5"/>
        <v>COMMENT ON COLUMN mars_agency_store.sub_store_owner_flag IS '店舗主副フラグ';</v>
      </c>
      <c r="R173" s="34" t="s">
        <v>4545</v>
      </c>
    </row>
    <row r="174" spans="1:18" ht="19.5" thickBot="1">
      <c r="A174" s="13"/>
      <c r="B174" s="13">
        <v>166</v>
      </c>
      <c r="C174" s="13" t="s">
        <v>4546</v>
      </c>
      <c r="D174" s="13" t="s">
        <v>66</v>
      </c>
      <c r="E174" s="13">
        <v>40</v>
      </c>
      <c r="F174" s="14" t="s">
        <v>67</v>
      </c>
      <c r="G174" s="13"/>
      <c r="H174" s="8"/>
      <c r="I174" s="13"/>
      <c r="J174" s="13"/>
      <c r="K174" s="25" t="s">
        <v>4547</v>
      </c>
      <c r="L174" t="str">
        <f t="shared" si="4"/>
        <v>VARCHAR(40),</v>
      </c>
      <c r="N174" s="38" t="str">
        <f t="shared" si="5"/>
        <v>COMMENT ON COLUMN mars_agency_store.store_owner_code IS '店舗主コード';</v>
      </c>
      <c r="R174" s="34" t="s">
        <v>4548</v>
      </c>
    </row>
    <row r="175" spans="1:18" ht="19.5" thickBot="1">
      <c r="A175" s="11"/>
      <c r="B175" s="11">
        <v>167</v>
      </c>
      <c r="C175" s="11" t="s">
        <v>4549</v>
      </c>
      <c r="D175" s="11" t="s">
        <v>66</v>
      </c>
      <c r="E175" s="11">
        <v>40</v>
      </c>
      <c r="F175" s="10" t="s">
        <v>67</v>
      </c>
      <c r="G175" s="11"/>
      <c r="H175" s="5"/>
      <c r="I175" s="11"/>
      <c r="J175" s="11"/>
      <c r="K175" s="25" t="s">
        <v>4550</v>
      </c>
      <c r="L175" t="str">
        <f t="shared" si="4"/>
        <v>VARCHAR(40),</v>
      </c>
      <c r="N175" s="38" t="str">
        <f t="shared" si="5"/>
        <v>COMMENT ON COLUMN mars_agency_store.chkdigit_store_owner_cd IS 'chkdigit店舗主cd';</v>
      </c>
      <c r="R175" s="34" t="s">
        <v>4551</v>
      </c>
    </row>
    <row r="176" spans="1:18" ht="19.5" thickBot="1">
      <c r="A176" s="13"/>
      <c r="B176" s="13">
        <v>168</v>
      </c>
      <c r="C176" s="13" t="s">
        <v>4552</v>
      </c>
      <c r="D176" s="13" t="s">
        <v>89</v>
      </c>
      <c r="E176" s="13" t="s">
        <v>3805</v>
      </c>
      <c r="F176" s="14" t="s">
        <v>67</v>
      </c>
      <c r="G176" s="13"/>
      <c r="H176" s="8"/>
      <c r="I176" s="13"/>
      <c r="J176" s="13"/>
      <c r="K176" s="25" t="s">
        <v>4553</v>
      </c>
      <c r="L176" t="str">
        <f t="shared" si="4"/>
        <v>DECIMAL(10,0),</v>
      </c>
      <c r="N176" s="38" t="str">
        <f t="shared" si="5"/>
        <v>COMMENT ON COLUMN mars_agency_store.group_management_flag IS 'グループ管理フラグ';</v>
      </c>
      <c r="R176" s="34" t="s">
        <v>4554</v>
      </c>
    </row>
    <row r="177" spans="1:18" ht="19.5" thickBot="1">
      <c r="A177" s="11"/>
      <c r="B177" s="11">
        <v>169</v>
      </c>
      <c r="C177" s="11" t="s">
        <v>4555</v>
      </c>
      <c r="D177" s="11" t="s">
        <v>66</v>
      </c>
      <c r="E177" s="11">
        <v>20</v>
      </c>
      <c r="F177" s="10" t="s">
        <v>67</v>
      </c>
      <c r="G177" s="11"/>
      <c r="H177" s="5"/>
      <c r="I177" s="11"/>
      <c r="J177" s="11"/>
      <c r="K177" s="25" t="s">
        <v>4556</v>
      </c>
      <c r="L177" t="str">
        <f t="shared" si="4"/>
        <v>VARCHAR(20),</v>
      </c>
      <c r="N177" s="38" t="str">
        <f t="shared" si="5"/>
        <v>COMMENT ON COLUMN mars_agency_store.group_master_code IS 'グループ主コード';</v>
      </c>
      <c r="R177" s="34" t="s">
        <v>4557</v>
      </c>
    </row>
    <row r="178" spans="1:18" ht="19.5" thickBot="1">
      <c r="A178" s="13"/>
      <c r="B178" s="13">
        <v>170</v>
      </c>
      <c r="C178" s="13" t="s">
        <v>4558</v>
      </c>
      <c r="D178" s="13" t="s">
        <v>89</v>
      </c>
      <c r="E178" s="13" t="s">
        <v>3805</v>
      </c>
      <c r="F178" s="14" t="s">
        <v>67</v>
      </c>
      <c r="G178" s="13"/>
      <c r="H178" s="8"/>
      <c r="I178" s="13"/>
      <c r="J178" s="13"/>
      <c r="K178" s="25" t="s">
        <v>4559</v>
      </c>
      <c r="L178" t="str">
        <f t="shared" si="4"/>
        <v>DECIMAL(10,0),</v>
      </c>
      <c r="N178" s="38" t="str">
        <f t="shared" si="5"/>
        <v>COMMENT ON COLUMN mars_agency_store.promotional_item_shipping_flag IS '販促品出荷flg';</v>
      </c>
      <c r="R178" s="34" t="s">
        <v>4560</v>
      </c>
    </row>
    <row r="179" spans="1:18" ht="19.5" thickBot="1">
      <c r="A179" s="11"/>
      <c r="B179" s="11">
        <v>171</v>
      </c>
      <c r="C179" s="11" t="s">
        <v>4561</v>
      </c>
      <c r="D179" s="11" t="s">
        <v>66</v>
      </c>
      <c r="E179" s="11">
        <v>1200</v>
      </c>
      <c r="F179" s="10" t="s">
        <v>67</v>
      </c>
      <c r="G179" s="11"/>
      <c r="H179" s="5"/>
      <c r="I179" s="11"/>
      <c r="J179" s="11"/>
      <c r="K179" s="25" t="s">
        <v>4562</v>
      </c>
      <c r="L179" t="str">
        <f t="shared" si="4"/>
        <v>VARCHAR(1200),</v>
      </c>
      <c r="N179" s="38" t="str">
        <f t="shared" si="5"/>
        <v>COMMENT ON COLUMN mars_agency_store.promotional_item_shipping_flag_nm IS '販促品出荷flg_nm';</v>
      </c>
      <c r="R179" s="34" t="s">
        <v>4563</v>
      </c>
    </row>
    <row r="180" spans="1:18" ht="19.5" thickBot="1">
      <c r="A180" s="13"/>
      <c r="B180" s="13">
        <v>172</v>
      </c>
      <c r="C180" s="13" t="s">
        <v>4564</v>
      </c>
      <c r="D180" s="13" t="s">
        <v>66</v>
      </c>
      <c r="E180" s="13">
        <v>20</v>
      </c>
      <c r="F180" s="14" t="s">
        <v>67</v>
      </c>
      <c r="G180" s="13"/>
      <c r="H180" s="8"/>
      <c r="I180" s="13"/>
      <c r="J180" s="13"/>
      <c r="K180" s="25" t="s">
        <v>4565</v>
      </c>
      <c r="L180" t="str">
        <f t="shared" si="4"/>
        <v>VARCHAR(20),</v>
      </c>
      <c r="N180" s="38" t="str">
        <f t="shared" si="5"/>
        <v>COMMENT ON COLUMN mars_agency_store.old_region_code IS '旧地域コード';</v>
      </c>
      <c r="R180" s="34" t="s">
        <v>4566</v>
      </c>
    </row>
    <row r="181" spans="1:18" ht="19.5" thickBot="1">
      <c r="A181" s="11"/>
      <c r="B181" s="11">
        <v>173</v>
      </c>
      <c r="C181" s="11" t="s">
        <v>4567</v>
      </c>
      <c r="D181" s="11" t="s">
        <v>66</v>
      </c>
      <c r="E181" s="11">
        <v>10</v>
      </c>
      <c r="F181" s="10" t="s">
        <v>67</v>
      </c>
      <c r="G181" s="11"/>
      <c r="H181" s="5"/>
      <c r="I181" s="11"/>
      <c r="J181" s="11"/>
      <c r="K181" s="25" t="s">
        <v>4568</v>
      </c>
      <c r="L181" t="str">
        <f t="shared" si="4"/>
        <v>VARCHAR(10),</v>
      </c>
      <c r="N181" s="38" t="str">
        <f t="shared" si="5"/>
        <v>COMMENT ON COLUMN mars_agency_store.mvno_category IS 'mvno区分';</v>
      </c>
      <c r="R181" s="34" t="s">
        <v>4569</v>
      </c>
    </row>
    <row r="182" spans="1:18" ht="19.5" thickBot="1">
      <c r="A182" s="13"/>
      <c r="B182" s="13">
        <v>174</v>
      </c>
      <c r="C182" s="13" t="s">
        <v>4570</v>
      </c>
      <c r="D182" s="13" t="s">
        <v>66</v>
      </c>
      <c r="E182" s="13">
        <v>1200</v>
      </c>
      <c r="F182" s="14" t="s">
        <v>67</v>
      </c>
      <c r="G182" s="13"/>
      <c r="H182" s="8"/>
      <c r="I182" s="13"/>
      <c r="J182" s="13"/>
      <c r="K182" s="25" t="s">
        <v>4571</v>
      </c>
      <c r="L182" t="str">
        <f t="shared" si="4"/>
        <v>VARCHAR(1200),</v>
      </c>
      <c r="N182" s="38" t="str">
        <f t="shared" si="5"/>
        <v>COMMENT ON COLUMN mars_agency_store.mvno_category_official_name IS 'mvno区分正式名称';</v>
      </c>
      <c r="R182" s="34" t="s">
        <v>4572</v>
      </c>
    </row>
    <row r="183" spans="1:18" ht="19.5" thickBot="1">
      <c r="A183" s="11"/>
      <c r="B183" s="11">
        <v>175</v>
      </c>
      <c r="C183" s="11" t="s">
        <v>4573</v>
      </c>
      <c r="D183" s="11" t="s">
        <v>66</v>
      </c>
      <c r="E183" s="11">
        <v>4</v>
      </c>
      <c r="F183" s="10" t="s">
        <v>67</v>
      </c>
      <c r="G183" s="11"/>
      <c r="H183" s="5"/>
      <c r="I183" s="11"/>
      <c r="J183" s="11"/>
      <c r="K183" s="25" t="s">
        <v>4574</v>
      </c>
      <c r="L183" t="str">
        <f t="shared" si="4"/>
        <v>VARCHAR(4),</v>
      </c>
      <c r="N183" s="38" t="str">
        <f t="shared" si="5"/>
        <v>COMMENT ON COLUMN mars_agency_store.mvno_attribute IS 'mvno属性';</v>
      </c>
      <c r="R183" s="34" t="s">
        <v>4575</v>
      </c>
    </row>
    <row r="184" spans="1:18" ht="19.5" thickBot="1">
      <c r="A184" s="13"/>
      <c r="B184" s="13">
        <v>176</v>
      </c>
      <c r="C184" s="13" t="s">
        <v>4576</v>
      </c>
      <c r="D184" s="13" t="s">
        <v>66</v>
      </c>
      <c r="E184" s="13">
        <v>1200</v>
      </c>
      <c r="F184" s="14" t="s">
        <v>67</v>
      </c>
      <c r="G184" s="13"/>
      <c r="H184" s="8"/>
      <c r="I184" s="13"/>
      <c r="J184" s="13"/>
      <c r="K184" s="25" t="s">
        <v>4577</v>
      </c>
      <c r="L184" t="str">
        <f t="shared" si="4"/>
        <v>VARCHAR(1200),</v>
      </c>
      <c r="N184" s="38" t="str">
        <f t="shared" si="5"/>
        <v>COMMENT ON COLUMN mars_agency_store.mvno_attribute_official_name IS 'mvno属性正式名称';</v>
      </c>
      <c r="R184" s="34" t="s">
        <v>4578</v>
      </c>
    </row>
    <row r="185" spans="1:18" ht="19.5" thickBot="1">
      <c r="A185" s="11"/>
      <c r="B185" s="11">
        <v>177</v>
      </c>
      <c r="C185" s="11" t="s">
        <v>4579</v>
      </c>
      <c r="D185" s="11" t="s">
        <v>66</v>
      </c>
      <c r="E185" s="11">
        <v>26</v>
      </c>
      <c r="F185" s="10" t="s">
        <v>67</v>
      </c>
      <c r="G185" s="11"/>
      <c r="H185" s="5"/>
      <c r="I185" s="11"/>
      <c r="J185" s="11"/>
      <c r="K185" s="25" t="s">
        <v>4580</v>
      </c>
      <c r="L185" t="str">
        <f t="shared" si="4"/>
        <v>VARCHAR(26),</v>
      </c>
      <c r="N185" s="38" t="str">
        <f t="shared" si="5"/>
        <v>COMMENT ON COLUMN mars_agency_store.corporate_my_number IS '法人マイナンバー';</v>
      </c>
      <c r="R185" s="34" t="s">
        <v>4581</v>
      </c>
    </row>
    <row r="186" spans="1:18" ht="19.5" thickBot="1">
      <c r="A186" s="13"/>
      <c r="B186" s="13">
        <v>178</v>
      </c>
      <c r="C186" s="13" t="s">
        <v>4582</v>
      </c>
      <c r="D186" s="13" t="s">
        <v>66</v>
      </c>
      <c r="E186" s="13">
        <v>1800</v>
      </c>
      <c r="F186" s="14" t="s">
        <v>67</v>
      </c>
      <c r="G186" s="13"/>
      <c r="H186" s="8"/>
      <c r="I186" s="13"/>
      <c r="J186" s="13"/>
      <c r="K186" s="25" t="s">
        <v>4583</v>
      </c>
      <c r="L186" t="str">
        <f t="shared" si="4"/>
        <v>VARCHAR(1800),</v>
      </c>
      <c r="N186" s="38" t="str">
        <f t="shared" si="5"/>
        <v>COMMENT ON COLUMN mars_agency_store.corporate_name IS '法人名称';</v>
      </c>
      <c r="R186" s="34" t="s">
        <v>4584</v>
      </c>
    </row>
    <row r="187" spans="1:18" ht="19.5" thickBot="1">
      <c r="A187" s="11"/>
      <c r="B187" s="11">
        <v>179</v>
      </c>
      <c r="C187" s="11" t="s">
        <v>4585</v>
      </c>
      <c r="D187" s="11" t="s">
        <v>66</v>
      </c>
      <c r="E187" s="11">
        <v>600</v>
      </c>
      <c r="F187" s="10" t="s">
        <v>67</v>
      </c>
      <c r="G187" s="11"/>
      <c r="H187" s="5"/>
      <c r="I187" s="11"/>
      <c r="J187" s="11"/>
      <c r="K187" s="25" t="s">
        <v>4586</v>
      </c>
      <c r="L187" t="str">
        <f t="shared" si="4"/>
        <v>VARCHAR(600),</v>
      </c>
      <c r="N187" s="38" t="str">
        <f t="shared" si="5"/>
        <v>COMMENT ON COLUMN mars_agency_store.manager_name IS '管理責任者名';</v>
      </c>
      <c r="R187" s="34" t="s">
        <v>4587</v>
      </c>
    </row>
    <row r="188" spans="1:18">
      <c r="K188" t="str">
        <f>"CONSTRAINT pk_"&amp;K3&amp;" PRIMARY KEY (id));"</f>
        <v>CONSTRAINT pk_mars_agency_store PRIMARY KEY (id));</v>
      </c>
      <c r="R188" s="33" t="s">
        <v>4588</v>
      </c>
    </row>
    <row r="189" spans="1:18">
      <c r="R189" s="33" t="s">
        <v>4589</v>
      </c>
    </row>
    <row r="190" spans="1:18">
      <c r="R190" s="33" t="s">
        <v>4590</v>
      </c>
    </row>
    <row r="191" spans="1:18">
      <c r="R191" s="33" t="s">
        <v>4591</v>
      </c>
    </row>
    <row r="192" spans="1:18">
      <c r="R192" s="33" t="s">
        <v>4592</v>
      </c>
    </row>
    <row r="193" spans="18:18">
      <c r="R193" s="33" t="s">
        <v>4593</v>
      </c>
    </row>
    <row r="194" spans="18:18">
      <c r="R194" s="33" t="s">
        <v>4594</v>
      </c>
    </row>
    <row r="195" spans="18:18">
      <c r="R195" s="33" t="s">
        <v>4595</v>
      </c>
    </row>
    <row r="196" spans="18:18">
      <c r="R196" s="33" t="s">
        <v>4596</v>
      </c>
    </row>
    <row r="197" spans="18:18">
      <c r="R197" s="33" t="s">
        <v>4597</v>
      </c>
    </row>
    <row r="198" spans="18:18">
      <c r="R198" s="33" t="s">
        <v>4598</v>
      </c>
    </row>
    <row r="199" spans="18:18">
      <c r="R199" s="33" t="s">
        <v>4599</v>
      </c>
    </row>
    <row r="200" spans="18:18">
      <c r="R200" s="33" t="s">
        <v>4600</v>
      </c>
    </row>
    <row r="201" spans="18:18">
      <c r="R201" s="33" t="s">
        <v>4601</v>
      </c>
    </row>
    <row r="202" spans="18:18">
      <c r="R202" s="33" t="s">
        <v>4602</v>
      </c>
    </row>
    <row r="203" spans="18:18">
      <c r="R203" s="33" t="s">
        <v>4603</v>
      </c>
    </row>
    <row r="204" spans="18:18">
      <c r="R204" s="33" t="s">
        <v>4604</v>
      </c>
    </row>
    <row r="205" spans="18:18">
      <c r="R205" s="33" t="s">
        <v>4605</v>
      </c>
    </row>
    <row r="206" spans="18:18">
      <c r="R206" s="33" t="s">
        <v>4606</v>
      </c>
    </row>
    <row r="207" spans="18:18">
      <c r="R207" s="33" t="s">
        <v>4607</v>
      </c>
    </row>
    <row r="208" spans="18:18">
      <c r="R208" s="33" t="s">
        <v>4608</v>
      </c>
    </row>
    <row r="209" spans="18:18">
      <c r="R209" s="33" t="s">
        <v>4609</v>
      </c>
    </row>
    <row r="210" spans="18:18">
      <c r="R210" s="33" t="s">
        <v>4610</v>
      </c>
    </row>
    <row r="211" spans="18:18">
      <c r="R211" s="33" t="s">
        <v>4611</v>
      </c>
    </row>
    <row r="212" spans="18:18">
      <c r="R212" s="33" t="s">
        <v>4612</v>
      </c>
    </row>
    <row r="213" spans="18:18">
      <c r="R213" s="33" t="s">
        <v>4613</v>
      </c>
    </row>
    <row r="214" spans="18:18">
      <c r="R214" s="33" t="s">
        <v>4614</v>
      </c>
    </row>
    <row r="215" spans="18:18">
      <c r="R215" s="33" t="s">
        <v>4615</v>
      </c>
    </row>
    <row r="216" spans="18:18">
      <c r="R216" s="33" t="s">
        <v>4616</v>
      </c>
    </row>
    <row r="217" spans="18:18">
      <c r="R217" s="33" t="s">
        <v>4617</v>
      </c>
    </row>
    <row r="218" spans="18:18">
      <c r="R218" s="33" t="s">
        <v>4618</v>
      </c>
    </row>
    <row r="219" spans="18:18">
      <c r="R219" s="33" t="s">
        <v>4619</v>
      </c>
    </row>
    <row r="220" spans="18:18">
      <c r="R220" s="33" t="s">
        <v>4620</v>
      </c>
    </row>
    <row r="221" spans="18:18">
      <c r="R221" s="33" t="s">
        <v>4621</v>
      </c>
    </row>
    <row r="222" spans="18:18">
      <c r="R222" s="33" t="s">
        <v>4622</v>
      </c>
    </row>
    <row r="223" spans="18:18">
      <c r="R223" s="33" t="s">
        <v>4623</v>
      </c>
    </row>
    <row r="224" spans="18:18">
      <c r="R224" s="33" t="s">
        <v>4624</v>
      </c>
    </row>
    <row r="225" spans="18:18">
      <c r="R225" s="33" t="s">
        <v>4625</v>
      </c>
    </row>
    <row r="226" spans="18:18">
      <c r="R226" s="33" t="s">
        <v>4626</v>
      </c>
    </row>
    <row r="227" spans="18:18">
      <c r="R227" s="33" t="s">
        <v>4627</v>
      </c>
    </row>
    <row r="228" spans="18:18">
      <c r="R228" s="33" t="s">
        <v>4628</v>
      </c>
    </row>
    <row r="229" spans="18:18">
      <c r="R229" s="33" t="s">
        <v>4629</v>
      </c>
    </row>
    <row r="230" spans="18:18">
      <c r="R230" s="33" t="s">
        <v>4630</v>
      </c>
    </row>
    <row r="231" spans="18:18">
      <c r="R231" s="33" t="s">
        <v>4631</v>
      </c>
    </row>
    <row r="232" spans="18:18">
      <c r="R232" s="33" t="s">
        <v>4632</v>
      </c>
    </row>
    <row r="233" spans="18:18">
      <c r="R233" s="33" t="s">
        <v>4633</v>
      </c>
    </row>
    <row r="234" spans="18:18">
      <c r="R234" s="33" t="s">
        <v>4634</v>
      </c>
    </row>
    <row r="235" spans="18:18">
      <c r="R235" s="33" t="s">
        <v>4635</v>
      </c>
    </row>
    <row r="236" spans="18:18">
      <c r="R236" s="33" t="s">
        <v>4636</v>
      </c>
    </row>
    <row r="237" spans="18:18">
      <c r="R237" s="33" t="s">
        <v>4637</v>
      </c>
    </row>
    <row r="238" spans="18:18">
      <c r="R238" s="33" t="s">
        <v>4638</v>
      </c>
    </row>
    <row r="239" spans="18:18">
      <c r="R239" s="33" t="s">
        <v>4639</v>
      </c>
    </row>
    <row r="240" spans="18:18">
      <c r="R240" s="33" t="s">
        <v>4640</v>
      </c>
    </row>
    <row r="241" spans="18:18">
      <c r="R241" s="33" t="s">
        <v>4641</v>
      </c>
    </row>
    <row r="242" spans="18:18">
      <c r="R242" s="33" t="s">
        <v>4642</v>
      </c>
    </row>
    <row r="243" spans="18:18">
      <c r="R243" s="33" t="s">
        <v>4643</v>
      </c>
    </row>
    <row r="244" spans="18:18">
      <c r="R244" s="33" t="s">
        <v>4644</v>
      </c>
    </row>
    <row r="245" spans="18:18">
      <c r="R245" s="33" t="s">
        <v>4645</v>
      </c>
    </row>
    <row r="246" spans="18:18">
      <c r="R246" s="33" t="s">
        <v>4646</v>
      </c>
    </row>
    <row r="247" spans="18:18">
      <c r="R247" s="33" t="s">
        <v>4647</v>
      </c>
    </row>
    <row r="248" spans="18:18">
      <c r="R248" s="33" t="s">
        <v>4648</v>
      </c>
    </row>
    <row r="249" spans="18:18">
      <c r="R249" s="33" t="s">
        <v>4649</v>
      </c>
    </row>
    <row r="250" spans="18:18">
      <c r="R250" s="33" t="s">
        <v>4650</v>
      </c>
    </row>
    <row r="251" spans="18:18">
      <c r="R251" s="33" t="s">
        <v>4651</v>
      </c>
    </row>
    <row r="252" spans="18:18">
      <c r="R252" s="33" t="s">
        <v>4652</v>
      </c>
    </row>
    <row r="253" spans="18:18">
      <c r="R253" s="33" t="s">
        <v>4653</v>
      </c>
    </row>
    <row r="254" spans="18:18">
      <c r="R254" s="33" t="s">
        <v>4654</v>
      </c>
    </row>
    <row r="255" spans="18:18">
      <c r="R255" s="33" t="s">
        <v>4655</v>
      </c>
    </row>
    <row r="256" spans="18:18">
      <c r="R256" s="33" t="s">
        <v>4656</v>
      </c>
    </row>
    <row r="257" spans="18:18">
      <c r="R257" s="33" t="s">
        <v>4657</v>
      </c>
    </row>
    <row r="258" spans="18:18">
      <c r="R258" s="33" t="s">
        <v>4658</v>
      </c>
    </row>
    <row r="259" spans="18:18">
      <c r="R259" s="33" t="s">
        <v>4659</v>
      </c>
    </row>
    <row r="260" spans="18:18">
      <c r="R260" s="33" t="s">
        <v>4660</v>
      </c>
    </row>
    <row r="261" spans="18:18">
      <c r="R261" s="33" t="s">
        <v>4661</v>
      </c>
    </row>
    <row r="262" spans="18:18">
      <c r="R262" s="33" t="s">
        <v>4662</v>
      </c>
    </row>
    <row r="263" spans="18:18">
      <c r="R263" s="33" t="s">
        <v>4663</v>
      </c>
    </row>
    <row r="264" spans="18:18">
      <c r="R264" s="33" t="s">
        <v>4664</v>
      </c>
    </row>
    <row r="265" spans="18:18">
      <c r="R265" s="33" t="s">
        <v>4665</v>
      </c>
    </row>
    <row r="266" spans="18:18">
      <c r="R266" s="33" t="s">
        <v>4666</v>
      </c>
    </row>
    <row r="267" spans="18:18">
      <c r="R267" s="33" t="s">
        <v>4667</v>
      </c>
    </row>
    <row r="268" spans="18:18">
      <c r="R268" s="33" t="s">
        <v>4668</v>
      </c>
    </row>
    <row r="269" spans="18:18">
      <c r="R269" s="33" t="s">
        <v>4669</v>
      </c>
    </row>
    <row r="270" spans="18:18">
      <c r="R270" s="33" t="s">
        <v>4670</v>
      </c>
    </row>
    <row r="271" spans="18:18">
      <c r="R271" s="33" t="s">
        <v>4671</v>
      </c>
    </row>
    <row r="272" spans="18:18">
      <c r="R272" s="33" t="s">
        <v>4672</v>
      </c>
    </row>
    <row r="273" spans="18:18">
      <c r="R273" s="33" t="s">
        <v>4673</v>
      </c>
    </row>
    <row r="274" spans="18:18">
      <c r="R274" s="33" t="s">
        <v>4674</v>
      </c>
    </row>
    <row r="275" spans="18:18">
      <c r="R275" s="33" t="s">
        <v>4675</v>
      </c>
    </row>
    <row r="276" spans="18:18">
      <c r="R276" s="33" t="s">
        <v>4676</v>
      </c>
    </row>
    <row r="277" spans="18:18">
      <c r="R277" s="33" t="s">
        <v>4677</v>
      </c>
    </row>
    <row r="278" spans="18:18">
      <c r="R278" s="33" t="s">
        <v>4678</v>
      </c>
    </row>
    <row r="279" spans="18:18">
      <c r="R279" s="33" t="s">
        <v>4679</v>
      </c>
    </row>
    <row r="280" spans="18:18">
      <c r="R280" s="33" t="s">
        <v>4680</v>
      </c>
    </row>
    <row r="281" spans="18:18">
      <c r="R281" s="33" t="s">
        <v>4681</v>
      </c>
    </row>
    <row r="282" spans="18:18">
      <c r="R282" s="33" t="s">
        <v>4682</v>
      </c>
    </row>
    <row r="283" spans="18:18">
      <c r="R283" s="33" t="s">
        <v>4683</v>
      </c>
    </row>
    <row r="284" spans="18:18">
      <c r="R284" s="33" t="s">
        <v>4684</v>
      </c>
    </row>
    <row r="285" spans="18:18">
      <c r="R285" s="33" t="s">
        <v>4685</v>
      </c>
    </row>
    <row r="286" spans="18:18">
      <c r="R286" s="33" t="s">
        <v>4686</v>
      </c>
    </row>
    <row r="287" spans="18:18">
      <c r="R287" s="33" t="s">
        <v>4687</v>
      </c>
    </row>
    <row r="288" spans="18:18">
      <c r="R288" s="33" t="s">
        <v>4688</v>
      </c>
    </row>
    <row r="289" spans="18:18">
      <c r="R289" s="33" t="s">
        <v>4689</v>
      </c>
    </row>
    <row r="290" spans="18:18">
      <c r="R290" s="33" t="s">
        <v>4690</v>
      </c>
    </row>
    <row r="291" spans="18:18">
      <c r="R291" s="33" t="s">
        <v>4691</v>
      </c>
    </row>
    <row r="292" spans="18:18">
      <c r="R292" s="33" t="s">
        <v>4692</v>
      </c>
    </row>
    <row r="293" spans="18:18">
      <c r="R293" s="33" t="s">
        <v>4693</v>
      </c>
    </row>
    <row r="294" spans="18:18">
      <c r="R294" s="33" t="s">
        <v>4694</v>
      </c>
    </row>
    <row r="295" spans="18:18">
      <c r="R295" s="33" t="s">
        <v>4695</v>
      </c>
    </row>
    <row r="296" spans="18:18">
      <c r="R296" s="33" t="s">
        <v>4696</v>
      </c>
    </row>
    <row r="297" spans="18:18">
      <c r="R297" s="33" t="s">
        <v>4697</v>
      </c>
    </row>
    <row r="298" spans="18:18">
      <c r="R298" s="33" t="s">
        <v>4698</v>
      </c>
    </row>
    <row r="299" spans="18:18">
      <c r="R299" s="33" t="s">
        <v>4699</v>
      </c>
    </row>
    <row r="300" spans="18:18">
      <c r="R300" s="33" t="s">
        <v>4700</v>
      </c>
    </row>
    <row r="301" spans="18:18">
      <c r="R301" s="33" t="s">
        <v>4701</v>
      </c>
    </row>
    <row r="302" spans="18:18">
      <c r="R302" s="33" t="s">
        <v>4702</v>
      </c>
    </row>
    <row r="303" spans="18:18">
      <c r="R303" s="33" t="s">
        <v>4703</v>
      </c>
    </row>
    <row r="304" spans="18:18">
      <c r="R304" s="33" t="s">
        <v>4704</v>
      </c>
    </row>
    <row r="305" spans="18:18">
      <c r="R305" s="33" t="s">
        <v>4705</v>
      </c>
    </row>
    <row r="306" spans="18:18">
      <c r="R306" s="33" t="s">
        <v>4706</v>
      </c>
    </row>
    <row r="307" spans="18:18">
      <c r="R307" s="33" t="s">
        <v>4707</v>
      </c>
    </row>
    <row r="308" spans="18:18">
      <c r="R308" s="33" t="s">
        <v>4708</v>
      </c>
    </row>
    <row r="309" spans="18:18">
      <c r="R309" s="33" t="s">
        <v>4709</v>
      </c>
    </row>
    <row r="310" spans="18:18">
      <c r="R310" s="33" t="s">
        <v>4710</v>
      </c>
    </row>
    <row r="311" spans="18:18">
      <c r="R311" s="33" t="s">
        <v>4711</v>
      </c>
    </row>
    <row r="312" spans="18:18">
      <c r="R312" s="33" t="s">
        <v>4712</v>
      </c>
    </row>
    <row r="313" spans="18:18">
      <c r="R313" s="33" t="s">
        <v>4713</v>
      </c>
    </row>
    <row r="314" spans="18:18">
      <c r="R314" s="33" t="s">
        <v>4714</v>
      </c>
    </row>
    <row r="315" spans="18:18">
      <c r="R315" s="33" t="s">
        <v>4715</v>
      </c>
    </row>
    <row r="316" spans="18:18">
      <c r="R316" s="33" t="s">
        <v>4716</v>
      </c>
    </row>
    <row r="317" spans="18:18">
      <c r="R317" s="33" t="s">
        <v>4717</v>
      </c>
    </row>
    <row r="318" spans="18:18">
      <c r="R318" s="33" t="s">
        <v>4718</v>
      </c>
    </row>
    <row r="319" spans="18:18">
      <c r="R319" s="33" t="s">
        <v>4719</v>
      </c>
    </row>
    <row r="320" spans="18:18">
      <c r="R320" s="33" t="s">
        <v>4720</v>
      </c>
    </row>
    <row r="321" spans="18:18">
      <c r="R321" s="33" t="s">
        <v>4721</v>
      </c>
    </row>
    <row r="322" spans="18:18">
      <c r="R322" s="33" t="s">
        <v>4722</v>
      </c>
    </row>
    <row r="323" spans="18:18">
      <c r="R323" s="33" t="s">
        <v>4723</v>
      </c>
    </row>
    <row r="324" spans="18:18">
      <c r="R324" s="33" t="s">
        <v>4724</v>
      </c>
    </row>
    <row r="325" spans="18:18">
      <c r="R325" s="33" t="s">
        <v>4725</v>
      </c>
    </row>
    <row r="326" spans="18:18">
      <c r="R326" s="33" t="s">
        <v>4726</v>
      </c>
    </row>
    <row r="327" spans="18:18">
      <c r="R327" s="33" t="s">
        <v>4727</v>
      </c>
    </row>
    <row r="328" spans="18:18">
      <c r="R328" s="33" t="s">
        <v>4728</v>
      </c>
    </row>
    <row r="329" spans="18:18">
      <c r="R329" s="33" t="s">
        <v>4729</v>
      </c>
    </row>
    <row r="330" spans="18:18">
      <c r="R330" s="33" t="s">
        <v>4730</v>
      </c>
    </row>
    <row r="331" spans="18:18">
      <c r="R331" s="33" t="s">
        <v>4731</v>
      </c>
    </row>
    <row r="332" spans="18:18">
      <c r="R332" s="33" t="s">
        <v>4732</v>
      </c>
    </row>
    <row r="333" spans="18:18">
      <c r="R333" s="33" t="s">
        <v>4733</v>
      </c>
    </row>
    <row r="334" spans="18:18">
      <c r="R334" s="33" t="s">
        <v>4734</v>
      </c>
    </row>
    <row r="335" spans="18:18">
      <c r="R335" s="33" t="s">
        <v>4735</v>
      </c>
    </row>
    <row r="336" spans="18:18">
      <c r="R336" s="33" t="s">
        <v>4736</v>
      </c>
    </row>
    <row r="337" spans="18:18">
      <c r="R337" s="33" t="s">
        <v>4737</v>
      </c>
    </row>
    <row r="338" spans="18:18">
      <c r="R338" s="33" t="s">
        <v>4738</v>
      </c>
    </row>
    <row r="339" spans="18:18">
      <c r="R339" s="33" t="s">
        <v>4739</v>
      </c>
    </row>
    <row r="340" spans="18:18">
      <c r="R340" s="33" t="s">
        <v>4740</v>
      </c>
    </row>
    <row r="341" spans="18:18">
      <c r="R341" s="33" t="s">
        <v>4741</v>
      </c>
    </row>
    <row r="342" spans="18:18">
      <c r="R342" s="33" t="s">
        <v>4742</v>
      </c>
    </row>
    <row r="343" spans="18:18">
      <c r="R343" s="33" t="s">
        <v>4743</v>
      </c>
    </row>
    <row r="344" spans="18:18">
      <c r="R344" s="33" t="s">
        <v>4744</v>
      </c>
    </row>
    <row r="345" spans="18:18">
      <c r="R345" s="33" t="s">
        <v>4745</v>
      </c>
    </row>
    <row r="346" spans="18:18">
      <c r="R346" s="33" t="s">
        <v>4746</v>
      </c>
    </row>
    <row r="347" spans="18:18">
      <c r="R347" s="33" t="s">
        <v>4747</v>
      </c>
    </row>
    <row r="348" spans="18:18">
      <c r="R348" s="33" t="s">
        <v>4748</v>
      </c>
    </row>
    <row r="349" spans="18:18">
      <c r="R349" s="33" t="s">
        <v>4749</v>
      </c>
    </row>
    <row r="350" spans="18:18">
      <c r="R350" s="33" t="s">
        <v>4750</v>
      </c>
    </row>
    <row r="351" spans="18:18">
      <c r="R351" s="33" t="s">
        <v>4751</v>
      </c>
    </row>
    <row r="352" spans="18:18">
      <c r="R352" s="33" t="s">
        <v>4752</v>
      </c>
    </row>
    <row r="353" spans="18:18">
      <c r="R353" s="33" t="s">
        <v>4753</v>
      </c>
    </row>
    <row r="354" spans="18:18">
      <c r="R354" s="33" t="s">
        <v>4754</v>
      </c>
    </row>
    <row r="355" spans="18:18">
      <c r="R355" s="33" t="s">
        <v>4755</v>
      </c>
    </row>
    <row r="356" spans="18:18">
      <c r="R356" s="33" t="s">
        <v>4756</v>
      </c>
    </row>
    <row r="357" spans="18:18">
      <c r="R357" s="33" t="s">
        <v>4757</v>
      </c>
    </row>
    <row r="358" spans="18:18">
      <c r="R358" s="33" t="s">
        <v>4758</v>
      </c>
    </row>
    <row r="359" spans="18:18">
      <c r="R359" s="33" t="s">
        <v>4759</v>
      </c>
    </row>
    <row r="360" spans="18:18">
      <c r="R360" s="33" t="s">
        <v>4760</v>
      </c>
    </row>
    <row r="361" spans="18:18">
      <c r="R361" s="33" t="s">
        <v>4761</v>
      </c>
    </row>
    <row r="362" spans="18:18">
      <c r="R362" s="33" t="s">
        <v>4762</v>
      </c>
    </row>
    <row r="363" spans="18:18">
      <c r="R363" s="33" t="s">
        <v>4763</v>
      </c>
    </row>
    <row r="364" spans="18:18">
      <c r="R364" s="33" t="s">
        <v>4764</v>
      </c>
    </row>
    <row r="365" spans="18:18">
      <c r="R365" s="33" t="s">
        <v>4765</v>
      </c>
    </row>
    <row r="366" spans="18:18">
      <c r="R366" s="33" t="s">
        <v>4766</v>
      </c>
    </row>
    <row r="367" spans="18:18">
      <c r="R367" s="33" t="s">
        <v>4767</v>
      </c>
    </row>
    <row r="368" spans="18:18">
      <c r="R368" s="33" t="s">
        <v>4768</v>
      </c>
    </row>
    <row r="369" spans="18:18">
      <c r="R369" s="33" t="s">
        <v>4769</v>
      </c>
    </row>
  </sheetData>
  <mergeCells count="2">
    <mergeCell ref="F4:J4"/>
    <mergeCell ref="F5:J5"/>
  </mergeCells>
  <phoneticPr fontId="2"/>
  <hyperlinks>
    <hyperlink ref="H9" r:id="rId1" display="https://tools.l2.dwh.sb-sys.info/userhelp/data/komoku" xr:uid="{3AC561E6-0FAD-428A-8075-A149E27F1351}"/>
    <hyperlink ref="H10" r:id="rId2" display="https://tools.l2.dwh.sb-sys.info/userhelp/data/komoku" xr:uid="{164F5097-E367-47CF-B9E5-C780F1427E5D}"/>
    <hyperlink ref="H11" r:id="rId3" display="https://tools.l2.dwh.sb-sys.info/userhelp/data/komoku" xr:uid="{AAAC29F4-6A19-4D17-9462-F9C8757CC409}"/>
    <hyperlink ref="H12" r:id="rId4" display="https://tools.l2.dwh.sb-sys.info/userhelp/data/komoku" xr:uid="{8C856195-CD07-48C0-ABD1-F6BF43E8098F}"/>
    <hyperlink ref="H13" r:id="rId5" display="https://tools.l2.dwh.sb-sys.info/userhelp/data/komoku" xr:uid="{BEFE9E68-9D5A-4342-A795-E9E343D85910}"/>
    <hyperlink ref="H14" r:id="rId6" display="https://tools.l2.dwh.sb-sys.info/userhelp/data/komoku" xr:uid="{E687D277-2AD7-4FCB-A8C9-38ABB06AFBF5}"/>
    <hyperlink ref="H15" r:id="rId7" display="https://tools.l2.dwh.sb-sys.info/userhelp/data/komoku" xr:uid="{04105BA4-6369-438D-B5EE-8A09012EFBE9}"/>
    <hyperlink ref="H16" r:id="rId8" display="https://tools.l2.dwh.sb-sys.info/userhelp/data/komoku" xr:uid="{35D14C21-FC89-47D1-B468-A41AB8E109A7}"/>
    <hyperlink ref="H17" r:id="rId9" display="https://tools.l2.dwh.sb-sys.info/userhelp/data/komoku" xr:uid="{3B2AC7B3-462A-435E-84A4-7894EA5A3A6E}"/>
    <hyperlink ref="H18" r:id="rId10" display="https://tools.l2.dwh.sb-sys.info/userhelp/data/komoku" xr:uid="{755EE64C-D538-4EA4-97FB-A0D1160E970A}"/>
    <hyperlink ref="H19" r:id="rId11" display="https://tools.l2.dwh.sb-sys.info/userhelp/data/komoku" xr:uid="{6B055566-8EBA-43C5-BC4A-3F39E1DCF10C}"/>
    <hyperlink ref="H20" r:id="rId12" display="https://tools.l2.dwh.sb-sys.info/userhelp/data/komoku" xr:uid="{C5B9FEB0-4325-4406-A1AA-99A59972FCEB}"/>
    <hyperlink ref="H21" r:id="rId13" display="https://tools.l2.dwh.sb-sys.info/userhelp/data/komoku" xr:uid="{02C03928-D6B4-40BC-90D3-CF508C94569D}"/>
    <hyperlink ref="H22" r:id="rId14" display="https://tools.l2.dwh.sb-sys.info/userhelp/data/komoku" xr:uid="{A4A5B897-753B-4EA2-A7CD-B8388A1F020F}"/>
    <hyperlink ref="H23" r:id="rId15" display="https://tools.l2.dwh.sb-sys.info/userhelp/data/komoku" xr:uid="{708CB284-F7AB-452B-97ED-8F6F976AA4F9}"/>
    <hyperlink ref="H24" r:id="rId16" display="https://tools.l2.dwh.sb-sys.info/userhelp/data/komoku" xr:uid="{239FFCC4-7E14-4582-882D-87F340569340}"/>
    <hyperlink ref="H25" r:id="rId17" display="https://tools.l2.dwh.sb-sys.info/userhelp/data/komoku" xr:uid="{94BB2C80-3D29-43C0-B756-112F00E61781}"/>
    <hyperlink ref="H26" r:id="rId18" display="https://tools.l2.dwh.sb-sys.info/userhelp/data/komoku" xr:uid="{E88AD034-9DAC-485D-BB2D-547EF42785EA}"/>
    <hyperlink ref="H27" r:id="rId19" display="https://tools.l2.dwh.sb-sys.info/userhelp/data/komoku" xr:uid="{68B004E3-CCF3-46DC-9D83-8488B521D394}"/>
    <hyperlink ref="H28" r:id="rId20" display="https://tools.l2.dwh.sb-sys.info/userhelp/data/komoku" xr:uid="{4A671299-9132-43B4-8C33-0496916432B7}"/>
    <hyperlink ref="H29" r:id="rId21" display="https://tools.l2.dwh.sb-sys.info/userhelp/data/komoku" xr:uid="{0B3C2BA7-8A9A-4BD4-BE8A-C3354D1467DB}"/>
    <hyperlink ref="H30" r:id="rId22" display="https://tools.l2.dwh.sb-sys.info/userhelp/data/komoku" xr:uid="{B317B758-EC7C-4E51-9A38-BA26BA42C97A}"/>
    <hyperlink ref="H31" r:id="rId23" display="https://tools.l2.dwh.sb-sys.info/userhelp/data/komoku" xr:uid="{3E2924DA-9725-46A4-B016-9DF1CF45EC57}"/>
    <hyperlink ref="H32" r:id="rId24" display="https://tools.l2.dwh.sb-sys.info/userhelp/data/komoku" xr:uid="{24625D5A-C001-4E4C-A076-00F34441B9B7}"/>
    <hyperlink ref="H33" r:id="rId25" display="https://tools.l2.dwh.sb-sys.info/userhelp/data/komoku" xr:uid="{0B0F45FC-CF33-4D90-A570-20E5929DAB85}"/>
    <hyperlink ref="H34" r:id="rId26" display="https://tools.l2.dwh.sb-sys.info/userhelp/data/komoku" xr:uid="{DDB9F619-7037-4BFB-858D-52FF395840DC}"/>
    <hyperlink ref="H35" r:id="rId27" display="https://tools.l2.dwh.sb-sys.info/userhelp/data/komoku" xr:uid="{18671A54-6104-485F-9EDA-299C156587C9}"/>
    <hyperlink ref="H36" r:id="rId28" display="https://tools.l2.dwh.sb-sys.info/userhelp/data/komoku" xr:uid="{BE5C7B21-FC81-47B3-95DE-147E74A91FB0}"/>
    <hyperlink ref="H37" r:id="rId29" display="https://tools.l2.dwh.sb-sys.info/userhelp/data/komoku" xr:uid="{66521BFB-CA2B-4E57-916A-CCB21D00FA44}"/>
    <hyperlink ref="H38" r:id="rId30" display="https://tools.l2.dwh.sb-sys.info/userhelp/data/komoku" xr:uid="{8D3BB404-303D-4B52-A031-5D2916A7CFE4}"/>
    <hyperlink ref="H39" r:id="rId31" display="https://tools.l2.dwh.sb-sys.info/userhelp/data/komoku" xr:uid="{32550593-21B8-4259-8E19-1435E5F67F5E}"/>
    <hyperlink ref="H40" r:id="rId32" display="https://tools.l2.dwh.sb-sys.info/userhelp/data/komoku" xr:uid="{06A8B204-FBE9-4C22-AB12-A589266A3B83}"/>
    <hyperlink ref="H41" r:id="rId33" display="https://tools.l2.dwh.sb-sys.info/userhelp/data/komoku" xr:uid="{3B3F0590-DF90-4441-9B6B-1271B509C8D0}"/>
    <hyperlink ref="H42" r:id="rId34" display="https://tools.l2.dwh.sb-sys.info/userhelp/data/komoku" xr:uid="{67CF02A1-8B9C-4BE9-BA0A-B40E67C62A82}"/>
    <hyperlink ref="H43" r:id="rId35" display="https://tools.l2.dwh.sb-sys.info/userhelp/data/komoku" xr:uid="{E97E7988-D292-4870-A5A8-A0BD1DDD2458}"/>
    <hyperlink ref="H44" r:id="rId36" display="https://tools.l2.dwh.sb-sys.info/userhelp/data/komoku" xr:uid="{77F27827-B48B-41F7-99D9-8C0D267F7AB0}"/>
    <hyperlink ref="H45" r:id="rId37" display="https://tools.l2.dwh.sb-sys.info/userhelp/data/komoku" xr:uid="{8DC4C5A9-6D84-451F-AB4C-1379CA0D2C72}"/>
    <hyperlink ref="H46" r:id="rId38" display="https://tools.l2.dwh.sb-sys.info/userhelp/data/komoku" xr:uid="{071FD559-6042-4996-9363-4D467E5BD157}"/>
    <hyperlink ref="H47" r:id="rId39" display="https://tools.l2.dwh.sb-sys.info/userhelp/data/komoku" xr:uid="{30CB902C-FE04-49FC-9682-476AAE0AFAC3}"/>
    <hyperlink ref="H48" r:id="rId40" display="https://tools.l2.dwh.sb-sys.info/userhelp/data/komoku" xr:uid="{366849DB-A1C0-41AF-A5F4-521F304CBDF0}"/>
    <hyperlink ref="H49" r:id="rId41" display="https://tools.l2.dwh.sb-sys.info/userhelp/data/komoku" xr:uid="{46877D48-E69B-4173-8D4A-FE55047BE1BD}"/>
    <hyperlink ref="H50" r:id="rId42" display="https://tools.l2.dwh.sb-sys.info/userhelp/data/komoku" xr:uid="{059114D8-1644-4FC6-B2EE-9812D720078C}"/>
    <hyperlink ref="H51" r:id="rId43" display="https://tools.l2.dwh.sb-sys.info/userhelp/data/komoku" xr:uid="{F261E3BB-17A7-4A57-B716-216EADE926EB}"/>
    <hyperlink ref="H52" r:id="rId44" display="https://tools.l2.dwh.sb-sys.info/userhelp/data/komoku" xr:uid="{662A9088-4971-44C3-A194-F3BA601DE3E9}"/>
    <hyperlink ref="H53" r:id="rId45" display="https://tools.l2.dwh.sb-sys.info/userhelp/data/komoku" xr:uid="{860949CF-5A9C-40E1-9641-69F7BDC84971}"/>
    <hyperlink ref="H54" r:id="rId46" display="https://tools.l2.dwh.sb-sys.info/userhelp/data/komoku" xr:uid="{74F59743-BCE5-4293-B2D6-3D337AE524EB}"/>
    <hyperlink ref="H55" r:id="rId47" display="https://tools.l2.dwh.sb-sys.info/userhelp/data/komoku" xr:uid="{68F87BA4-B514-46FB-BB64-5D3F9E66A79A}"/>
    <hyperlink ref="H56" r:id="rId48" display="https://tools.l2.dwh.sb-sys.info/userhelp/data/komoku" xr:uid="{F2CA530D-BD3E-4274-9514-73BEC0A024F6}"/>
    <hyperlink ref="H57" r:id="rId49" display="https://tools.l2.dwh.sb-sys.info/userhelp/data/komoku" xr:uid="{77F461F3-859B-4E74-8403-C388350D800B}"/>
    <hyperlink ref="H58" r:id="rId50" display="https://tools.l2.dwh.sb-sys.info/userhelp/data/komoku" xr:uid="{175A140C-EAB8-468D-9D33-22CFEABB174F}"/>
    <hyperlink ref="H59" r:id="rId51" display="https://tools.l2.dwh.sb-sys.info/userhelp/data/komoku" xr:uid="{5781245A-3E58-4767-AF57-510EEE3565E0}"/>
    <hyperlink ref="H60" r:id="rId52" display="https://tools.l2.dwh.sb-sys.info/userhelp/data/komoku" xr:uid="{7C91001E-10BF-4B32-B1D2-06115AAB4C6C}"/>
    <hyperlink ref="H61" r:id="rId53" display="https://tools.l2.dwh.sb-sys.info/userhelp/data/komoku" xr:uid="{618F326B-0DED-4BBC-A3A8-32A71EA96636}"/>
    <hyperlink ref="H62" r:id="rId54" display="https://tools.l2.dwh.sb-sys.info/userhelp/data/komoku" xr:uid="{26435E5E-6994-4166-B98B-402EF9369D92}"/>
    <hyperlink ref="H63" r:id="rId55" display="https://tools.l2.dwh.sb-sys.info/userhelp/data/komoku" xr:uid="{9E67F11B-F5C5-4780-B080-D2A233696188}"/>
    <hyperlink ref="H64" r:id="rId56" display="https://tools.l2.dwh.sb-sys.info/userhelp/data/komoku" xr:uid="{3E0232C8-E641-4276-A71B-F9F5381CF2BC}"/>
    <hyperlink ref="H65" r:id="rId57" display="https://tools.l2.dwh.sb-sys.info/userhelp/data/komoku" xr:uid="{A806424E-AF3F-4BBD-9664-DBAFFB912648}"/>
    <hyperlink ref="H66" r:id="rId58" display="https://tools.l2.dwh.sb-sys.info/userhelp/data/komoku" xr:uid="{3C238A51-1232-46DB-8C42-15EC9B3D83C7}"/>
    <hyperlink ref="H67" r:id="rId59" display="https://tools.l2.dwh.sb-sys.info/userhelp/data/komoku" xr:uid="{11E207A7-1121-4E2C-A599-A4B4B59CCCB6}"/>
    <hyperlink ref="H68" r:id="rId60" display="https://tools.l2.dwh.sb-sys.info/userhelp/data/komoku" xr:uid="{AA6D1F92-0ADC-456B-9F7F-79F306FF4CD4}"/>
    <hyperlink ref="H69" r:id="rId61" display="https://tools.l2.dwh.sb-sys.info/userhelp/data/komoku" xr:uid="{CA7BF249-964B-483B-8F69-259540E0B24E}"/>
    <hyperlink ref="H70" r:id="rId62" display="https://tools.l2.dwh.sb-sys.info/userhelp/data/komoku" xr:uid="{9F153619-19A8-45C6-9ED5-7837BDC76429}"/>
    <hyperlink ref="H71" r:id="rId63" display="https://tools.l2.dwh.sb-sys.info/userhelp/data/komoku" xr:uid="{D4B82404-8AFA-4E9C-BC6A-8F5DB75F355A}"/>
    <hyperlink ref="H72" r:id="rId64" display="https://tools.l2.dwh.sb-sys.info/userhelp/data/komoku" xr:uid="{778CD49C-8680-4192-9AB3-C137DC8F13EE}"/>
    <hyperlink ref="H73" r:id="rId65" display="https://tools.l2.dwh.sb-sys.info/userhelp/data/komoku" xr:uid="{EB18EB4E-043A-440F-AAD9-C540FC410DA7}"/>
    <hyperlink ref="H74" r:id="rId66" display="https://tools.l2.dwh.sb-sys.info/userhelp/data/komoku" xr:uid="{74C4DFD4-20CB-4D5C-AAFF-051C62A39327}"/>
    <hyperlink ref="H75" r:id="rId67" display="https://tools.l2.dwh.sb-sys.info/userhelp/data/komoku" xr:uid="{089EF17D-CEC5-4AFC-A614-0AE21F25B087}"/>
    <hyperlink ref="H76" r:id="rId68" display="https://tools.l2.dwh.sb-sys.info/userhelp/data/komoku" xr:uid="{42ECFA9E-CEB0-49FD-AF8C-46EEED9F7425}"/>
    <hyperlink ref="H77" r:id="rId69" display="https://tools.l2.dwh.sb-sys.info/userhelp/data/komoku" xr:uid="{E9B71F92-7586-4045-92C8-29B6C1D6747A}"/>
    <hyperlink ref="H78" r:id="rId70" display="https://tools.l2.dwh.sb-sys.info/userhelp/data/komoku" xr:uid="{ADB1BF35-16C6-459B-9A62-23710D4D838D}"/>
    <hyperlink ref="H79" r:id="rId71" display="https://tools.l2.dwh.sb-sys.info/userhelp/data/komoku" xr:uid="{D1F269BA-429E-4E6D-83A5-CF816E6B1C77}"/>
    <hyperlink ref="H80" r:id="rId72" display="https://tools.l2.dwh.sb-sys.info/userhelp/data/komoku" xr:uid="{89DBBD2C-E36C-4A4E-A19C-B0339DF8C649}"/>
    <hyperlink ref="H81" r:id="rId73" display="https://tools.l2.dwh.sb-sys.info/userhelp/data/komoku" xr:uid="{A57DB27F-21CC-44C8-84B8-A3227A78616C}"/>
    <hyperlink ref="H82" r:id="rId74" display="https://tools.l2.dwh.sb-sys.info/userhelp/data/komoku" xr:uid="{00C1B741-7591-4E81-92AA-80314F45F188}"/>
    <hyperlink ref="H83" r:id="rId75" display="https://tools.l2.dwh.sb-sys.info/userhelp/data/komoku" xr:uid="{F60D5BB1-0508-46CC-BDAE-B008E830595B}"/>
    <hyperlink ref="H84" r:id="rId76" display="https://tools.l2.dwh.sb-sys.info/userhelp/data/komoku" xr:uid="{6142EBFF-A049-4385-98F6-3F1CB4B28094}"/>
    <hyperlink ref="H85" r:id="rId77" display="https://tools.l2.dwh.sb-sys.info/userhelp/data/komoku" xr:uid="{249771D1-895A-44E1-AA83-463417C44072}"/>
    <hyperlink ref="H86" r:id="rId78" display="https://tools.l2.dwh.sb-sys.info/userhelp/data/komoku" xr:uid="{0A0F8B58-8842-44DF-A664-96745182E99C}"/>
    <hyperlink ref="H87" r:id="rId79" display="https://tools.l2.dwh.sb-sys.info/userhelp/data/komoku" xr:uid="{35A8862A-BC4C-4CB5-A515-929DB06C95F0}"/>
    <hyperlink ref="H88" r:id="rId80" display="https://tools.l2.dwh.sb-sys.info/userhelp/data/komoku" xr:uid="{B2AA21BF-14F4-49CD-94D8-385A49637D13}"/>
    <hyperlink ref="H89" r:id="rId81" display="https://tools.l2.dwh.sb-sys.info/userhelp/data/komoku" xr:uid="{60E6971D-5DB6-47B4-8703-110534140275}"/>
    <hyperlink ref="H90" r:id="rId82" display="https://tools.l2.dwh.sb-sys.info/userhelp/data/komoku" xr:uid="{7EB9EC3E-FDEB-4F29-A7C8-6F7A6BB5DAC0}"/>
    <hyperlink ref="H91" r:id="rId83" display="https://tools.l2.dwh.sb-sys.info/userhelp/data/komoku" xr:uid="{D9555E8B-ED77-4DA9-A838-7B76D8B34933}"/>
    <hyperlink ref="H92" r:id="rId84" display="https://tools.l2.dwh.sb-sys.info/userhelp/data/komoku" xr:uid="{6783084A-3D59-48C7-8CE2-C955880D83AB}"/>
    <hyperlink ref="H93" r:id="rId85" display="https://tools.l2.dwh.sb-sys.info/userhelp/data/komoku" xr:uid="{AABF909D-83BC-438E-B731-7583635DA94B}"/>
    <hyperlink ref="H94" r:id="rId86" display="https://tools.l2.dwh.sb-sys.info/userhelp/data/komoku" xr:uid="{9620EABF-62D2-4A08-9218-0494E5303FB8}"/>
    <hyperlink ref="H95" r:id="rId87" display="https://tools.l2.dwh.sb-sys.info/userhelp/data/komoku" xr:uid="{AA8EB47A-A6BB-40B4-93FB-E560C926A26C}"/>
    <hyperlink ref="H96" r:id="rId88" display="https://tools.l2.dwh.sb-sys.info/userhelp/data/komoku" xr:uid="{24078F52-AFFE-4C66-B0C3-7A24E9842FC4}"/>
    <hyperlink ref="H97" r:id="rId89" display="https://tools.l2.dwh.sb-sys.info/userhelp/data/komoku" xr:uid="{B380FD90-4D34-4F0F-8AE0-3D0B31A34A2D}"/>
    <hyperlink ref="H98" r:id="rId90" display="https://tools.l2.dwh.sb-sys.info/userhelp/data/komoku" xr:uid="{665A102C-C66E-4755-B0D9-74837058056C}"/>
    <hyperlink ref="H99" r:id="rId91" display="https://tools.l2.dwh.sb-sys.info/userhelp/data/komoku" xr:uid="{17A782A6-B01E-4C74-8CE1-0290FA96F82A}"/>
    <hyperlink ref="H100" r:id="rId92" display="https://tools.l2.dwh.sb-sys.info/userhelp/data/komoku" xr:uid="{2E871CAD-C17F-4EB0-8087-9A773D160732}"/>
    <hyperlink ref="H101" r:id="rId93" display="https://tools.l2.dwh.sb-sys.info/userhelp/data/komoku" xr:uid="{4B978D6D-E9FE-4E27-987B-F2016F0CD6C7}"/>
    <hyperlink ref="H102" r:id="rId94" display="https://tools.l2.dwh.sb-sys.info/userhelp/data/komoku" xr:uid="{44207407-FA40-49D5-AC23-16DC6C3C9EC2}"/>
    <hyperlink ref="H103" r:id="rId95" display="https://tools.l2.dwh.sb-sys.info/userhelp/data/komoku" xr:uid="{8B674D81-986B-4907-8CA1-1627278584FD}"/>
    <hyperlink ref="H104" r:id="rId96" display="https://tools.l2.dwh.sb-sys.info/userhelp/data/komoku" xr:uid="{E9542531-FD3E-457B-92D7-C241D48F58E8}"/>
    <hyperlink ref="H105" r:id="rId97" display="https://tools.l2.dwh.sb-sys.info/userhelp/data/komoku" xr:uid="{D4788CF5-4739-4EAA-9482-766EE0E2D3A1}"/>
    <hyperlink ref="H106" r:id="rId98" display="https://tools.l2.dwh.sb-sys.info/userhelp/data/komoku" xr:uid="{0EAD0677-1E8C-4775-8A4E-3A878D29B0DB}"/>
    <hyperlink ref="H107" r:id="rId99" display="https://tools.l2.dwh.sb-sys.info/userhelp/data/komoku" xr:uid="{5D9224A7-32E0-4421-A286-328ABE72F792}"/>
    <hyperlink ref="H108" r:id="rId100" display="https://tools.l2.dwh.sb-sys.info/userhelp/data/komoku" xr:uid="{CE78311F-6E26-479A-B22F-A3800B3A1D77}"/>
    <hyperlink ref="H109" r:id="rId101" display="https://tools.l2.dwh.sb-sys.info/userhelp/data/komoku" xr:uid="{554A22CA-BF7B-4831-9880-4EEE528CE4EF}"/>
    <hyperlink ref="H110" r:id="rId102" display="https://tools.l2.dwh.sb-sys.info/userhelp/data/komoku" xr:uid="{9A601BF2-B9BB-4F41-85CD-D2DE88D0988B}"/>
    <hyperlink ref="H111" r:id="rId103" display="https://tools.l2.dwh.sb-sys.info/userhelp/data/komoku" xr:uid="{A9E0230F-419C-4717-B9A1-56FF73C897A5}"/>
    <hyperlink ref="H112" r:id="rId104" display="https://tools.l2.dwh.sb-sys.info/userhelp/data/komoku" xr:uid="{4ACDFB43-2E49-4565-8685-A8F5F3CA8A12}"/>
    <hyperlink ref="H113" r:id="rId105" display="https://tools.l2.dwh.sb-sys.info/userhelp/data/komoku" xr:uid="{F1006518-D880-474E-BF79-601DB121FD9F}"/>
    <hyperlink ref="H114" r:id="rId106" display="https://tools.l2.dwh.sb-sys.info/userhelp/data/komoku" xr:uid="{F3797A85-03D0-42FA-9FAC-F1DA5152BC05}"/>
    <hyperlink ref="H115" r:id="rId107" display="https://tools.l2.dwh.sb-sys.info/userhelp/data/komoku" xr:uid="{AC8794A1-5180-4237-A1F9-C95BE8C753DA}"/>
    <hyperlink ref="H116" r:id="rId108" display="https://tools.l2.dwh.sb-sys.info/userhelp/data/komoku" xr:uid="{21950A75-A12D-4A9B-9A52-3E2221AA95CA}"/>
    <hyperlink ref="H117" r:id="rId109" display="https://tools.l2.dwh.sb-sys.info/userhelp/data/komoku" xr:uid="{B062C078-C973-443C-BB30-B1DB0400379B}"/>
    <hyperlink ref="H118" r:id="rId110" display="https://tools.l2.dwh.sb-sys.info/userhelp/data/komoku" xr:uid="{4D1A2550-9049-4A11-A472-588556AC7A8C}"/>
    <hyperlink ref="H119" r:id="rId111" display="https://tools.l2.dwh.sb-sys.info/userhelp/data/komoku" xr:uid="{F306F581-E993-4042-B60B-EBA4004D5C09}"/>
    <hyperlink ref="H120" r:id="rId112" display="https://tools.l2.dwh.sb-sys.info/userhelp/data/komoku" xr:uid="{B3FA4410-A34A-4169-9EE6-881B947C93F2}"/>
    <hyperlink ref="H121" r:id="rId113" display="https://tools.l2.dwh.sb-sys.info/userhelp/data/komoku" xr:uid="{F7D32762-FA63-4CB4-B2AF-D068DAD1B571}"/>
    <hyperlink ref="H122" r:id="rId114" display="https://tools.l2.dwh.sb-sys.info/userhelp/data/komoku" xr:uid="{2F921349-3B3E-4029-86F1-9E8AD9546A8C}"/>
    <hyperlink ref="H123" r:id="rId115" display="https://tools.l2.dwh.sb-sys.info/userhelp/data/komoku" xr:uid="{F7BC2407-C44C-4AB5-9015-1D75D40F728E}"/>
    <hyperlink ref="H124" r:id="rId116" display="https://tools.l2.dwh.sb-sys.info/userhelp/data/komoku" xr:uid="{5ECA3466-4DAD-497F-9068-91C4B5BEFB30}"/>
    <hyperlink ref="H125" r:id="rId117" display="https://tools.l2.dwh.sb-sys.info/userhelp/data/komoku" xr:uid="{74AB77C2-0A0C-4D2E-A84C-43E3ED883CE9}"/>
    <hyperlink ref="H126" r:id="rId118" display="https://tools.l2.dwh.sb-sys.info/userhelp/data/komoku" xr:uid="{A24D65A4-9D53-488E-9BCB-BF94A09F9C1A}"/>
    <hyperlink ref="H127" r:id="rId119" display="https://tools.l2.dwh.sb-sys.info/userhelp/data/komoku" xr:uid="{6893529D-CEAC-487C-9D4E-E8517E7E3D18}"/>
    <hyperlink ref="H128" r:id="rId120" display="https://tools.l2.dwh.sb-sys.info/userhelp/data/komoku" xr:uid="{1E0881ED-70A7-4A7E-8354-AE622DB98787}"/>
    <hyperlink ref="H129" r:id="rId121" display="https://tools.l2.dwh.sb-sys.info/userhelp/data/komoku" xr:uid="{C82C1C1C-96F9-4BB4-851E-E3B064EC6F9C}"/>
    <hyperlink ref="H130" r:id="rId122" display="https://tools.l2.dwh.sb-sys.info/userhelp/data/komoku" xr:uid="{38615223-6C12-45BD-B866-E0B0A83C324D}"/>
    <hyperlink ref="H131" r:id="rId123" display="https://tools.l2.dwh.sb-sys.info/userhelp/data/komoku" xr:uid="{D1586ABD-37EC-4CD2-AB7F-9B83C0A27440}"/>
    <hyperlink ref="H132" r:id="rId124" display="https://tools.l2.dwh.sb-sys.info/userhelp/data/komoku" xr:uid="{5A391F9D-53E6-412D-8358-6A7C332E9C3E}"/>
    <hyperlink ref="H133" r:id="rId125" display="https://tools.l2.dwh.sb-sys.info/userhelp/data/komoku" xr:uid="{420DDA67-0DF8-4DC0-B458-3D46B84471C8}"/>
    <hyperlink ref="H134" r:id="rId126" display="https://tools.l2.dwh.sb-sys.info/userhelp/data/komoku" xr:uid="{A7E0C163-9ABC-455E-A00F-D3BFBF2F0AC3}"/>
    <hyperlink ref="H135" r:id="rId127" display="https://tools.l2.dwh.sb-sys.info/userhelp/data/komoku" xr:uid="{57993FEE-DAFD-4B83-B0CA-6B47072D6093}"/>
    <hyperlink ref="H136" r:id="rId128" display="https://tools.l2.dwh.sb-sys.info/userhelp/data/komoku" xr:uid="{7262EE8B-227E-4F2D-B926-D2C14AD2A7D5}"/>
    <hyperlink ref="H137" r:id="rId129" display="https://tools.l2.dwh.sb-sys.info/userhelp/data/komoku" xr:uid="{5455A143-6F60-46B4-B31C-4093B2204450}"/>
    <hyperlink ref="H138" r:id="rId130" display="https://tools.l2.dwh.sb-sys.info/userhelp/data/komoku" xr:uid="{6B107937-383C-4C95-97DD-CF9D63E339C7}"/>
    <hyperlink ref="H139" r:id="rId131" display="https://tools.l2.dwh.sb-sys.info/userhelp/data/komoku" xr:uid="{DE83B256-D5AE-4E15-93B4-5E9A772C4295}"/>
    <hyperlink ref="H140" r:id="rId132" display="https://tools.l2.dwh.sb-sys.info/userhelp/data/komoku" xr:uid="{E39C3489-B54F-4815-910C-B3BCEC3DEF5E}"/>
    <hyperlink ref="H141" r:id="rId133" display="https://tools.l2.dwh.sb-sys.info/userhelp/data/komoku" xr:uid="{5A6485A0-18BB-410F-90FA-B93180DBE951}"/>
    <hyperlink ref="H142" r:id="rId134" display="https://tools.l2.dwh.sb-sys.info/userhelp/data/komoku" xr:uid="{BED62790-F322-4D16-851C-F2F4C4664D87}"/>
    <hyperlink ref="H143" r:id="rId135" display="https://tools.l2.dwh.sb-sys.info/userhelp/data/komoku" xr:uid="{2795D599-56F3-453C-9560-04CC68572E3F}"/>
    <hyperlink ref="H144" r:id="rId136" display="https://tools.l2.dwh.sb-sys.info/userhelp/data/komoku" xr:uid="{7192DB56-3978-4E25-8EE7-450E67E5D30A}"/>
    <hyperlink ref="H145" r:id="rId137" display="https://tools.l2.dwh.sb-sys.info/userhelp/data/komoku" xr:uid="{363715D8-D1FD-4E9F-AD40-62291A97CE05}"/>
    <hyperlink ref="H146" r:id="rId138" display="https://tools.l2.dwh.sb-sys.info/userhelp/data/komoku" xr:uid="{616EC4CA-A149-42EF-8783-16F9B3CB522C}"/>
    <hyperlink ref="H147" r:id="rId139" display="https://tools.l2.dwh.sb-sys.info/userhelp/data/komoku" xr:uid="{785B4892-4538-4DB9-BD19-6F9C6C4E28CE}"/>
    <hyperlink ref="H148" r:id="rId140" display="https://tools.l2.dwh.sb-sys.info/userhelp/data/komoku" xr:uid="{9CCFDA34-2DFA-4C3B-9674-6733A6F03AB7}"/>
    <hyperlink ref="H149" r:id="rId141" display="https://tools.l2.dwh.sb-sys.info/userhelp/data/komoku" xr:uid="{D8583E4C-51A0-4945-A5B9-27775235827B}"/>
    <hyperlink ref="H150" r:id="rId142" display="https://tools.l2.dwh.sb-sys.info/userhelp/data/komoku" xr:uid="{65B94C00-BEA2-4A90-AA81-C4498163F261}"/>
    <hyperlink ref="H151" r:id="rId143" display="https://tools.l2.dwh.sb-sys.info/userhelp/data/komoku" xr:uid="{4D1FDE7A-4B73-45B4-AECE-852C11832906}"/>
    <hyperlink ref="H152" r:id="rId144" display="https://tools.l2.dwh.sb-sys.info/userhelp/data/komoku" xr:uid="{D6AC6D60-17F8-4257-BC9A-075BACC9D60F}"/>
    <hyperlink ref="H153" r:id="rId145" display="https://tools.l2.dwh.sb-sys.info/userhelp/data/komoku" xr:uid="{573E0A1C-E6F4-456D-93B6-0FD61408F05A}"/>
    <hyperlink ref="H154" r:id="rId146" display="https://tools.l2.dwh.sb-sys.info/userhelp/data/komoku" xr:uid="{AF8C34AC-1565-4161-B0C9-29EB7B22739B}"/>
    <hyperlink ref="H155" r:id="rId147" display="https://tools.l2.dwh.sb-sys.info/userhelp/data/komoku" xr:uid="{FB5945F7-664D-4FF0-A9DA-A4CD1C62F708}"/>
    <hyperlink ref="H156" r:id="rId148" display="https://tools.l2.dwh.sb-sys.info/userhelp/data/komoku" xr:uid="{5E760CB0-9410-4AA4-85F4-1BE4896EDA99}"/>
    <hyperlink ref="H157" r:id="rId149" display="https://tools.l2.dwh.sb-sys.info/userhelp/data/komoku" xr:uid="{4C37F9B2-0BD5-4A18-A8F5-C792D8185368}"/>
    <hyperlink ref="H158" r:id="rId150" display="https://tools.l2.dwh.sb-sys.info/userhelp/data/komoku" xr:uid="{CA1CF135-6958-445C-A0D7-8E6C585F7163}"/>
    <hyperlink ref="H159" r:id="rId151" display="https://tools.l2.dwh.sb-sys.info/userhelp/data/komoku" xr:uid="{FA285D24-1767-43FD-9455-F42B6799909E}"/>
    <hyperlink ref="H160" r:id="rId152" display="https://tools.l2.dwh.sb-sys.info/userhelp/data/komoku" xr:uid="{AD9016DA-4C53-4EC7-B2AB-6CC5485E29D3}"/>
    <hyperlink ref="H161" r:id="rId153" display="https://tools.l2.dwh.sb-sys.info/userhelp/data/komoku" xr:uid="{1CA8DD7C-B9A2-4ADC-AD36-BAAA09B65386}"/>
    <hyperlink ref="H162" r:id="rId154" display="https://tools.l2.dwh.sb-sys.info/userhelp/data/komoku" xr:uid="{7E10DFA5-C294-4610-99FE-A6454B49AC07}"/>
    <hyperlink ref="H163" r:id="rId155" display="https://tools.l2.dwh.sb-sys.info/userhelp/data/komoku" xr:uid="{046A2889-16E6-4485-B110-DEA6E9EBCEA8}"/>
    <hyperlink ref="H164" r:id="rId156" display="https://tools.l2.dwh.sb-sys.info/userhelp/data/komoku" xr:uid="{13BC2ED9-0191-49B6-8693-C3DECF7DD8D8}"/>
    <hyperlink ref="H165" r:id="rId157" display="https://tools.l2.dwh.sb-sys.info/userhelp/data/komoku" xr:uid="{415EB514-26D8-4304-809E-D346AF0862E8}"/>
    <hyperlink ref="H166" r:id="rId158" display="https://tools.l2.dwh.sb-sys.info/userhelp/data/komoku" xr:uid="{ED693A91-C938-4C38-9A5E-EACE8373EE43}"/>
    <hyperlink ref="H167" r:id="rId159" display="https://tools.l2.dwh.sb-sys.info/userhelp/data/komoku" xr:uid="{9CD56A4E-3AB1-4DB9-962C-7F3D0494C7B7}"/>
    <hyperlink ref="H168" r:id="rId160" display="https://tools.l2.dwh.sb-sys.info/userhelp/data/komoku" xr:uid="{104E1F5C-7EB6-4210-8696-E3F3667B4C87}"/>
    <hyperlink ref="H169" r:id="rId161" display="https://tools.l2.dwh.sb-sys.info/userhelp/data/komoku" xr:uid="{C5C8DD0E-4437-4108-996E-63D0AE8F87F0}"/>
    <hyperlink ref="H170" r:id="rId162" display="https://tools.l2.dwh.sb-sys.info/userhelp/data/komoku" xr:uid="{90FAB412-3AE8-4260-B8AC-7B0F1C5C4674}"/>
    <hyperlink ref="H171" r:id="rId163" display="https://tools.l2.dwh.sb-sys.info/userhelp/data/komoku" xr:uid="{99C22725-D1C6-4751-8222-3B098904BB9C}"/>
    <hyperlink ref="H172" r:id="rId164" display="https://tools.l2.dwh.sb-sys.info/userhelp/data/komoku" xr:uid="{887DB9F9-6AC0-4813-8424-9A60AAA6C607}"/>
    <hyperlink ref="H173" r:id="rId165" display="https://tools.l2.dwh.sb-sys.info/userhelp/data/komoku" xr:uid="{B160D610-F3B3-4545-AFA7-634E10B89101}"/>
    <hyperlink ref="H174" r:id="rId166" display="https://tools.l2.dwh.sb-sys.info/userhelp/data/komoku" xr:uid="{3F2847B3-73BB-4C39-8A71-938F435CE759}"/>
    <hyperlink ref="H175" r:id="rId167" display="https://tools.l2.dwh.sb-sys.info/userhelp/data/komoku" xr:uid="{F4C8B4F2-C330-4B31-9922-2CB09FF640E2}"/>
    <hyperlink ref="H176" r:id="rId168" display="https://tools.l2.dwh.sb-sys.info/userhelp/data/komoku" xr:uid="{944942F4-2651-446C-BC60-94E6CC5E2619}"/>
    <hyperlink ref="H177" r:id="rId169" display="https://tools.l2.dwh.sb-sys.info/userhelp/data/komoku" xr:uid="{1546431B-89FE-4D20-AA5E-82448FA50DFD}"/>
    <hyperlink ref="H178" r:id="rId170" display="https://tools.l2.dwh.sb-sys.info/userhelp/data/komoku" xr:uid="{75F3D0AA-1D4A-48AE-B2A0-9FB4011F171B}"/>
    <hyperlink ref="H179" r:id="rId171" display="https://tools.l2.dwh.sb-sys.info/userhelp/data/komoku" xr:uid="{A0695C05-6456-4A57-B8D8-782CCE4137C6}"/>
    <hyperlink ref="H180" r:id="rId172" display="https://tools.l2.dwh.sb-sys.info/userhelp/data/komoku" xr:uid="{C058784A-556B-45B7-8519-7C938E387968}"/>
    <hyperlink ref="H181" r:id="rId173" display="https://tools.l2.dwh.sb-sys.info/userhelp/data/komoku" xr:uid="{0B16A76A-FF0A-4CA6-9912-F4F74DC8C18A}"/>
    <hyperlink ref="H182" r:id="rId174" display="https://tools.l2.dwh.sb-sys.info/userhelp/data/komoku" xr:uid="{E6D63129-4974-43D7-830B-1CAD1F0D4F55}"/>
    <hyperlink ref="H183" r:id="rId175" display="https://tools.l2.dwh.sb-sys.info/userhelp/data/komoku" xr:uid="{90A69600-D065-4C2D-B136-6135E3A0B1C2}"/>
    <hyperlink ref="H184" r:id="rId176" display="https://tools.l2.dwh.sb-sys.info/userhelp/data/komoku" xr:uid="{1F83DDC4-553D-4C2B-B2EA-88854C9448E2}"/>
    <hyperlink ref="H185" r:id="rId177" display="https://tools.l2.dwh.sb-sys.info/userhelp/data/komoku" xr:uid="{DA30DC71-8333-43EC-8AB5-65A6E8139D8C}"/>
    <hyperlink ref="H186" r:id="rId178" display="https://tools.l2.dwh.sb-sys.info/userhelp/data/komoku" xr:uid="{C89BEB37-EBE8-4CE2-BD86-E28FA4659230}"/>
    <hyperlink ref="H187" r:id="rId179" display="https://tools.l2.dwh.sb-sys.info/userhelp/data/komoku" xr:uid="{5B9AAB9A-A56C-4D3C-88F3-3249CA20D0A2}"/>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AD84B-7578-45A2-9E37-A74DBA95C2E7}">
  <sheetPr>
    <tabColor theme="7"/>
  </sheetPr>
  <dimension ref="A1:R23"/>
  <sheetViews>
    <sheetView zoomScale="85" zoomScaleNormal="85" workbookViewId="0"/>
  </sheetViews>
  <sheetFormatPr defaultRowHeight="18.75"/>
  <cols>
    <col min="1" max="1" width="2.75" bestFit="1" customWidth="1"/>
    <col min="2" max="2" width="3.5" bestFit="1" customWidth="1"/>
    <col min="3" max="3" width="9.25" bestFit="1" customWidth="1"/>
    <col min="4" max="4" width="5.75" bestFit="1" customWidth="1"/>
    <col min="5" max="5" width="3.375" bestFit="1" customWidth="1"/>
    <col min="6" max="6" width="4.5" bestFit="1" customWidth="1"/>
    <col min="7" max="7" width="54.5" bestFit="1" customWidth="1"/>
    <col min="8" max="8" width="13.875" hidden="1" customWidth="1"/>
    <col min="9" max="9" width="3.5" hidden="1" customWidth="1"/>
    <col min="10" max="10" width="4.5" hidden="1" customWidth="1"/>
    <col min="11" max="11" width="21.25" customWidth="1"/>
    <col min="14" max="14" width="39.875" customWidth="1"/>
  </cols>
  <sheetData>
    <row r="1" spans="1:18" ht="19.5" thickBot="1"/>
    <row r="2" spans="1:18" ht="39.75" thickBot="1">
      <c r="F2" s="9" t="s">
        <v>41</v>
      </c>
      <c r="G2" s="9" t="s">
        <v>42</v>
      </c>
      <c r="H2" s="9" t="s">
        <v>43</v>
      </c>
      <c r="I2" s="9" t="s">
        <v>44</v>
      </c>
      <c r="J2" s="9" t="s">
        <v>45</v>
      </c>
    </row>
    <row r="3" spans="1:18" ht="20.25" thickBot="1">
      <c r="F3" s="10" t="s">
        <v>46</v>
      </c>
      <c r="G3" s="11" t="s">
        <v>4770</v>
      </c>
      <c r="H3" s="11" t="s">
        <v>4771</v>
      </c>
      <c r="I3" s="11" t="s">
        <v>4772</v>
      </c>
      <c r="J3" s="11" t="s">
        <v>4049</v>
      </c>
      <c r="K3" t="s">
        <v>4773</v>
      </c>
    </row>
    <row r="4" spans="1:18">
      <c r="F4" s="62" t="s">
        <v>51</v>
      </c>
      <c r="G4" s="63"/>
      <c r="H4" s="63"/>
      <c r="I4" s="63"/>
      <c r="J4" s="64"/>
    </row>
    <row r="5" spans="1:18" ht="19.5" thickBot="1">
      <c r="F5" s="65" t="s">
        <v>4774</v>
      </c>
      <c r="G5" s="66"/>
      <c r="H5" s="66"/>
      <c r="I5" s="66"/>
      <c r="J5" s="67"/>
    </row>
    <row r="6" spans="1:18" ht="19.5" thickBot="1">
      <c r="K6" t="str">
        <f>"DROP TABLE IF EXISTS "&amp;K3&amp;" CASCADE;"</f>
        <v>DROP TABLE IF EXISTS mars_campaign CASCADE;</v>
      </c>
      <c r="N6" s="40"/>
      <c r="R6" s="33" t="s">
        <v>4775</v>
      </c>
    </row>
    <row r="7" spans="1:18" ht="19.5" thickBot="1">
      <c r="K7" t="str">
        <f>"CREATE TABLE IF NOT EXISTS "&amp;K3&amp;" ("</f>
        <v>CREATE TABLE IF NOT EXISTS mars_campaign (</v>
      </c>
      <c r="N7" s="40" t="str">
        <f>"COMMENT ON TABLE "&amp;K3&amp;" IS '"&amp;G3&amp;"';"</f>
        <v>COMMENT ON TABLE mars_campaign IS 'm_キャンペーン';</v>
      </c>
      <c r="R7" s="33" t="s">
        <v>4776</v>
      </c>
    </row>
    <row r="8" spans="1:18" ht="19.5" thickBot="1">
      <c r="A8" s="12" t="s">
        <v>54</v>
      </c>
      <c r="B8" s="12" t="s">
        <v>55</v>
      </c>
      <c r="C8" s="12" t="s">
        <v>56</v>
      </c>
      <c r="D8" s="12" t="s">
        <v>57</v>
      </c>
      <c r="E8" s="12" t="s">
        <v>58</v>
      </c>
      <c r="F8" s="12" t="s">
        <v>59</v>
      </c>
      <c r="G8" s="12" t="s">
        <v>60</v>
      </c>
      <c r="H8" s="12" t="s">
        <v>61</v>
      </c>
      <c r="I8" s="12" t="s">
        <v>62</v>
      </c>
      <c r="J8" s="12" t="s">
        <v>63</v>
      </c>
      <c r="K8" t="s">
        <v>64</v>
      </c>
      <c r="N8" s="38" t="str">
        <f>"COMMENT ON COLUMN "&amp;$K$3&amp;".id IS 'id';"</f>
        <v>COMMENT ON COLUMN mars_campaign.id IS 'id';</v>
      </c>
      <c r="R8" s="34" t="s">
        <v>65</v>
      </c>
    </row>
    <row r="9" spans="1:18" ht="19.5" thickBot="1">
      <c r="A9" s="10" t="s">
        <v>3523</v>
      </c>
      <c r="B9" s="11">
        <v>1</v>
      </c>
      <c r="C9" s="11" t="s">
        <v>4777</v>
      </c>
      <c r="D9" s="11" t="s">
        <v>66</v>
      </c>
      <c r="E9" s="11">
        <v>40</v>
      </c>
      <c r="F9" s="10" t="s">
        <v>67</v>
      </c>
      <c r="G9" s="11" t="s">
        <v>4778</v>
      </c>
      <c r="H9" s="5"/>
      <c r="I9" s="11"/>
      <c r="J9" s="11"/>
      <c r="K9" t="s">
        <v>4779</v>
      </c>
      <c r="L9" t="str">
        <f t="shared" ref="L9:L17" si="0">D9&amp;"("&amp;E9&amp;"),"</f>
        <v>VARCHAR(40),</v>
      </c>
      <c r="N9" s="38" t="str">
        <f>"COMMENT ON COLUMN "&amp;$K$3&amp;"."&amp;$K9&amp;" IS '"&amp;C9&amp;"';"</f>
        <v>COMMENT ON COLUMN mars_campaign.campaign_id IS 'キャンペーンid';</v>
      </c>
      <c r="R9" s="34" t="s">
        <v>4780</v>
      </c>
    </row>
    <row r="10" spans="1:18" ht="19.5" thickBot="1">
      <c r="A10" s="13"/>
      <c r="B10" s="13">
        <v>2</v>
      </c>
      <c r="C10" s="13" t="s">
        <v>4781</v>
      </c>
      <c r="D10" s="13" t="s">
        <v>66</v>
      </c>
      <c r="E10" s="13">
        <v>2400</v>
      </c>
      <c r="F10" s="14" t="s">
        <v>67</v>
      </c>
      <c r="G10" s="13" t="s">
        <v>4782</v>
      </c>
      <c r="H10" s="8"/>
      <c r="I10" s="13"/>
      <c r="J10" s="13"/>
      <c r="K10" t="s">
        <v>4783</v>
      </c>
      <c r="L10" t="str">
        <f t="shared" si="0"/>
        <v>VARCHAR(2400),</v>
      </c>
      <c r="N10" s="38" t="str">
        <f t="shared" ref="N10:N14" si="1">"COMMENT ON COLUMN "&amp;$K$3&amp;"."&amp;$K10&amp;" IS '"&amp;C10&amp;"';"</f>
        <v>COMMENT ON COLUMN mars_campaign.campaign_name IS 'キャンペーン名称';</v>
      </c>
      <c r="R10" s="34" t="s">
        <v>4784</v>
      </c>
    </row>
    <row r="11" spans="1:18" ht="19.5" thickBot="1">
      <c r="A11" s="11"/>
      <c r="B11" s="11">
        <v>3</v>
      </c>
      <c r="C11" s="11" t="s">
        <v>4785</v>
      </c>
      <c r="D11" s="11" t="s">
        <v>66</v>
      </c>
      <c r="E11" s="11">
        <v>1200</v>
      </c>
      <c r="F11" s="10" t="s">
        <v>67</v>
      </c>
      <c r="G11" s="11" t="s">
        <v>4782</v>
      </c>
      <c r="H11" s="5"/>
      <c r="I11" s="11"/>
      <c r="J11" s="11"/>
      <c r="K11" t="s">
        <v>4786</v>
      </c>
      <c r="L11" t="str">
        <f t="shared" si="0"/>
        <v>VARCHAR(1200),</v>
      </c>
      <c r="N11" s="38" t="str">
        <f t="shared" si="1"/>
        <v>COMMENT ON COLUMN mars_campaign.description IS '説明';</v>
      </c>
      <c r="R11" s="34" t="s">
        <v>4787</v>
      </c>
    </row>
    <row r="12" spans="1:18" ht="19.5" thickBot="1">
      <c r="A12" s="13"/>
      <c r="B12" s="13">
        <v>4</v>
      </c>
      <c r="C12" s="13" t="s">
        <v>3533</v>
      </c>
      <c r="D12" s="13" t="s">
        <v>66</v>
      </c>
      <c r="E12" s="13">
        <v>16</v>
      </c>
      <c r="F12" s="14" t="s">
        <v>67</v>
      </c>
      <c r="G12" s="13" t="s">
        <v>4788</v>
      </c>
      <c r="H12" s="8"/>
      <c r="I12" s="13"/>
      <c r="J12" s="13"/>
      <c r="K12" t="s">
        <v>3536</v>
      </c>
      <c r="L12" t="str">
        <f t="shared" si="0"/>
        <v>VARCHAR(16),</v>
      </c>
      <c r="N12" s="38" t="str">
        <f t="shared" si="1"/>
        <v>COMMENT ON COLUMN mars_campaign.effective_start_date IS '有効開始日';</v>
      </c>
      <c r="R12" s="34" t="s">
        <v>3537</v>
      </c>
    </row>
    <row r="13" spans="1:18" ht="19.5" thickBot="1">
      <c r="A13" s="11"/>
      <c r="B13" s="11">
        <v>5</v>
      </c>
      <c r="C13" s="11" t="s">
        <v>3559</v>
      </c>
      <c r="D13" s="11" t="s">
        <v>66</v>
      </c>
      <c r="E13" s="11">
        <v>16</v>
      </c>
      <c r="F13" s="10" t="s">
        <v>67</v>
      </c>
      <c r="G13" s="11" t="s">
        <v>4789</v>
      </c>
      <c r="H13" s="5"/>
      <c r="I13" s="11"/>
      <c r="J13" s="11"/>
      <c r="K13" t="s">
        <v>3561</v>
      </c>
      <c r="L13" t="str">
        <f t="shared" si="0"/>
        <v>VARCHAR(16),</v>
      </c>
      <c r="N13" s="38" t="str">
        <f t="shared" si="1"/>
        <v>COMMENT ON COLUMN mars_campaign.effective_end_date IS '有効終了日';</v>
      </c>
      <c r="R13" s="34" t="s">
        <v>3539</v>
      </c>
    </row>
    <row r="14" spans="1:18">
      <c r="A14" s="55"/>
      <c r="B14" s="55">
        <v>6</v>
      </c>
      <c r="C14" s="55" t="s">
        <v>4790</v>
      </c>
      <c r="D14" s="55" t="s">
        <v>66</v>
      </c>
      <c r="E14" s="55">
        <v>2</v>
      </c>
      <c r="F14" s="49" t="s">
        <v>67</v>
      </c>
      <c r="G14" s="15" t="s">
        <v>4791</v>
      </c>
      <c r="H14" s="52"/>
      <c r="I14" s="55"/>
      <c r="J14" s="55"/>
      <c r="K14" t="s">
        <v>4792</v>
      </c>
      <c r="L14" t="str">
        <f t="shared" si="0"/>
        <v>VARCHAR(2),</v>
      </c>
      <c r="N14" s="38" t="str">
        <f t="shared" si="1"/>
        <v>COMMENT ON COLUMN mars_campaign.old_flag IS '旧フラグ';</v>
      </c>
      <c r="R14" s="34" t="s">
        <v>4793</v>
      </c>
    </row>
    <row r="15" spans="1:18">
      <c r="A15" s="56"/>
      <c r="B15" s="56"/>
      <c r="C15" s="56"/>
      <c r="D15" s="56"/>
      <c r="E15" s="56"/>
      <c r="F15" s="50"/>
      <c r="G15" s="21" t="s">
        <v>4794</v>
      </c>
      <c r="H15" s="53"/>
      <c r="I15" s="56"/>
      <c r="J15" s="56"/>
      <c r="L15" t="str">
        <f t="shared" si="0"/>
        <v>(),</v>
      </c>
      <c r="N15" s="38"/>
      <c r="R15" s="33" t="s">
        <v>4795</v>
      </c>
    </row>
    <row r="16" spans="1:18">
      <c r="A16" s="56"/>
      <c r="B16" s="56"/>
      <c r="C16" s="56"/>
      <c r="D16" s="56"/>
      <c r="E16" s="56"/>
      <c r="F16" s="50"/>
      <c r="G16" s="21"/>
      <c r="H16" s="53"/>
      <c r="I16" s="56"/>
      <c r="J16" s="56"/>
      <c r="L16" t="str">
        <f t="shared" si="0"/>
        <v>(),</v>
      </c>
      <c r="N16" s="38"/>
      <c r="R16" s="33" t="s">
        <v>4796</v>
      </c>
    </row>
    <row r="17" spans="1:18" ht="19.5" thickBot="1">
      <c r="A17" s="57"/>
      <c r="B17" s="57"/>
      <c r="C17" s="57"/>
      <c r="D17" s="57"/>
      <c r="E17" s="57"/>
      <c r="F17" s="51"/>
      <c r="G17" s="16" t="s">
        <v>4797</v>
      </c>
      <c r="H17" s="54"/>
      <c r="I17" s="57"/>
      <c r="J17" s="57"/>
      <c r="L17" t="str">
        <f t="shared" si="0"/>
        <v>(),</v>
      </c>
      <c r="N17" s="38"/>
      <c r="R17" s="33" t="s">
        <v>4798</v>
      </c>
    </row>
    <row r="18" spans="1:18">
      <c r="K18" t="str">
        <f>"CONSTRAINT pk_"&amp;K3&amp;" PRIMARY KEY (id));"</f>
        <v>CONSTRAINT pk_mars_campaign PRIMARY KEY (id));</v>
      </c>
      <c r="R18" s="33" t="s">
        <v>4799</v>
      </c>
    </row>
    <row r="19" spans="1:18">
      <c r="R19" s="33" t="s">
        <v>4800</v>
      </c>
    </row>
    <row r="20" spans="1:18">
      <c r="R20" s="33" t="s">
        <v>4801</v>
      </c>
    </row>
    <row r="21" spans="1:18">
      <c r="R21" s="33" t="s">
        <v>4802</v>
      </c>
    </row>
    <row r="22" spans="1:18">
      <c r="R22" s="33" t="s">
        <v>4803</v>
      </c>
    </row>
    <row r="23" spans="1:18">
      <c r="R23" s="33" t="s">
        <v>4804</v>
      </c>
    </row>
  </sheetData>
  <mergeCells count="11">
    <mergeCell ref="J14:J17"/>
    <mergeCell ref="F4:J4"/>
    <mergeCell ref="F5:J5"/>
    <mergeCell ref="A14:A17"/>
    <mergeCell ref="B14:B17"/>
    <mergeCell ref="C14:C17"/>
    <mergeCell ref="D14:D17"/>
    <mergeCell ref="E14:E17"/>
    <mergeCell ref="F14:F17"/>
    <mergeCell ref="H14:H17"/>
    <mergeCell ref="I14:I17"/>
  </mergeCells>
  <phoneticPr fontId="2"/>
  <hyperlinks>
    <hyperlink ref="H9" r:id="rId1" display="https://tools.l2.dwh.sb-sys.info/userhelp/data/komoku" xr:uid="{5038B956-FF85-432D-918A-507ACA5D0CCA}"/>
    <hyperlink ref="H10" r:id="rId2" display="https://tools.l2.dwh.sb-sys.info/userhelp/data/komoku" xr:uid="{AE23614B-BA27-4471-A283-FCD2EB423EE3}"/>
    <hyperlink ref="H11" r:id="rId3" display="https://tools.l2.dwh.sb-sys.info/userhelp/data/komoku" xr:uid="{9E4F5ABE-6559-4773-8110-FC96D726F23C}"/>
    <hyperlink ref="H12" r:id="rId4" display="https://tools.l2.dwh.sb-sys.info/userhelp/data/komoku" xr:uid="{AD946D4A-1400-4CBA-ACA5-BE26BC3B227B}"/>
    <hyperlink ref="H13" r:id="rId5" display="https://tools.l2.dwh.sb-sys.info/userhelp/data/komoku" xr:uid="{530667C3-F63B-41D6-9439-13B72B8B2500}"/>
    <hyperlink ref="H14" r:id="rId6" display="https://tools.l2.dwh.sb-sys.info/userhelp/data/komoku" xr:uid="{580EE605-C3DA-4F22-81C7-4ED34366B290}"/>
  </hyperlinks>
  <pageMargins left="0.7" right="0.7" top="0.75" bottom="0.75" header="0.3" footer="0.3"/>
  <pageSetup paperSize="9" orientation="portrait" r:id="rId7"/>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EB661-7C3C-42BF-B683-EC780FBF753F}">
  <sheetPr>
    <tabColor theme="7"/>
  </sheetPr>
  <dimension ref="A1:R207"/>
  <sheetViews>
    <sheetView zoomScaleNormal="100" workbookViewId="0"/>
  </sheetViews>
  <sheetFormatPr defaultRowHeight="18.75"/>
  <cols>
    <col min="1" max="1" width="2.75" bestFit="1" customWidth="1"/>
    <col min="2" max="2" width="3.5" bestFit="1" customWidth="1"/>
    <col min="3" max="3" width="12.375" bestFit="1" customWidth="1"/>
    <col min="4" max="4" width="5.75" bestFit="1" customWidth="1"/>
    <col min="5" max="5" width="3.375" bestFit="1" customWidth="1"/>
    <col min="6" max="6" width="4.5" bestFit="1" customWidth="1"/>
    <col min="7" max="7" width="12.75" customWidth="1"/>
    <col min="8" max="8" width="13.875" customWidth="1"/>
    <col min="9" max="9" width="3.5" customWidth="1"/>
    <col min="10" max="10" width="4.5" customWidth="1"/>
    <col min="11" max="11" width="23.875" customWidth="1"/>
  </cols>
  <sheetData>
    <row r="1" spans="1:18" ht="19.5" thickBot="1"/>
    <row r="2" spans="1:18" ht="39.75" thickBot="1">
      <c r="F2" s="9" t="s">
        <v>41</v>
      </c>
      <c r="G2" s="9" t="s">
        <v>42</v>
      </c>
      <c r="H2" s="9" t="s">
        <v>43</v>
      </c>
      <c r="I2" s="9" t="s">
        <v>44</v>
      </c>
      <c r="J2" s="9" t="s">
        <v>45</v>
      </c>
    </row>
    <row r="3" spans="1:18" ht="20.25" thickBot="1">
      <c r="F3" s="10" t="s">
        <v>46</v>
      </c>
      <c r="G3" s="11" t="s">
        <v>4805</v>
      </c>
      <c r="H3" s="11"/>
      <c r="I3" s="11" t="s">
        <v>4806</v>
      </c>
      <c r="J3" s="11" t="s">
        <v>4049</v>
      </c>
      <c r="K3" s="18" t="s">
        <v>4807</v>
      </c>
    </row>
    <row r="4" spans="1:18">
      <c r="F4" s="62" t="s">
        <v>51</v>
      </c>
      <c r="G4" s="63"/>
      <c r="H4" s="63"/>
      <c r="I4" s="63"/>
      <c r="J4" s="64"/>
    </row>
    <row r="5" spans="1:18" ht="18.95" customHeight="1" thickBot="1">
      <c r="F5" s="65" t="s">
        <v>4808</v>
      </c>
      <c r="G5" s="66"/>
      <c r="H5" s="66"/>
      <c r="I5" s="66"/>
      <c r="J5" s="67"/>
    </row>
    <row r="6" spans="1:18" ht="19.5" thickBot="1">
      <c r="K6" t="str">
        <f>"DROP TABLE IF EXISTS "&amp;K3&amp;" CASCADE;"</f>
        <v>DROP TABLE IF EXISTS mars_product CASCADE;</v>
      </c>
      <c r="R6" s="33" t="s">
        <v>4809</v>
      </c>
    </row>
    <row r="7" spans="1:18" ht="19.5" thickBot="1">
      <c r="K7" t="str">
        <f>"CREATE TABLE IF NOT EXISTS "&amp;K3&amp;" ("</f>
        <v>CREATE TABLE IF NOT EXISTS mars_product (</v>
      </c>
      <c r="N7" s="40" t="str">
        <f>"COMMENT ON TABLE "&amp;K3&amp;" IS '"&amp;G3&amp;"';"</f>
        <v>COMMENT ON TABLE mars_product IS 'm_商品';</v>
      </c>
      <c r="R7" s="33" t="s">
        <v>4810</v>
      </c>
    </row>
    <row r="8" spans="1:18" ht="19.5" thickBot="1">
      <c r="A8" s="12" t="s">
        <v>54</v>
      </c>
      <c r="B8" s="12" t="s">
        <v>55</v>
      </c>
      <c r="C8" s="12" t="s">
        <v>56</v>
      </c>
      <c r="D8" s="12" t="s">
        <v>57</v>
      </c>
      <c r="E8" s="12" t="s">
        <v>58</v>
      </c>
      <c r="F8" s="12" t="s">
        <v>59</v>
      </c>
      <c r="G8" s="12" t="s">
        <v>60</v>
      </c>
      <c r="H8" s="12" t="s">
        <v>61</v>
      </c>
      <c r="I8" s="12" t="s">
        <v>62</v>
      </c>
      <c r="J8" s="12" t="s">
        <v>63</v>
      </c>
      <c r="K8" t="s">
        <v>64</v>
      </c>
      <c r="N8" s="38" t="str">
        <f>"COMMENT ON COLUMN "&amp;$K$3&amp;".id IS 'id';"</f>
        <v>COMMENT ON COLUMN mars_product.id IS 'id';</v>
      </c>
      <c r="R8" s="34" t="s">
        <v>65</v>
      </c>
    </row>
    <row r="9" spans="1:18" ht="19.5" thickBot="1">
      <c r="A9" s="11"/>
      <c r="B9" s="11">
        <v>1</v>
      </c>
      <c r="C9" s="11" t="s">
        <v>76</v>
      </c>
      <c r="D9" s="11" t="s">
        <v>66</v>
      </c>
      <c r="E9" s="11">
        <v>40</v>
      </c>
      <c r="F9" s="10" t="s">
        <v>67</v>
      </c>
      <c r="G9" s="11"/>
      <c r="H9" s="5"/>
      <c r="I9" s="11"/>
      <c r="J9" s="11"/>
      <c r="K9" s="25" t="s">
        <v>77</v>
      </c>
      <c r="L9" t="str">
        <f t="shared" ref="L9:L72" si="0">D9&amp;"("&amp;E9&amp;"),"</f>
        <v>VARCHAR(40),</v>
      </c>
      <c r="N9" s="38" t="str">
        <f>"COMMENT ON COLUMN "&amp;$K$3&amp;"."&amp;$K9&amp;" IS '"&amp;C9&amp;"';"</f>
        <v>COMMENT ON COLUMN mars_product.product_code IS '商品コード';</v>
      </c>
      <c r="R9" s="34" t="s">
        <v>4811</v>
      </c>
    </row>
    <row r="10" spans="1:18" ht="19.5" thickBot="1">
      <c r="A10" s="13"/>
      <c r="B10" s="13">
        <v>2</v>
      </c>
      <c r="C10" s="13" t="s">
        <v>3533</v>
      </c>
      <c r="D10" s="13" t="s">
        <v>66</v>
      </c>
      <c r="E10" s="13">
        <v>16</v>
      </c>
      <c r="F10" s="14" t="s">
        <v>67</v>
      </c>
      <c r="G10" s="13"/>
      <c r="H10" s="8"/>
      <c r="I10" s="13"/>
      <c r="J10" s="13"/>
      <c r="K10" s="25" t="s">
        <v>4812</v>
      </c>
      <c r="L10" t="str">
        <f t="shared" si="0"/>
        <v>VARCHAR(16),</v>
      </c>
      <c r="N10" s="38" t="str">
        <f t="shared" ref="N10:N73" si="1">"COMMENT ON COLUMN "&amp;$K$3&amp;"."&amp;$K10&amp;" IS '"&amp;C10&amp;"';"</f>
        <v>COMMENT ON COLUMN mars_product.validity_start_date IS '有効開始日';</v>
      </c>
      <c r="R10" s="34" t="s">
        <v>4813</v>
      </c>
    </row>
    <row r="11" spans="1:18" ht="19.5" thickBot="1">
      <c r="A11" s="11"/>
      <c r="B11" s="11">
        <v>3</v>
      </c>
      <c r="C11" s="11" t="s">
        <v>4814</v>
      </c>
      <c r="D11" s="11" t="s">
        <v>66</v>
      </c>
      <c r="E11" s="11">
        <v>12</v>
      </c>
      <c r="F11" s="10" t="s">
        <v>67</v>
      </c>
      <c r="G11" s="11"/>
      <c r="H11" s="5"/>
      <c r="I11" s="11"/>
      <c r="J11" s="11"/>
      <c r="K11" s="25" t="s">
        <v>4815</v>
      </c>
      <c r="L11" t="str">
        <f t="shared" si="0"/>
        <v>VARCHAR(12),</v>
      </c>
      <c r="N11" s="38" t="str">
        <f t="shared" si="1"/>
        <v>COMMENT ON COLUMN mars_product.validity_start_time IS '有効開始時間';</v>
      </c>
      <c r="R11" s="34" t="s">
        <v>4816</v>
      </c>
    </row>
    <row r="12" spans="1:18" ht="19.5" thickBot="1">
      <c r="A12" s="13"/>
      <c r="B12" s="13">
        <v>4</v>
      </c>
      <c r="C12" s="13" t="s">
        <v>3559</v>
      </c>
      <c r="D12" s="13" t="s">
        <v>66</v>
      </c>
      <c r="E12" s="13">
        <v>16</v>
      </c>
      <c r="F12" s="14" t="s">
        <v>67</v>
      </c>
      <c r="G12" s="13"/>
      <c r="H12" s="8"/>
      <c r="I12" s="13"/>
      <c r="J12" s="13"/>
      <c r="K12" s="25" t="s">
        <v>4817</v>
      </c>
      <c r="L12" t="str">
        <f t="shared" si="0"/>
        <v>VARCHAR(16),</v>
      </c>
      <c r="N12" s="38" t="str">
        <f t="shared" si="1"/>
        <v>COMMENT ON COLUMN mars_product.validity_end_date IS '有効終了日';</v>
      </c>
      <c r="R12" s="34" t="s">
        <v>4818</v>
      </c>
    </row>
    <row r="13" spans="1:18" ht="19.5" thickBot="1">
      <c r="A13" s="11"/>
      <c r="B13" s="11">
        <v>5</v>
      </c>
      <c r="C13" s="11" t="s">
        <v>4819</v>
      </c>
      <c r="D13" s="11" t="s">
        <v>66</v>
      </c>
      <c r="E13" s="11">
        <v>12</v>
      </c>
      <c r="F13" s="10" t="s">
        <v>67</v>
      </c>
      <c r="G13" s="11"/>
      <c r="H13" s="5"/>
      <c r="I13" s="11"/>
      <c r="J13" s="11"/>
      <c r="K13" s="25" t="s">
        <v>4820</v>
      </c>
      <c r="L13" t="str">
        <f t="shared" si="0"/>
        <v>VARCHAR(12),</v>
      </c>
      <c r="N13" s="38" t="str">
        <f t="shared" si="1"/>
        <v>COMMENT ON COLUMN mars_product.validity_end_time IS '有効終了時間';</v>
      </c>
      <c r="R13" s="34" t="s">
        <v>4821</v>
      </c>
    </row>
    <row r="14" spans="1:18" ht="19.5" thickBot="1">
      <c r="A14" s="13"/>
      <c r="B14" s="13">
        <v>6</v>
      </c>
      <c r="C14" s="13" t="s">
        <v>4120</v>
      </c>
      <c r="D14" s="13" t="s">
        <v>66</v>
      </c>
      <c r="E14" s="13">
        <v>6</v>
      </c>
      <c r="F14" s="14" t="s">
        <v>67</v>
      </c>
      <c r="G14" s="13"/>
      <c r="H14" s="8"/>
      <c r="I14" s="13"/>
      <c r="J14" s="13"/>
      <c r="K14" s="25" t="s">
        <v>4121</v>
      </c>
      <c r="L14" t="str">
        <f t="shared" si="0"/>
        <v>VARCHAR(6),</v>
      </c>
      <c r="N14" s="38" t="str">
        <f t="shared" si="1"/>
        <v>COMMENT ON COLUMN mars_product.area_code IS '地域コード';</v>
      </c>
      <c r="R14" s="34" t="s">
        <v>4822</v>
      </c>
    </row>
    <row r="15" spans="1:18" ht="19.5" thickBot="1">
      <c r="A15" s="11"/>
      <c r="B15" s="11">
        <v>7</v>
      </c>
      <c r="C15" s="11" t="s">
        <v>4823</v>
      </c>
      <c r="D15" s="11" t="s">
        <v>66</v>
      </c>
      <c r="E15" s="11">
        <v>1200</v>
      </c>
      <c r="F15" s="10" t="s">
        <v>67</v>
      </c>
      <c r="G15" s="11"/>
      <c r="H15" s="5"/>
      <c r="I15" s="11"/>
      <c r="J15" s="11"/>
      <c r="K15" s="25" t="s">
        <v>4824</v>
      </c>
      <c r="L15" t="str">
        <f t="shared" si="0"/>
        <v>VARCHAR(1200),</v>
      </c>
      <c r="N15" s="38" t="str">
        <f t="shared" si="1"/>
        <v>COMMENT ON COLUMN mars_product.product_official_name IS '商品正式名称';</v>
      </c>
      <c r="R15" s="34" t="s">
        <v>4825</v>
      </c>
    </row>
    <row r="16" spans="1:18" ht="19.5" thickBot="1">
      <c r="A16" s="13"/>
      <c r="B16" s="13">
        <v>8</v>
      </c>
      <c r="C16" s="13" t="s">
        <v>4826</v>
      </c>
      <c r="D16" s="13" t="s">
        <v>66</v>
      </c>
      <c r="E16" s="13">
        <v>1200</v>
      </c>
      <c r="F16" s="14" t="s">
        <v>67</v>
      </c>
      <c r="G16" s="13"/>
      <c r="H16" s="8"/>
      <c r="I16" s="13"/>
      <c r="J16" s="13"/>
      <c r="K16" s="25" t="s">
        <v>4827</v>
      </c>
      <c r="L16" t="str">
        <f t="shared" si="0"/>
        <v>VARCHAR(1200),</v>
      </c>
      <c r="N16" s="38" t="str">
        <f t="shared" si="1"/>
        <v>COMMENT ON COLUMN mars_product.product_name_in_kana IS '商品カナ名称';</v>
      </c>
      <c r="R16" s="34" t="s">
        <v>4828</v>
      </c>
    </row>
    <row r="17" spans="1:18" ht="19.5" thickBot="1">
      <c r="A17" s="11"/>
      <c r="B17" s="11">
        <v>9</v>
      </c>
      <c r="C17" s="11" t="s">
        <v>4829</v>
      </c>
      <c r="D17" s="11" t="s">
        <v>66</v>
      </c>
      <c r="E17" s="11">
        <v>1200</v>
      </c>
      <c r="F17" s="10" t="s">
        <v>67</v>
      </c>
      <c r="G17" s="11"/>
      <c r="H17" s="5"/>
      <c r="I17" s="11"/>
      <c r="J17" s="11"/>
      <c r="K17" s="25" t="s">
        <v>4830</v>
      </c>
      <c r="L17" t="str">
        <f t="shared" si="0"/>
        <v>VARCHAR(1200),</v>
      </c>
      <c r="N17" s="38" t="str">
        <f t="shared" si="1"/>
        <v>COMMENT ON COLUMN mars_product.product_name_in_english IS '商品英語名称';</v>
      </c>
      <c r="R17" s="34" t="s">
        <v>4831</v>
      </c>
    </row>
    <row r="18" spans="1:18" ht="19.5" thickBot="1">
      <c r="A18" s="13"/>
      <c r="B18" s="13">
        <v>10</v>
      </c>
      <c r="C18" s="13" t="s">
        <v>4832</v>
      </c>
      <c r="D18" s="13" t="s">
        <v>66</v>
      </c>
      <c r="E18" s="13">
        <v>600</v>
      </c>
      <c r="F18" s="14" t="s">
        <v>67</v>
      </c>
      <c r="G18" s="13"/>
      <c r="H18" s="8"/>
      <c r="I18" s="13"/>
      <c r="J18" s="13"/>
      <c r="K18" s="25" t="s">
        <v>4833</v>
      </c>
      <c r="L18" t="str">
        <f t="shared" si="0"/>
        <v>VARCHAR(600),</v>
      </c>
      <c r="N18" s="38" t="str">
        <f t="shared" si="1"/>
        <v>COMMENT ON COLUMN mars_product.product_abbreviation IS '商品略称';</v>
      </c>
      <c r="R18" s="34" t="s">
        <v>4834</v>
      </c>
    </row>
    <row r="19" spans="1:18" ht="19.5" thickBot="1">
      <c r="A19" s="11"/>
      <c r="B19" s="11">
        <v>11</v>
      </c>
      <c r="C19" s="11" t="s">
        <v>4835</v>
      </c>
      <c r="D19" s="11" t="s">
        <v>66</v>
      </c>
      <c r="E19" s="11">
        <v>20</v>
      </c>
      <c r="F19" s="10" t="s">
        <v>67</v>
      </c>
      <c r="G19" s="11"/>
      <c r="H19" s="5"/>
      <c r="I19" s="11"/>
      <c r="J19" s="11"/>
      <c r="K19" s="25" t="s">
        <v>4836</v>
      </c>
      <c r="L19" t="str">
        <f t="shared" si="0"/>
        <v>VARCHAR(20),</v>
      </c>
      <c r="N19" s="38" t="str">
        <f t="shared" si="1"/>
        <v>COMMENT ON COLUMN mars_product.product_subcategory_id IS '商品細分類id';</v>
      </c>
      <c r="R19" s="34" t="s">
        <v>4837</v>
      </c>
    </row>
    <row r="20" spans="1:18" ht="19.5" thickBot="1">
      <c r="A20" s="13"/>
      <c r="B20" s="13">
        <v>12</v>
      </c>
      <c r="C20" s="13" t="s">
        <v>4838</v>
      </c>
      <c r="D20" s="13" t="s">
        <v>66</v>
      </c>
      <c r="E20" s="13">
        <v>1200</v>
      </c>
      <c r="F20" s="14" t="s">
        <v>67</v>
      </c>
      <c r="G20" s="13"/>
      <c r="H20" s="8"/>
      <c r="I20" s="13"/>
      <c r="J20" s="13"/>
      <c r="K20" s="25" t="s">
        <v>4839</v>
      </c>
      <c r="L20" t="str">
        <f t="shared" si="0"/>
        <v>VARCHAR(1200),</v>
      </c>
      <c r="N20" s="38" t="str">
        <f t="shared" si="1"/>
        <v>COMMENT ON COLUMN mars_product.product_subcategory_official_name IS '商品細分類正式名称';</v>
      </c>
      <c r="R20" s="34" t="s">
        <v>4840</v>
      </c>
    </row>
    <row r="21" spans="1:18" ht="19.5" thickBot="1">
      <c r="A21" s="11"/>
      <c r="B21" s="11">
        <v>13</v>
      </c>
      <c r="C21" s="11" t="s">
        <v>4841</v>
      </c>
      <c r="D21" s="11" t="s">
        <v>66</v>
      </c>
      <c r="E21" s="11">
        <v>1200</v>
      </c>
      <c r="F21" s="10" t="s">
        <v>67</v>
      </c>
      <c r="G21" s="11"/>
      <c r="H21" s="5"/>
      <c r="I21" s="11"/>
      <c r="J21" s="11"/>
      <c r="K21" s="25" t="s">
        <v>4842</v>
      </c>
      <c r="L21" t="str">
        <f t="shared" si="0"/>
        <v>VARCHAR(1200),</v>
      </c>
      <c r="N21" s="38" t="str">
        <f t="shared" si="1"/>
        <v>COMMENT ON COLUMN mars_product.product_subcategory_kana IS '商品細分類カナ名称';</v>
      </c>
      <c r="R21" s="34" t="s">
        <v>4843</v>
      </c>
    </row>
    <row r="22" spans="1:18" ht="19.5" thickBot="1">
      <c r="A22" s="13"/>
      <c r="B22" s="13">
        <v>14</v>
      </c>
      <c r="C22" s="13" t="s">
        <v>4844</v>
      </c>
      <c r="D22" s="13" t="s">
        <v>66</v>
      </c>
      <c r="E22" s="13">
        <v>1200</v>
      </c>
      <c r="F22" s="14" t="s">
        <v>67</v>
      </c>
      <c r="G22" s="13"/>
      <c r="H22" s="8"/>
      <c r="I22" s="13"/>
      <c r="J22" s="13"/>
      <c r="K22" s="25" t="s">
        <v>4845</v>
      </c>
      <c r="L22" t="str">
        <f t="shared" si="0"/>
        <v>VARCHAR(1200),</v>
      </c>
      <c r="N22" s="38" t="str">
        <f t="shared" si="1"/>
        <v>COMMENT ON COLUMN mars_product.product_subcategory_english_name IS '商品細分類英語名称';</v>
      </c>
      <c r="R22" s="34" t="s">
        <v>4846</v>
      </c>
    </row>
    <row r="23" spans="1:18" ht="19.5" thickBot="1">
      <c r="A23" s="11"/>
      <c r="B23" s="11">
        <v>15</v>
      </c>
      <c r="C23" s="11" t="s">
        <v>4847</v>
      </c>
      <c r="D23" s="11" t="s">
        <v>66</v>
      </c>
      <c r="E23" s="11">
        <v>20</v>
      </c>
      <c r="F23" s="10" t="s">
        <v>67</v>
      </c>
      <c r="G23" s="11"/>
      <c r="H23" s="5"/>
      <c r="I23" s="11"/>
      <c r="J23" s="11"/>
      <c r="K23" s="25" t="s">
        <v>4848</v>
      </c>
      <c r="L23" t="str">
        <f t="shared" si="0"/>
        <v>VARCHAR(20),</v>
      </c>
      <c r="N23" s="38" t="str">
        <f t="shared" si="1"/>
        <v>COMMENT ON COLUMN mars_product.product_small_category_id IS '商品小分類id';</v>
      </c>
      <c r="R23" s="34" t="s">
        <v>4849</v>
      </c>
    </row>
    <row r="24" spans="1:18" ht="19.5" thickBot="1">
      <c r="A24" s="13"/>
      <c r="B24" s="13">
        <v>16</v>
      </c>
      <c r="C24" s="13" t="s">
        <v>4850</v>
      </c>
      <c r="D24" s="13" t="s">
        <v>66</v>
      </c>
      <c r="E24" s="13">
        <v>1200</v>
      </c>
      <c r="F24" s="14" t="s">
        <v>67</v>
      </c>
      <c r="G24" s="13"/>
      <c r="H24" s="8"/>
      <c r="I24" s="13"/>
      <c r="J24" s="13"/>
      <c r="K24" s="25" t="s">
        <v>4851</v>
      </c>
      <c r="L24" t="str">
        <f t="shared" si="0"/>
        <v>VARCHAR(1200),</v>
      </c>
      <c r="N24" s="38" t="str">
        <f t="shared" si="1"/>
        <v>COMMENT ON COLUMN mars_product.product_small_category_official_name IS '商品小分類正式名称';</v>
      </c>
      <c r="R24" s="34" t="s">
        <v>4852</v>
      </c>
    </row>
    <row r="25" spans="1:18" ht="19.5" thickBot="1">
      <c r="A25" s="11"/>
      <c r="B25" s="11">
        <v>17</v>
      </c>
      <c r="C25" s="11" t="s">
        <v>4853</v>
      </c>
      <c r="D25" s="11" t="s">
        <v>66</v>
      </c>
      <c r="E25" s="11">
        <v>1200</v>
      </c>
      <c r="F25" s="10" t="s">
        <v>67</v>
      </c>
      <c r="G25" s="11"/>
      <c r="H25" s="5"/>
      <c r="I25" s="11"/>
      <c r="J25" s="11"/>
      <c r="K25" s="25" t="s">
        <v>4854</v>
      </c>
      <c r="L25" t="str">
        <f t="shared" si="0"/>
        <v>VARCHAR(1200),</v>
      </c>
      <c r="N25" s="38" t="str">
        <f t="shared" si="1"/>
        <v>COMMENT ON COLUMN mars_product.product_small_category_kana IS '商品小分類カナ名称';</v>
      </c>
      <c r="R25" s="34" t="s">
        <v>4855</v>
      </c>
    </row>
    <row r="26" spans="1:18" ht="19.5" thickBot="1">
      <c r="A26" s="13"/>
      <c r="B26" s="13">
        <v>18</v>
      </c>
      <c r="C26" s="13" t="s">
        <v>4856</v>
      </c>
      <c r="D26" s="13" t="s">
        <v>66</v>
      </c>
      <c r="E26" s="13">
        <v>1200</v>
      </c>
      <c r="F26" s="14" t="s">
        <v>67</v>
      </c>
      <c r="G26" s="13"/>
      <c r="H26" s="8"/>
      <c r="I26" s="13"/>
      <c r="J26" s="13"/>
      <c r="K26" s="25" t="s">
        <v>4857</v>
      </c>
      <c r="L26" t="str">
        <f t="shared" si="0"/>
        <v>VARCHAR(1200),</v>
      </c>
      <c r="N26" s="38" t="str">
        <f t="shared" si="1"/>
        <v>COMMENT ON COLUMN mars_product.product_small_category_english_name IS '商品小分類英語名称';</v>
      </c>
      <c r="R26" s="34" t="s">
        <v>4858</v>
      </c>
    </row>
    <row r="27" spans="1:18" ht="19.5" thickBot="1">
      <c r="A27" s="11"/>
      <c r="B27" s="11">
        <v>19</v>
      </c>
      <c r="C27" s="11" t="s">
        <v>4859</v>
      </c>
      <c r="D27" s="11" t="s">
        <v>66</v>
      </c>
      <c r="E27" s="11">
        <v>20</v>
      </c>
      <c r="F27" s="10" t="s">
        <v>67</v>
      </c>
      <c r="G27" s="11"/>
      <c r="H27" s="5"/>
      <c r="I27" s="11"/>
      <c r="J27" s="11"/>
      <c r="K27" s="25" t="s">
        <v>4860</v>
      </c>
      <c r="L27" t="str">
        <f t="shared" si="0"/>
        <v>VARCHAR(20),</v>
      </c>
      <c r="N27" s="38" t="str">
        <f t="shared" si="1"/>
        <v>COMMENT ON COLUMN mars_product.product_middle_category_id IS '商品中分類id';</v>
      </c>
      <c r="R27" s="34" t="s">
        <v>4861</v>
      </c>
    </row>
    <row r="28" spans="1:18" ht="19.5" thickBot="1">
      <c r="A28" s="13"/>
      <c r="B28" s="13">
        <v>20</v>
      </c>
      <c r="C28" s="13" t="s">
        <v>4862</v>
      </c>
      <c r="D28" s="13" t="s">
        <v>66</v>
      </c>
      <c r="E28" s="13">
        <v>1200</v>
      </c>
      <c r="F28" s="14" t="s">
        <v>67</v>
      </c>
      <c r="G28" s="13"/>
      <c r="H28" s="8"/>
      <c r="I28" s="13"/>
      <c r="J28" s="13"/>
      <c r="K28" s="25" t="s">
        <v>4863</v>
      </c>
      <c r="L28" t="str">
        <f t="shared" si="0"/>
        <v>VARCHAR(1200),</v>
      </c>
      <c r="N28" s="38" t="str">
        <f t="shared" si="1"/>
        <v>COMMENT ON COLUMN mars_product.product_middle_category_official_name IS '商品中分類正式名称';</v>
      </c>
      <c r="R28" s="34" t="s">
        <v>4864</v>
      </c>
    </row>
    <row r="29" spans="1:18" ht="19.5" thickBot="1">
      <c r="A29" s="11"/>
      <c r="B29" s="11">
        <v>21</v>
      </c>
      <c r="C29" s="11" t="s">
        <v>4865</v>
      </c>
      <c r="D29" s="11" t="s">
        <v>66</v>
      </c>
      <c r="E29" s="11">
        <v>1200</v>
      </c>
      <c r="F29" s="10" t="s">
        <v>67</v>
      </c>
      <c r="G29" s="11"/>
      <c r="H29" s="5"/>
      <c r="I29" s="11"/>
      <c r="J29" s="11"/>
      <c r="K29" s="25" t="s">
        <v>4866</v>
      </c>
      <c r="L29" t="str">
        <f t="shared" si="0"/>
        <v>VARCHAR(1200),</v>
      </c>
      <c r="N29" s="38" t="str">
        <f t="shared" si="1"/>
        <v>COMMENT ON COLUMN mars_product.product_middle_category_kana IS '商品中分類カナ名称';</v>
      </c>
      <c r="R29" s="34" t="s">
        <v>4867</v>
      </c>
    </row>
    <row r="30" spans="1:18" ht="19.5" thickBot="1">
      <c r="A30" s="13"/>
      <c r="B30" s="13">
        <v>22</v>
      </c>
      <c r="C30" s="13" t="s">
        <v>4868</v>
      </c>
      <c r="D30" s="13" t="s">
        <v>66</v>
      </c>
      <c r="E30" s="13">
        <v>1200</v>
      </c>
      <c r="F30" s="14" t="s">
        <v>67</v>
      </c>
      <c r="G30" s="13"/>
      <c r="H30" s="8"/>
      <c r="I30" s="13"/>
      <c r="J30" s="13"/>
      <c r="K30" s="25" t="s">
        <v>4869</v>
      </c>
      <c r="L30" t="str">
        <f t="shared" si="0"/>
        <v>VARCHAR(1200),</v>
      </c>
      <c r="N30" s="38" t="str">
        <f t="shared" si="1"/>
        <v>COMMENT ON COLUMN mars_product.product_middle_category_english_name IS '商品中分類英語名称';</v>
      </c>
      <c r="R30" s="34" t="s">
        <v>4870</v>
      </c>
    </row>
    <row r="31" spans="1:18" ht="19.5" thickBot="1">
      <c r="A31" s="11"/>
      <c r="B31" s="11">
        <v>23</v>
      </c>
      <c r="C31" s="11" t="s">
        <v>4871</v>
      </c>
      <c r="D31" s="11" t="s">
        <v>66</v>
      </c>
      <c r="E31" s="11">
        <v>20</v>
      </c>
      <c r="F31" s="10" t="s">
        <v>67</v>
      </c>
      <c r="G31" s="11"/>
      <c r="H31" s="5"/>
      <c r="I31" s="11"/>
      <c r="J31" s="11"/>
      <c r="K31" s="25" t="s">
        <v>4872</v>
      </c>
      <c r="L31" t="str">
        <f t="shared" si="0"/>
        <v>VARCHAR(20),</v>
      </c>
      <c r="N31" s="38" t="str">
        <f t="shared" si="1"/>
        <v>COMMENT ON COLUMN mars_product.product_major_category_id IS '商品大分類id';</v>
      </c>
      <c r="R31" s="34" t="s">
        <v>4873</v>
      </c>
    </row>
    <row r="32" spans="1:18" ht="19.5" thickBot="1">
      <c r="A32" s="13"/>
      <c r="B32" s="13">
        <v>24</v>
      </c>
      <c r="C32" s="13" t="s">
        <v>4874</v>
      </c>
      <c r="D32" s="13" t="s">
        <v>66</v>
      </c>
      <c r="E32" s="13">
        <v>1200</v>
      </c>
      <c r="F32" s="14" t="s">
        <v>67</v>
      </c>
      <c r="G32" s="13"/>
      <c r="H32" s="8"/>
      <c r="I32" s="13"/>
      <c r="J32" s="13"/>
      <c r="K32" s="25" t="s">
        <v>4875</v>
      </c>
      <c r="L32" t="str">
        <f t="shared" si="0"/>
        <v>VARCHAR(1200),</v>
      </c>
      <c r="N32" s="38" t="str">
        <f t="shared" si="1"/>
        <v>COMMENT ON COLUMN mars_product.product_major_category_official_name IS '商品大分類正式名称';</v>
      </c>
      <c r="R32" s="34" t="s">
        <v>4876</v>
      </c>
    </row>
    <row r="33" spans="1:18" ht="19.5" thickBot="1">
      <c r="A33" s="11"/>
      <c r="B33" s="11">
        <v>25</v>
      </c>
      <c r="C33" s="11" t="s">
        <v>4877</v>
      </c>
      <c r="D33" s="11" t="s">
        <v>66</v>
      </c>
      <c r="E33" s="11">
        <v>1200</v>
      </c>
      <c r="F33" s="10" t="s">
        <v>67</v>
      </c>
      <c r="G33" s="11"/>
      <c r="H33" s="5"/>
      <c r="I33" s="11"/>
      <c r="J33" s="11"/>
      <c r="K33" s="25" t="s">
        <v>4878</v>
      </c>
      <c r="L33" t="str">
        <f t="shared" si="0"/>
        <v>VARCHAR(1200),</v>
      </c>
      <c r="N33" s="38" t="str">
        <f t="shared" si="1"/>
        <v>COMMENT ON COLUMN mars_product.product_major_category_kana IS '商品大分類カナ名称';</v>
      </c>
      <c r="R33" s="34" t="s">
        <v>4879</v>
      </c>
    </row>
    <row r="34" spans="1:18" ht="19.5" thickBot="1">
      <c r="A34" s="13"/>
      <c r="B34" s="13">
        <v>26</v>
      </c>
      <c r="C34" s="13" t="s">
        <v>4880</v>
      </c>
      <c r="D34" s="13" t="s">
        <v>66</v>
      </c>
      <c r="E34" s="13">
        <v>1200</v>
      </c>
      <c r="F34" s="14" t="s">
        <v>67</v>
      </c>
      <c r="G34" s="13"/>
      <c r="H34" s="8"/>
      <c r="I34" s="13"/>
      <c r="J34" s="13"/>
      <c r="K34" s="25" t="s">
        <v>4881</v>
      </c>
      <c r="L34" t="str">
        <f t="shared" si="0"/>
        <v>VARCHAR(1200),</v>
      </c>
      <c r="N34" s="38" t="str">
        <f t="shared" si="1"/>
        <v>COMMENT ON COLUMN mars_product.product_major_category_english_name IS '商品大分類英語名称';</v>
      </c>
      <c r="R34" s="34" t="s">
        <v>4882</v>
      </c>
    </row>
    <row r="35" spans="1:18" ht="19.5" thickBot="1">
      <c r="A35" s="11"/>
      <c r="B35" s="11">
        <v>27</v>
      </c>
      <c r="C35" s="11" t="s">
        <v>4883</v>
      </c>
      <c r="D35" s="11" t="s">
        <v>66</v>
      </c>
      <c r="E35" s="11">
        <v>4</v>
      </c>
      <c r="F35" s="10" t="s">
        <v>67</v>
      </c>
      <c r="G35" s="11"/>
      <c r="H35" s="5"/>
      <c r="I35" s="11"/>
      <c r="J35" s="11"/>
      <c r="K35" s="25" t="s">
        <v>4884</v>
      </c>
      <c r="L35" t="str">
        <f t="shared" si="0"/>
        <v>VARCHAR(4),</v>
      </c>
      <c r="N35" s="38" t="str">
        <f t="shared" si="1"/>
        <v>COMMENT ON COLUMN mars_product.individual_management_type_code IS '個体管理タイプコード';</v>
      </c>
      <c r="R35" s="34" t="s">
        <v>4885</v>
      </c>
    </row>
    <row r="36" spans="1:18" ht="19.5" thickBot="1">
      <c r="A36" s="13"/>
      <c r="B36" s="13">
        <v>28</v>
      </c>
      <c r="C36" s="13" t="s">
        <v>4886</v>
      </c>
      <c r="D36" s="13" t="s">
        <v>66</v>
      </c>
      <c r="E36" s="13">
        <v>20</v>
      </c>
      <c r="F36" s="14" t="s">
        <v>67</v>
      </c>
      <c r="G36" s="13"/>
      <c r="H36" s="8"/>
      <c r="I36" s="13"/>
      <c r="J36" s="13"/>
      <c r="K36" t="s">
        <v>4887</v>
      </c>
      <c r="L36" t="str">
        <f t="shared" si="0"/>
        <v>VARCHAR(20),</v>
      </c>
      <c r="N36" s="38" t="str">
        <f t="shared" si="1"/>
        <v>COMMENT ON COLUMN mars_product.manufacturer_id IS 'メーカーid';</v>
      </c>
      <c r="R36" s="34" t="s">
        <v>4888</v>
      </c>
    </row>
    <row r="37" spans="1:18" ht="19.5" thickBot="1">
      <c r="A37" s="11"/>
      <c r="B37" s="11">
        <v>29</v>
      </c>
      <c r="C37" s="11" t="s">
        <v>4889</v>
      </c>
      <c r="D37" s="11" t="s">
        <v>66</v>
      </c>
      <c r="E37" s="11">
        <v>1200</v>
      </c>
      <c r="F37" s="10" t="s">
        <v>67</v>
      </c>
      <c r="G37" s="11"/>
      <c r="H37" s="5"/>
      <c r="I37" s="11"/>
      <c r="J37" s="11"/>
      <c r="K37" t="s">
        <v>4890</v>
      </c>
      <c r="L37" t="str">
        <f t="shared" si="0"/>
        <v>VARCHAR(1200),</v>
      </c>
      <c r="N37" s="38" t="str">
        <f t="shared" si="1"/>
        <v>COMMENT ON COLUMN mars_product.manufacturer_official_name IS 'メーカー正式名称';</v>
      </c>
      <c r="R37" s="34" t="s">
        <v>4891</v>
      </c>
    </row>
    <row r="38" spans="1:18" ht="19.5" thickBot="1">
      <c r="A38" s="13"/>
      <c r="B38" s="13">
        <v>30</v>
      </c>
      <c r="C38" s="13" t="s">
        <v>4892</v>
      </c>
      <c r="D38" s="13" t="s">
        <v>66</v>
      </c>
      <c r="E38" s="13">
        <v>1200</v>
      </c>
      <c r="F38" s="14" t="s">
        <v>67</v>
      </c>
      <c r="G38" s="13"/>
      <c r="H38" s="8"/>
      <c r="I38" s="13"/>
      <c r="J38" s="13"/>
      <c r="K38" t="s">
        <v>4893</v>
      </c>
      <c r="L38" t="str">
        <f t="shared" si="0"/>
        <v>VARCHAR(1200),</v>
      </c>
      <c r="N38" s="38" t="str">
        <f t="shared" si="1"/>
        <v>COMMENT ON COLUMN mars_product.manufacturer_name_in_kana IS 'メーカーカナ名称';</v>
      </c>
      <c r="R38" s="34" t="s">
        <v>4894</v>
      </c>
    </row>
    <row r="39" spans="1:18" ht="19.5" thickBot="1">
      <c r="A39" s="11"/>
      <c r="B39" s="11">
        <v>31</v>
      </c>
      <c r="C39" s="11" t="s">
        <v>4895</v>
      </c>
      <c r="D39" s="11" t="s">
        <v>66</v>
      </c>
      <c r="E39" s="11">
        <v>1200</v>
      </c>
      <c r="F39" s="10" t="s">
        <v>67</v>
      </c>
      <c r="G39" s="11"/>
      <c r="H39" s="5"/>
      <c r="I39" s="11"/>
      <c r="J39" s="11"/>
      <c r="K39" t="s">
        <v>4896</v>
      </c>
      <c r="L39" t="str">
        <f t="shared" si="0"/>
        <v>VARCHAR(1200),</v>
      </c>
      <c r="N39" s="38" t="str">
        <f t="shared" si="1"/>
        <v>COMMENT ON COLUMN mars_product.manufacturer_name_in_english IS 'メーカー英語名称';</v>
      </c>
      <c r="R39" s="34" t="s">
        <v>4897</v>
      </c>
    </row>
    <row r="40" spans="1:18" ht="19.5" thickBot="1">
      <c r="A40" s="13"/>
      <c r="B40" s="13">
        <v>32</v>
      </c>
      <c r="C40" s="13" t="s">
        <v>4898</v>
      </c>
      <c r="D40" s="13" t="s">
        <v>66</v>
      </c>
      <c r="E40" s="13">
        <v>20</v>
      </c>
      <c r="F40" s="14" t="s">
        <v>67</v>
      </c>
      <c r="G40" s="13"/>
      <c r="H40" s="8"/>
      <c r="I40" s="13"/>
      <c r="J40" s="13"/>
      <c r="K40" t="s">
        <v>4899</v>
      </c>
      <c r="L40" t="str">
        <f t="shared" si="0"/>
        <v>VARCHAR(20),</v>
      </c>
      <c r="N40" s="38" t="str">
        <f t="shared" si="1"/>
        <v>COMMENT ON COLUMN mars_product.brand_id IS 'ブランドid';</v>
      </c>
      <c r="R40" s="34" t="s">
        <v>4900</v>
      </c>
    </row>
    <row r="41" spans="1:18" ht="19.5" thickBot="1">
      <c r="A41" s="11"/>
      <c r="B41" s="11">
        <v>33</v>
      </c>
      <c r="C41" s="11" t="s">
        <v>4901</v>
      </c>
      <c r="D41" s="11" t="s">
        <v>66</v>
      </c>
      <c r="E41" s="11">
        <v>1200</v>
      </c>
      <c r="F41" s="10" t="s">
        <v>67</v>
      </c>
      <c r="G41" s="11"/>
      <c r="H41" s="5"/>
      <c r="I41" s="11"/>
      <c r="J41" s="11"/>
      <c r="K41" t="s">
        <v>4902</v>
      </c>
      <c r="L41" t="str">
        <f t="shared" si="0"/>
        <v>VARCHAR(1200),</v>
      </c>
      <c r="N41" s="38" t="str">
        <f t="shared" si="1"/>
        <v>COMMENT ON COLUMN mars_product.brand_official_name IS 'ブランド正式名称';</v>
      </c>
      <c r="R41" s="34" t="s">
        <v>4903</v>
      </c>
    </row>
    <row r="42" spans="1:18" ht="19.5" thickBot="1">
      <c r="A42" s="13"/>
      <c r="B42" s="13">
        <v>34</v>
      </c>
      <c r="C42" s="13" t="s">
        <v>4904</v>
      </c>
      <c r="D42" s="13" t="s">
        <v>66</v>
      </c>
      <c r="E42" s="13">
        <v>4</v>
      </c>
      <c r="F42" s="14" t="s">
        <v>67</v>
      </c>
      <c r="G42" s="13"/>
      <c r="H42" s="8"/>
      <c r="I42" s="13"/>
      <c r="J42" s="13"/>
      <c r="K42" t="s">
        <v>4905</v>
      </c>
      <c r="L42" t="str">
        <f t="shared" si="0"/>
        <v>VARCHAR(4),</v>
      </c>
      <c r="N42" s="38" t="str">
        <f t="shared" si="1"/>
        <v>COMMENT ON COLUMN mars_product.brand_code IS 'ブランドコード';</v>
      </c>
      <c r="R42" s="34" t="s">
        <v>4906</v>
      </c>
    </row>
    <row r="43" spans="1:18" ht="19.5" thickBot="1">
      <c r="A43" s="11"/>
      <c r="B43" s="11">
        <v>35</v>
      </c>
      <c r="C43" s="11" t="s">
        <v>4907</v>
      </c>
      <c r="D43" s="11" t="s">
        <v>66</v>
      </c>
      <c r="E43" s="11">
        <v>1200</v>
      </c>
      <c r="F43" s="10" t="s">
        <v>67</v>
      </c>
      <c r="G43" s="11"/>
      <c r="H43" s="5"/>
      <c r="I43" s="11"/>
      <c r="J43" s="11"/>
      <c r="K43" t="s">
        <v>4908</v>
      </c>
      <c r="L43" t="str">
        <f t="shared" si="0"/>
        <v>VARCHAR(1200),</v>
      </c>
      <c r="N43" s="38" t="str">
        <f t="shared" si="1"/>
        <v>COMMENT ON COLUMN mars_product.brand_name_in_kana IS 'ブランドカナ名称';</v>
      </c>
      <c r="R43" s="34" t="s">
        <v>4909</v>
      </c>
    </row>
    <row r="44" spans="1:18" ht="19.5" thickBot="1">
      <c r="A44" s="13"/>
      <c r="B44" s="13">
        <v>36</v>
      </c>
      <c r="C44" s="13" t="s">
        <v>4910</v>
      </c>
      <c r="D44" s="13" t="s">
        <v>66</v>
      </c>
      <c r="E44" s="13">
        <v>1200</v>
      </c>
      <c r="F44" s="14" t="s">
        <v>67</v>
      </c>
      <c r="G44" s="13"/>
      <c r="H44" s="8"/>
      <c r="I44" s="13"/>
      <c r="J44" s="13"/>
      <c r="K44" t="s">
        <v>4911</v>
      </c>
      <c r="L44" t="str">
        <f t="shared" si="0"/>
        <v>VARCHAR(1200),</v>
      </c>
      <c r="N44" s="38" t="str">
        <f t="shared" si="1"/>
        <v>COMMENT ON COLUMN mars_product.brand_abbreviation IS 'ブランド略称';</v>
      </c>
      <c r="R44" s="34" t="s">
        <v>4912</v>
      </c>
    </row>
    <row r="45" spans="1:18" ht="19.5" thickBot="1">
      <c r="A45" s="11"/>
      <c r="B45" s="11">
        <v>37</v>
      </c>
      <c r="C45" s="11" t="s">
        <v>4913</v>
      </c>
      <c r="D45" s="11" t="s">
        <v>66</v>
      </c>
      <c r="E45" s="11">
        <v>1200</v>
      </c>
      <c r="F45" s="10" t="s">
        <v>67</v>
      </c>
      <c r="G45" s="11"/>
      <c r="H45" s="5"/>
      <c r="I45" s="11"/>
      <c r="J45" s="11"/>
      <c r="K45" t="s">
        <v>4914</v>
      </c>
      <c r="L45" t="str">
        <f t="shared" si="0"/>
        <v>VARCHAR(1200),</v>
      </c>
      <c r="N45" s="38" t="str">
        <f t="shared" si="1"/>
        <v>COMMENT ON COLUMN mars_product.brand_name_in_english IS 'ブランド英語名称';</v>
      </c>
      <c r="R45" s="34" t="s">
        <v>4915</v>
      </c>
    </row>
    <row r="46" spans="1:18" ht="19.5" thickBot="1">
      <c r="A46" s="13"/>
      <c r="B46" s="13">
        <v>38</v>
      </c>
      <c r="C46" s="13" t="s">
        <v>4916</v>
      </c>
      <c r="D46" s="13" t="s">
        <v>66</v>
      </c>
      <c r="E46" s="13">
        <v>26</v>
      </c>
      <c r="F46" s="14" t="s">
        <v>67</v>
      </c>
      <c r="G46" s="13"/>
      <c r="H46" s="8"/>
      <c r="I46" s="13"/>
      <c r="J46" s="13"/>
      <c r="K46" t="s">
        <v>4917</v>
      </c>
      <c r="L46" t="str">
        <f t="shared" si="0"/>
        <v>VARCHAR(26),</v>
      </c>
      <c r="N46" s="38" t="str">
        <f t="shared" si="1"/>
        <v>COMMENT ON COLUMN mars_product.jan_code IS 'janコード';</v>
      </c>
      <c r="R46" s="34" t="s">
        <v>4918</v>
      </c>
    </row>
    <row r="47" spans="1:18" ht="19.5" thickBot="1">
      <c r="A47" s="11"/>
      <c r="B47" s="11">
        <v>39</v>
      </c>
      <c r="C47" s="11" t="s">
        <v>4919</v>
      </c>
      <c r="D47" s="11" t="s">
        <v>66</v>
      </c>
      <c r="E47" s="11">
        <v>600</v>
      </c>
      <c r="F47" s="10" t="s">
        <v>67</v>
      </c>
      <c r="G47" s="11"/>
      <c r="H47" s="5"/>
      <c r="I47" s="11"/>
      <c r="J47" s="11"/>
      <c r="K47" t="s">
        <v>4920</v>
      </c>
      <c r="L47" t="str">
        <f t="shared" si="0"/>
        <v>VARCHAR(600),</v>
      </c>
      <c r="N47" s="38" t="str">
        <f t="shared" si="1"/>
        <v>COMMENT ON COLUMN mars_product.product_color_official_name IS '商品色正式名称';</v>
      </c>
      <c r="R47" s="34" t="s">
        <v>4921</v>
      </c>
    </row>
    <row r="48" spans="1:18" ht="19.5" thickBot="1">
      <c r="A48" s="13"/>
      <c r="B48" s="13">
        <v>40</v>
      </c>
      <c r="C48" s="13" t="s">
        <v>4922</v>
      </c>
      <c r="D48" s="13" t="s">
        <v>66</v>
      </c>
      <c r="E48" s="13">
        <v>240</v>
      </c>
      <c r="F48" s="14" t="s">
        <v>67</v>
      </c>
      <c r="G48" s="13"/>
      <c r="H48" s="8"/>
      <c r="I48" s="13"/>
      <c r="J48" s="13"/>
      <c r="K48" t="s">
        <v>4923</v>
      </c>
      <c r="L48" t="str">
        <f t="shared" si="0"/>
        <v>VARCHAR(240),</v>
      </c>
      <c r="N48" s="38" t="str">
        <f t="shared" si="1"/>
        <v>COMMENT ON COLUMN mars_product.product_color_abbreviation IS '商品色略称';</v>
      </c>
      <c r="R48" s="34" t="s">
        <v>4924</v>
      </c>
    </row>
    <row r="49" spans="1:18" ht="19.5" thickBot="1">
      <c r="A49" s="11"/>
      <c r="B49" s="11">
        <v>41</v>
      </c>
      <c r="C49" s="11" t="s">
        <v>4925</v>
      </c>
      <c r="D49" s="11" t="s">
        <v>89</v>
      </c>
      <c r="E49" s="11" t="s">
        <v>3805</v>
      </c>
      <c r="F49" s="10" t="s">
        <v>67</v>
      </c>
      <c r="G49" s="11"/>
      <c r="H49" s="5"/>
      <c r="I49" s="11"/>
      <c r="J49" s="11"/>
      <c r="K49" t="s">
        <v>4926</v>
      </c>
      <c r="L49" t="str">
        <f t="shared" si="0"/>
        <v>DECIMAL(10,0),</v>
      </c>
      <c r="N49" s="38" t="str">
        <f t="shared" si="1"/>
        <v>COMMENT ON COLUMN mars_product.standard_color_id IS '標準色id';</v>
      </c>
      <c r="R49" s="34" t="s">
        <v>4927</v>
      </c>
    </row>
    <row r="50" spans="1:18" ht="19.5" thickBot="1">
      <c r="A50" s="13"/>
      <c r="B50" s="13">
        <v>42</v>
      </c>
      <c r="C50" s="13" t="s">
        <v>4928</v>
      </c>
      <c r="D50" s="13" t="s">
        <v>66</v>
      </c>
      <c r="E50" s="13">
        <v>1200</v>
      </c>
      <c r="F50" s="14" t="s">
        <v>67</v>
      </c>
      <c r="G50" s="13"/>
      <c r="H50" s="8"/>
      <c r="I50" s="13"/>
      <c r="J50" s="13"/>
      <c r="K50" t="s">
        <v>4929</v>
      </c>
      <c r="L50" t="str">
        <f t="shared" si="0"/>
        <v>VARCHAR(1200),</v>
      </c>
      <c r="N50" s="38" t="str">
        <f t="shared" si="1"/>
        <v>COMMENT ON COLUMN mars_product.standard_color_official_name IS '標準色正式名称';</v>
      </c>
      <c r="R50" s="34" t="s">
        <v>4930</v>
      </c>
    </row>
    <row r="51" spans="1:18" ht="19.5" thickBot="1">
      <c r="A51" s="11"/>
      <c r="B51" s="11">
        <v>43</v>
      </c>
      <c r="C51" s="11" t="s">
        <v>4931</v>
      </c>
      <c r="D51" s="11" t="s">
        <v>66</v>
      </c>
      <c r="E51" s="11">
        <v>1200</v>
      </c>
      <c r="F51" s="10" t="s">
        <v>67</v>
      </c>
      <c r="G51" s="11"/>
      <c r="H51" s="5"/>
      <c r="I51" s="11"/>
      <c r="J51" s="11"/>
      <c r="K51" t="s">
        <v>4932</v>
      </c>
      <c r="L51" t="str">
        <f t="shared" si="0"/>
        <v>VARCHAR(1200),</v>
      </c>
      <c r="N51" s="38" t="str">
        <f t="shared" si="1"/>
        <v>COMMENT ON COLUMN mars_product.standard_color_name_in_kana IS '標準色カナ名称';</v>
      </c>
      <c r="R51" s="34" t="s">
        <v>4933</v>
      </c>
    </row>
    <row r="52" spans="1:18" ht="19.5" thickBot="1">
      <c r="A52" s="13"/>
      <c r="B52" s="13">
        <v>44</v>
      </c>
      <c r="C52" s="13" t="s">
        <v>4934</v>
      </c>
      <c r="D52" s="13" t="s">
        <v>66</v>
      </c>
      <c r="E52" s="13">
        <v>1200</v>
      </c>
      <c r="F52" s="14" t="s">
        <v>67</v>
      </c>
      <c r="G52" s="13"/>
      <c r="H52" s="8"/>
      <c r="I52" s="13"/>
      <c r="J52" s="13"/>
      <c r="K52" t="s">
        <v>4935</v>
      </c>
      <c r="L52" t="str">
        <f t="shared" si="0"/>
        <v>VARCHAR(1200),</v>
      </c>
      <c r="N52" s="38" t="str">
        <f t="shared" si="1"/>
        <v>COMMENT ON COLUMN mars_product.standard_color_name_in_english IS '標準色英語名称';</v>
      </c>
      <c r="R52" s="34" t="s">
        <v>4936</v>
      </c>
    </row>
    <row r="53" spans="1:18" ht="19.5" thickBot="1">
      <c r="A53" s="11"/>
      <c r="B53" s="11">
        <v>45</v>
      </c>
      <c r="C53" s="11" t="s">
        <v>4937</v>
      </c>
      <c r="D53" s="11" t="s">
        <v>66</v>
      </c>
      <c r="E53" s="11">
        <v>40</v>
      </c>
      <c r="F53" s="10" t="s">
        <v>67</v>
      </c>
      <c r="G53" s="11"/>
      <c r="H53" s="5"/>
      <c r="I53" s="11"/>
      <c r="J53" s="11"/>
      <c r="K53" t="s">
        <v>4938</v>
      </c>
      <c r="L53" t="str">
        <f t="shared" si="0"/>
        <v>VARCHAR(40),</v>
      </c>
      <c r="N53" s="38" t="str">
        <f t="shared" si="1"/>
        <v>COMMENT ON COLUMN mars_product.model_code IS '機種コード';</v>
      </c>
      <c r="R53" s="34" t="s">
        <v>4939</v>
      </c>
    </row>
    <row r="54" spans="1:18" ht="19.5" thickBot="1">
      <c r="A54" s="13"/>
      <c r="B54" s="13">
        <v>46</v>
      </c>
      <c r="C54" s="13" t="s">
        <v>4940</v>
      </c>
      <c r="D54" s="13" t="s">
        <v>66</v>
      </c>
      <c r="E54" s="13">
        <v>1200</v>
      </c>
      <c r="F54" s="14" t="s">
        <v>67</v>
      </c>
      <c r="G54" s="13"/>
      <c r="H54" s="8"/>
      <c r="I54" s="13"/>
      <c r="J54" s="13"/>
      <c r="K54" t="s">
        <v>4941</v>
      </c>
      <c r="L54" t="str">
        <f t="shared" si="0"/>
        <v>VARCHAR(1200),</v>
      </c>
      <c r="N54" s="38" t="str">
        <f t="shared" si="1"/>
        <v>COMMENT ON COLUMN mars_product.model_official_name IS '機種正式名称';</v>
      </c>
      <c r="R54" s="34" t="s">
        <v>4942</v>
      </c>
    </row>
    <row r="55" spans="1:18" ht="19.5" thickBot="1">
      <c r="A55" s="11"/>
      <c r="B55" s="11">
        <v>47</v>
      </c>
      <c r="C55" s="11" t="s">
        <v>4943</v>
      </c>
      <c r="D55" s="11" t="s">
        <v>66</v>
      </c>
      <c r="E55" s="11">
        <v>16</v>
      </c>
      <c r="F55" s="10" t="s">
        <v>67</v>
      </c>
      <c r="G55" s="11"/>
      <c r="H55" s="5"/>
      <c r="I55" s="11"/>
      <c r="J55" s="11"/>
      <c r="K55" t="s">
        <v>4944</v>
      </c>
      <c r="L55" t="str">
        <f t="shared" si="0"/>
        <v>VARCHAR(16),</v>
      </c>
      <c r="N55" s="38" t="str">
        <f t="shared" si="1"/>
        <v>COMMENT ON COLUMN mars_product.fee_payment_stop_date IS '手数料支払停止日';</v>
      </c>
      <c r="R55" s="34" t="s">
        <v>4945</v>
      </c>
    </row>
    <row r="56" spans="1:18" ht="19.5" thickBot="1">
      <c r="A56" s="13"/>
      <c r="B56" s="13">
        <v>48</v>
      </c>
      <c r="C56" s="13" t="s">
        <v>4946</v>
      </c>
      <c r="D56" s="13" t="s">
        <v>89</v>
      </c>
      <c r="E56" s="13" t="s">
        <v>3805</v>
      </c>
      <c r="F56" s="14" t="s">
        <v>67</v>
      </c>
      <c r="G56" s="13"/>
      <c r="H56" s="8"/>
      <c r="I56" s="13"/>
      <c r="J56" s="13"/>
      <c r="K56" t="s">
        <v>4947</v>
      </c>
      <c r="L56" t="str">
        <f t="shared" si="0"/>
        <v>DECIMAL(10,0),</v>
      </c>
      <c r="N56" s="38" t="str">
        <f t="shared" si="1"/>
        <v>COMMENT ON COLUMN mars_product.mvno_identification_id IS 'mvno識別id';</v>
      </c>
      <c r="R56" s="34" t="s">
        <v>4948</v>
      </c>
    </row>
    <row r="57" spans="1:18" ht="19.5" thickBot="1">
      <c r="A57" s="11"/>
      <c r="B57" s="11">
        <v>49</v>
      </c>
      <c r="C57" s="11" t="s">
        <v>4949</v>
      </c>
      <c r="D57" s="11" t="s">
        <v>66</v>
      </c>
      <c r="E57" s="11">
        <v>120</v>
      </c>
      <c r="F57" s="10" t="s">
        <v>67</v>
      </c>
      <c r="G57" s="11"/>
      <c r="H57" s="5"/>
      <c r="I57" s="11"/>
      <c r="J57" s="11"/>
      <c r="K57" t="s">
        <v>4950</v>
      </c>
      <c r="L57" t="str">
        <f t="shared" si="0"/>
        <v>VARCHAR(120),</v>
      </c>
      <c r="N57" s="38" t="str">
        <f t="shared" si="1"/>
        <v>COMMENT ON COLUMN mars_product.mvno_identification_abbreviation_2 IS 'mvno識別略称2';</v>
      </c>
      <c r="R57" s="34" t="s">
        <v>4951</v>
      </c>
    </row>
    <row r="58" spans="1:18" ht="19.5" thickBot="1">
      <c r="A58" s="13"/>
      <c r="B58" s="13">
        <v>50</v>
      </c>
      <c r="C58" s="13" t="s">
        <v>4952</v>
      </c>
      <c r="D58" s="13" t="s">
        <v>66</v>
      </c>
      <c r="E58" s="13">
        <v>16</v>
      </c>
      <c r="F58" s="14" t="s">
        <v>67</v>
      </c>
      <c r="G58" s="13"/>
      <c r="H58" s="8"/>
      <c r="I58" s="13"/>
      <c r="J58" s="13"/>
      <c r="K58" t="s">
        <v>4953</v>
      </c>
      <c r="L58" t="str">
        <f t="shared" si="0"/>
        <v>VARCHAR(16),</v>
      </c>
      <c r="N58" s="38" t="str">
        <f t="shared" si="1"/>
        <v>COMMENT ON COLUMN mars_product.sales_start_date IS '販売開始日';</v>
      </c>
      <c r="R58" s="34" t="s">
        <v>4954</v>
      </c>
    </row>
    <row r="59" spans="1:18" ht="19.5" thickBot="1">
      <c r="A59" s="11"/>
      <c r="B59" s="11">
        <v>51</v>
      </c>
      <c r="C59" s="11" t="s">
        <v>4955</v>
      </c>
      <c r="D59" s="11" t="s">
        <v>66</v>
      </c>
      <c r="E59" s="11">
        <v>16</v>
      </c>
      <c r="F59" s="10" t="s">
        <v>67</v>
      </c>
      <c r="G59" s="11"/>
      <c r="H59" s="5"/>
      <c r="I59" s="11"/>
      <c r="J59" s="11"/>
      <c r="K59" t="s">
        <v>4956</v>
      </c>
      <c r="L59" t="str">
        <f t="shared" si="0"/>
        <v>VARCHAR(16),</v>
      </c>
      <c r="N59" s="38" t="str">
        <f t="shared" si="1"/>
        <v>COMMENT ON COLUMN mars_product.sales_end_date IS '販売終了日';</v>
      </c>
      <c r="R59" s="34" t="s">
        <v>4957</v>
      </c>
    </row>
    <row r="60" spans="1:18" ht="19.5" thickBot="1">
      <c r="A60" s="13"/>
      <c r="B60" s="13">
        <v>52</v>
      </c>
      <c r="C60" s="13" t="s">
        <v>4958</v>
      </c>
      <c r="D60" s="13" t="s">
        <v>66</v>
      </c>
      <c r="E60" s="13">
        <v>16</v>
      </c>
      <c r="F60" s="14" t="s">
        <v>67</v>
      </c>
      <c r="G60" s="13"/>
      <c r="H60" s="8"/>
      <c r="I60" s="13"/>
      <c r="J60" s="13"/>
      <c r="K60" t="s">
        <v>4959</v>
      </c>
      <c r="L60" t="str">
        <f t="shared" si="0"/>
        <v>VARCHAR(16),</v>
      </c>
      <c r="N60" s="38" t="str">
        <f t="shared" si="1"/>
        <v>COMMENT ON COLUMN mars_product.additional_purchase_validity_start_date IS '買い増し有効開始日';</v>
      </c>
      <c r="R60" s="34" t="s">
        <v>4960</v>
      </c>
    </row>
    <row r="61" spans="1:18" ht="19.5" thickBot="1">
      <c r="A61" s="11"/>
      <c r="B61" s="11">
        <v>53</v>
      </c>
      <c r="C61" s="11" t="s">
        <v>4961</v>
      </c>
      <c r="D61" s="11" t="s">
        <v>66</v>
      </c>
      <c r="E61" s="11">
        <v>16</v>
      </c>
      <c r="F61" s="10" t="s">
        <v>67</v>
      </c>
      <c r="G61" s="11"/>
      <c r="H61" s="5"/>
      <c r="I61" s="11"/>
      <c r="J61" s="11"/>
      <c r="K61" t="s">
        <v>4962</v>
      </c>
      <c r="L61" t="str">
        <f t="shared" si="0"/>
        <v>VARCHAR(16),</v>
      </c>
      <c r="N61" s="38" t="str">
        <f t="shared" si="1"/>
        <v>COMMENT ON COLUMN mars_product.additional_purchase_validity_end_date IS '買い増し有効終了日';</v>
      </c>
      <c r="R61" s="34" t="s">
        <v>4963</v>
      </c>
    </row>
    <row r="62" spans="1:18" ht="19.5" thickBot="1">
      <c r="A62" s="13"/>
      <c r="B62" s="13">
        <v>54</v>
      </c>
      <c r="C62" s="13" t="s">
        <v>4964</v>
      </c>
      <c r="D62" s="13" t="s">
        <v>66</v>
      </c>
      <c r="E62" s="13">
        <v>6</v>
      </c>
      <c r="F62" s="14" t="s">
        <v>67</v>
      </c>
      <c r="G62" s="13"/>
      <c r="H62" s="8"/>
      <c r="I62" s="13"/>
      <c r="J62" s="13"/>
      <c r="K62" t="s">
        <v>4965</v>
      </c>
      <c r="L62" t="str">
        <f t="shared" si="0"/>
        <v>VARCHAR(6),</v>
      </c>
      <c r="N62" s="38" t="str">
        <f t="shared" si="1"/>
        <v>COMMENT ON COLUMN mars_product.cic_product_code IS 'cic商品コード';</v>
      </c>
      <c r="R62" s="34" t="s">
        <v>4966</v>
      </c>
    </row>
    <row r="63" spans="1:18" ht="19.5" thickBot="1">
      <c r="A63" s="11"/>
      <c r="B63" s="11">
        <v>55</v>
      </c>
      <c r="C63" s="11" t="s">
        <v>4967</v>
      </c>
      <c r="D63" s="11" t="s">
        <v>66</v>
      </c>
      <c r="E63" s="11">
        <v>2</v>
      </c>
      <c r="F63" s="10" t="s">
        <v>67</v>
      </c>
      <c r="G63" s="11"/>
      <c r="H63" s="5"/>
      <c r="I63" s="11"/>
      <c r="J63" s="11"/>
      <c r="K63" t="s">
        <v>4968</v>
      </c>
      <c r="L63" t="str">
        <f t="shared" si="0"/>
        <v>VARCHAR(2),</v>
      </c>
      <c r="N63" s="38" t="str">
        <f t="shared" si="1"/>
        <v>COMMENT ON COLUMN mars_product.non_essential_flag IS '生活必需品外フラグ';</v>
      </c>
      <c r="R63" s="34" t="s">
        <v>4969</v>
      </c>
    </row>
    <row r="64" spans="1:18" ht="19.5" thickBot="1">
      <c r="A64" s="13"/>
      <c r="B64" s="13">
        <v>56</v>
      </c>
      <c r="C64" s="13" t="s">
        <v>4970</v>
      </c>
      <c r="D64" s="13" t="s">
        <v>66</v>
      </c>
      <c r="E64" s="13">
        <v>4</v>
      </c>
      <c r="F64" s="14" t="s">
        <v>67</v>
      </c>
      <c r="G64" s="13"/>
      <c r="H64" s="8"/>
      <c r="I64" s="13"/>
      <c r="J64" s="13"/>
      <c r="K64" t="s">
        <v>4971</v>
      </c>
      <c r="L64" t="str">
        <f t="shared" si="0"/>
        <v>VARCHAR(4),</v>
      </c>
      <c r="N64" s="38" t="str">
        <f t="shared" si="1"/>
        <v>COMMENT ON COLUMN mars_product.service_generation_id IS 'サービス世代id';</v>
      </c>
      <c r="R64" s="34" t="s">
        <v>4972</v>
      </c>
    </row>
    <row r="65" spans="1:18" ht="19.5" thickBot="1">
      <c r="A65" s="11"/>
      <c r="B65" s="11">
        <v>57</v>
      </c>
      <c r="C65" s="11" t="s">
        <v>4973</v>
      </c>
      <c r="D65" s="11" t="s">
        <v>66</v>
      </c>
      <c r="E65" s="11">
        <v>240</v>
      </c>
      <c r="F65" s="10" t="s">
        <v>67</v>
      </c>
      <c r="G65" s="11"/>
      <c r="H65" s="5"/>
      <c r="I65" s="11"/>
      <c r="J65" s="11"/>
      <c r="K65" t="s">
        <v>4974</v>
      </c>
      <c r="L65" t="str">
        <f t="shared" si="0"/>
        <v>VARCHAR(240),</v>
      </c>
      <c r="N65" s="38" t="str">
        <f t="shared" si="1"/>
        <v>COMMENT ON COLUMN mars_product.service_generation_official_name IS 'サービス世代正式名称';</v>
      </c>
      <c r="R65" s="34" t="s">
        <v>4975</v>
      </c>
    </row>
    <row r="66" spans="1:18" ht="19.5" thickBot="1">
      <c r="A66" s="13"/>
      <c r="B66" s="13">
        <v>58</v>
      </c>
      <c r="C66" s="13" t="s">
        <v>4976</v>
      </c>
      <c r="D66" s="13" t="s">
        <v>66</v>
      </c>
      <c r="E66" s="13">
        <v>20</v>
      </c>
      <c r="F66" s="14" t="s">
        <v>67</v>
      </c>
      <c r="G66" s="13"/>
      <c r="H66" s="8"/>
      <c r="I66" s="13"/>
      <c r="J66" s="13"/>
      <c r="K66" t="s">
        <v>4977</v>
      </c>
      <c r="L66" t="str">
        <f t="shared" si="0"/>
        <v>VARCHAR(20),</v>
      </c>
      <c r="N66" s="38" t="str">
        <f t="shared" si="1"/>
        <v>COMMENT ON COLUMN mars_product.capacity IS '容量';</v>
      </c>
      <c r="R66" s="34" t="s">
        <v>4978</v>
      </c>
    </row>
    <row r="67" spans="1:18" ht="19.5" thickBot="1">
      <c r="A67" s="11"/>
      <c r="B67" s="11">
        <v>59</v>
      </c>
      <c r="C67" s="11" t="s">
        <v>4979</v>
      </c>
      <c r="D67" s="11" t="s">
        <v>66</v>
      </c>
      <c r="E67" s="11">
        <v>2</v>
      </c>
      <c r="F67" s="10" t="s">
        <v>67</v>
      </c>
      <c r="G67" s="11"/>
      <c r="H67" s="5"/>
      <c r="I67" s="11"/>
      <c r="J67" s="11"/>
      <c r="K67" t="s">
        <v>4980</v>
      </c>
      <c r="L67" t="str">
        <f t="shared" si="0"/>
        <v>VARCHAR(2),</v>
      </c>
      <c r="N67" s="38" t="str">
        <f t="shared" si="1"/>
        <v>COMMENT ON COLUMN mars_product.installment_review_limit_chk_target_flg IS '割賦審査上限chk対象flg';</v>
      </c>
      <c r="R67" s="34" t="s">
        <v>4981</v>
      </c>
    </row>
    <row r="68" spans="1:18" ht="19.5" thickBot="1">
      <c r="A68" s="13"/>
      <c r="B68" s="13">
        <v>60</v>
      </c>
      <c r="C68" s="13" t="s">
        <v>4982</v>
      </c>
      <c r="D68" s="13" t="s">
        <v>66</v>
      </c>
      <c r="E68" s="13">
        <v>2</v>
      </c>
      <c r="F68" s="14" t="s">
        <v>67</v>
      </c>
      <c r="G68" s="13"/>
      <c r="H68" s="8"/>
      <c r="I68" s="13"/>
      <c r="J68" s="13"/>
      <c r="K68" t="s">
        <v>4983</v>
      </c>
      <c r="L68" t="str">
        <f t="shared" si="0"/>
        <v>VARCHAR(2),</v>
      </c>
      <c r="N68" s="38" t="str">
        <f t="shared" si="1"/>
        <v>COMMENT ON COLUMN mars_product.opt_installment_sales_applicable_flg IS 'opt品割賦販売適用flg';</v>
      </c>
      <c r="R68" s="34" t="s">
        <v>4984</v>
      </c>
    </row>
    <row r="69" spans="1:18" ht="19.5" thickBot="1">
      <c r="A69" s="11"/>
      <c r="B69" s="11">
        <v>61</v>
      </c>
      <c r="C69" s="11" t="s">
        <v>4985</v>
      </c>
      <c r="D69" s="11" t="s">
        <v>66</v>
      </c>
      <c r="E69" s="11">
        <v>16</v>
      </c>
      <c r="F69" s="10" t="s">
        <v>67</v>
      </c>
      <c r="G69" s="11"/>
      <c r="H69" s="5"/>
      <c r="I69" s="11"/>
      <c r="J69" s="11"/>
      <c r="K69" t="s">
        <v>4986</v>
      </c>
      <c r="L69" t="str">
        <f t="shared" si="0"/>
        <v>VARCHAR(16),</v>
      </c>
      <c r="N69" s="38" t="str">
        <f t="shared" si="1"/>
        <v>COMMENT ON COLUMN mars_product.opt_installment_sales_applicable_from IS 'opt品割賦販売適用from';</v>
      </c>
      <c r="R69" s="34" t="s">
        <v>4987</v>
      </c>
    </row>
    <row r="70" spans="1:18" ht="19.5" thickBot="1">
      <c r="A70" s="13"/>
      <c r="B70" s="13">
        <v>62</v>
      </c>
      <c r="C70" s="13" t="s">
        <v>4988</v>
      </c>
      <c r="D70" s="13" t="s">
        <v>89</v>
      </c>
      <c r="E70" s="13" t="s">
        <v>3805</v>
      </c>
      <c r="F70" s="14" t="s">
        <v>67</v>
      </c>
      <c r="G70" s="13"/>
      <c r="H70" s="8"/>
      <c r="I70" s="13"/>
      <c r="J70" s="13"/>
      <c r="K70" t="s">
        <v>4989</v>
      </c>
      <c r="L70" t="str">
        <f t="shared" si="0"/>
        <v>DECIMAL(10,0),</v>
      </c>
      <c r="N70" s="38" t="str">
        <f t="shared" si="1"/>
        <v>COMMENT ON COLUMN mars_product.sales_price IS '売価';</v>
      </c>
      <c r="R70" s="34" t="s">
        <v>4990</v>
      </c>
    </row>
    <row r="71" spans="1:18" ht="19.5" thickBot="1">
      <c r="A71" s="11"/>
      <c r="B71" s="11">
        <v>63</v>
      </c>
      <c r="C71" s="11" t="s">
        <v>4991</v>
      </c>
      <c r="D71" s="11" t="s">
        <v>66</v>
      </c>
      <c r="E71" s="11">
        <v>2</v>
      </c>
      <c r="F71" s="10" t="s">
        <v>67</v>
      </c>
      <c r="G71" s="11"/>
      <c r="H71" s="5"/>
      <c r="I71" s="11"/>
      <c r="J71" s="11"/>
      <c r="K71" t="s">
        <v>4992</v>
      </c>
      <c r="L71" t="str">
        <f t="shared" si="0"/>
        <v>VARCHAR(2),</v>
      </c>
      <c r="N71" s="38" t="str">
        <f t="shared" si="1"/>
        <v>COMMENT ON COLUMN mars_product.device_category IS '端末区分';</v>
      </c>
      <c r="R71" s="34" t="s">
        <v>4993</v>
      </c>
    </row>
    <row r="72" spans="1:18" ht="19.5" thickBot="1">
      <c r="A72" s="13"/>
      <c r="B72" s="13">
        <v>64</v>
      </c>
      <c r="C72" s="13" t="s">
        <v>4994</v>
      </c>
      <c r="D72" s="13" t="s">
        <v>66</v>
      </c>
      <c r="E72" s="13">
        <v>1200</v>
      </c>
      <c r="F72" s="14" t="s">
        <v>67</v>
      </c>
      <c r="G72" s="13"/>
      <c r="H72" s="8"/>
      <c r="I72" s="13"/>
      <c r="J72" s="13"/>
      <c r="K72" t="s">
        <v>4995</v>
      </c>
      <c r="L72" t="str">
        <f t="shared" si="0"/>
        <v>VARCHAR(1200),</v>
      </c>
      <c r="N72" s="38" t="str">
        <f t="shared" si="1"/>
        <v>COMMENT ON COLUMN mars_product.device_category_official_name IS '端末区分正式名称';</v>
      </c>
      <c r="R72" s="34" t="s">
        <v>4996</v>
      </c>
    </row>
    <row r="73" spans="1:18" ht="19.5" thickBot="1">
      <c r="A73" s="11"/>
      <c r="B73" s="11">
        <v>65</v>
      </c>
      <c r="C73" s="11" t="s">
        <v>4997</v>
      </c>
      <c r="D73" s="11" t="s">
        <v>66</v>
      </c>
      <c r="E73" s="11">
        <v>4</v>
      </c>
      <c r="F73" s="10" t="s">
        <v>67</v>
      </c>
      <c r="G73" s="11"/>
      <c r="H73" s="5"/>
      <c r="I73" s="11"/>
      <c r="J73" s="11"/>
      <c r="K73" t="s">
        <v>4998</v>
      </c>
      <c r="L73" t="str">
        <f t="shared" ref="L73:L106" si="2">D73&amp;"("&amp;E73&amp;"),"</f>
        <v>VARCHAR(4),</v>
      </c>
      <c r="N73" s="38" t="str">
        <f t="shared" si="1"/>
        <v>COMMENT ON COLUMN mars_product.major_category IS '大分類';</v>
      </c>
      <c r="R73" s="34" t="s">
        <v>4999</v>
      </c>
    </row>
    <row r="74" spans="1:18" ht="19.5" thickBot="1">
      <c r="A74" s="13"/>
      <c r="B74" s="13">
        <v>66</v>
      </c>
      <c r="C74" s="13" t="s">
        <v>5000</v>
      </c>
      <c r="D74" s="13" t="s">
        <v>66</v>
      </c>
      <c r="E74" s="13">
        <v>1200</v>
      </c>
      <c r="F74" s="14" t="s">
        <v>67</v>
      </c>
      <c r="G74" s="13"/>
      <c r="H74" s="8"/>
      <c r="I74" s="13"/>
      <c r="J74" s="13"/>
      <c r="K74" t="s">
        <v>5001</v>
      </c>
      <c r="L74" t="str">
        <f t="shared" si="2"/>
        <v>VARCHAR(1200),</v>
      </c>
      <c r="N74" s="38" t="str">
        <f t="shared" ref="N74:N106" si="3">"COMMENT ON COLUMN "&amp;$K$3&amp;"."&amp;$K74&amp;" IS '"&amp;C74&amp;"';"</f>
        <v>COMMENT ON COLUMN mars_product.major_category_official_name IS '大分類正式名称';</v>
      </c>
      <c r="R74" s="34" t="s">
        <v>5002</v>
      </c>
    </row>
    <row r="75" spans="1:18" ht="19.5" thickBot="1">
      <c r="A75" s="11"/>
      <c r="B75" s="11">
        <v>67</v>
      </c>
      <c r="C75" s="11" t="s">
        <v>5003</v>
      </c>
      <c r="D75" s="11" t="s">
        <v>66</v>
      </c>
      <c r="E75" s="11">
        <v>4</v>
      </c>
      <c r="F75" s="10" t="s">
        <v>67</v>
      </c>
      <c r="G75" s="11"/>
      <c r="H75" s="5"/>
      <c r="I75" s="11"/>
      <c r="J75" s="11"/>
      <c r="K75" t="s">
        <v>5004</v>
      </c>
      <c r="L75" t="str">
        <f t="shared" si="2"/>
        <v>VARCHAR(4),</v>
      </c>
      <c r="N75" s="38" t="str">
        <f t="shared" si="3"/>
        <v>COMMENT ON COLUMN mars_product.middle_category IS '中分類';</v>
      </c>
      <c r="R75" s="34" t="s">
        <v>5005</v>
      </c>
    </row>
    <row r="76" spans="1:18" ht="19.5" thickBot="1">
      <c r="A76" s="13"/>
      <c r="B76" s="13">
        <v>68</v>
      </c>
      <c r="C76" s="13" t="s">
        <v>5006</v>
      </c>
      <c r="D76" s="13" t="s">
        <v>66</v>
      </c>
      <c r="E76" s="13">
        <v>1200</v>
      </c>
      <c r="F76" s="14" t="s">
        <v>67</v>
      </c>
      <c r="G76" s="13"/>
      <c r="H76" s="8"/>
      <c r="I76" s="13"/>
      <c r="J76" s="13"/>
      <c r="K76" t="s">
        <v>5007</v>
      </c>
      <c r="L76" t="str">
        <f t="shared" si="2"/>
        <v>VARCHAR(1200),</v>
      </c>
      <c r="N76" s="38" t="str">
        <f t="shared" si="3"/>
        <v>COMMENT ON COLUMN mars_product.middle_category_official_name IS '中分類正式名称';</v>
      </c>
      <c r="R76" s="34" t="s">
        <v>5008</v>
      </c>
    </row>
    <row r="77" spans="1:18" ht="19.5" thickBot="1">
      <c r="A77" s="11"/>
      <c r="B77" s="11">
        <v>69</v>
      </c>
      <c r="C77" s="11" t="s">
        <v>5009</v>
      </c>
      <c r="D77" s="11" t="s">
        <v>66</v>
      </c>
      <c r="E77" s="11">
        <v>4</v>
      </c>
      <c r="F77" s="10" t="s">
        <v>67</v>
      </c>
      <c r="G77" s="11"/>
      <c r="H77" s="5"/>
      <c r="I77" s="11"/>
      <c r="J77" s="11"/>
      <c r="K77" t="s">
        <v>5010</v>
      </c>
      <c r="L77" t="str">
        <f t="shared" si="2"/>
        <v>VARCHAR(4),</v>
      </c>
      <c r="N77" s="38" t="str">
        <f t="shared" si="3"/>
        <v>COMMENT ON COLUMN mars_product.minor_category IS '小分類';</v>
      </c>
      <c r="R77" s="34" t="s">
        <v>5011</v>
      </c>
    </row>
    <row r="78" spans="1:18" ht="19.5" thickBot="1">
      <c r="A78" s="13"/>
      <c r="B78" s="13">
        <v>70</v>
      </c>
      <c r="C78" s="13" t="s">
        <v>5012</v>
      </c>
      <c r="D78" s="13" t="s">
        <v>66</v>
      </c>
      <c r="E78" s="13">
        <v>1200</v>
      </c>
      <c r="F78" s="14" t="s">
        <v>67</v>
      </c>
      <c r="G78" s="13"/>
      <c r="H78" s="8"/>
      <c r="I78" s="13"/>
      <c r="J78" s="13"/>
      <c r="K78" t="s">
        <v>5013</v>
      </c>
      <c r="L78" t="str">
        <f t="shared" si="2"/>
        <v>VARCHAR(1200),</v>
      </c>
      <c r="N78" s="38" t="str">
        <f t="shared" si="3"/>
        <v>COMMENT ON COLUMN mars_product.minor_category_official_name IS '小分類正式名称';</v>
      </c>
      <c r="R78" s="34" t="s">
        <v>5014</v>
      </c>
    </row>
    <row r="79" spans="1:18" ht="19.5" thickBot="1">
      <c r="A79" s="11"/>
      <c r="B79" s="11">
        <v>71</v>
      </c>
      <c r="C79" s="11" t="s">
        <v>5015</v>
      </c>
      <c r="D79" s="11" t="s">
        <v>66</v>
      </c>
      <c r="E79" s="11">
        <v>100</v>
      </c>
      <c r="F79" s="10" t="s">
        <v>67</v>
      </c>
      <c r="G79" s="11"/>
      <c r="H79" s="5"/>
      <c r="I79" s="11"/>
      <c r="J79" s="11"/>
      <c r="K79" t="s">
        <v>5016</v>
      </c>
      <c r="L79" t="str">
        <f t="shared" si="2"/>
        <v>VARCHAR(100),</v>
      </c>
      <c r="N79" s="38" t="str">
        <f t="shared" si="3"/>
        <v>COMMENT ON COLUMN mars_product.feature_flag IS '機能フラグ';</v>
      </c>
      <c r="R79" s="34" t="s">
        <v>5017</v>
      </c>
    </row>
    <row r="80" spans="1:18" ht="19.5" thickBot="1">
      <c r="A80" s="13"/>
      <c r="B80" s="13">
        <v>72</v>
      </c>
      <c r="C80" s="13" t="s">
        <v>5018</v>
      </c>
      <c r="D80" s="13" t="s">
        <v>66</v>
      </c>
      <c r="E80" s="13">
        <v>20</v>
      </c>
      <c r="F80" s="14" t="s">
        <v>67</v>
      </c>
      <c r="G80" s="13"/>
      <c r="H80" s="8"/>
      <c r="I80" s="13"/>
      <c r="J80" s="13"/>
      <c r="K80" t="s">
        <v>5019</v>
      </c>
      <c r="L80" t="str">
        <f t="shared" si="2"/>
        <v>VARCHAR(20),</v>
      </c>
      <c r="N80" s="38" t="str">
        <f t="shared" si="3"/>
        <v>COMMENT ON COLUMN mars_product.bundle_plan_identification_id IS 'バンドルプラン識別id';</v>
      </c>
      <c r="R80" s="34" t="s">
        <v>5020</v>
      </c>
    </row>
    <row r="81" spans="1:18" ht="19.5" thickBot="1">
      <c r="A81" s="11"/>
      <c r="B81" s="11">
        <v>73</v>
      </c>
      <c r="C81" s="11" t="s">
        <v>5021</v>
      </c>
      <c r="D81" s="11" t="s">
        <v>66</v>
      </c>
      <c r="E81" s="11">
        <v>1200</v>
      </c>
      <c r="F81" s="10" t="s">
        <v>67</v>
      </c>
      <c r="G81" s="11"/>
      <c r="H81" s="5"/>
      <c r="I81" s="11"/>
      <c r="J81" s="11"/>
      <c r="K81" t="s">
        <v>5022</v>
      </c>
      <c r="L81" t="str">
        <f t="shared" si="2"/>
        <v>VARCHAR(1200),</v>
      </c>
      <c r="N81" s="38" t="str">
        <f t="shared" si="3"/>
        <v>COMMENT ON COLUMN mars_product.bundle_plan_nm IS 'バンドルプランnm';</v>
      </c>
      <c r="R81" s="34" t="s">
        <v>5023</v>
      </c>
    </row>
    <row r="82" spans="1:18" ht="19.5" thickBot="1">
      <c r="A82" s="13"/>
      <c r="B82" s="13">
        <v>74</v>
      </c>
      <c r="C82" s="13" t="s">
        <v>5024</v>
      </c>
      <c r="D82" s="13" t="s">
        <v>89</v>
      </c>
      <c r="E82" s="13" t="s">
        <v>3805</v>
      </c>
      <c r="F82" s="14" t="s">
        <v>67</v>
      </c>
      <c r="G82" s="13"/>
      <c r="H82" s="8"/>
      <c r="I82" s="13"/>
      <c r="J82" s="13"/>
      <c r="K82" t="s">
        <v>5025</v>
      </c>
      <c r="L82" t="str">
        <f t="shared" si="2"/>
        <v>DECIMAL(10,0),</v>
      </c>
      <c r="N82" s="38" t="str">
        <f t="shared" si="3"/>
        <v>COMMENT ON COLUMN mars_product.charge_amount IS 'チャージ額';</v>
      </c>
      <c r="R82" s="34" t="s">
        <v>5026</v>
      </c>
    </row>
    <row r="83" spans="1:18" ht="19.5" thickBot="1">
      <c r="A83" s="11"/>
      <c r="B83" s="11">
        <v>75</v>
      </c>
      <c r="C83" s="11" t="s">
        <v>5027</v>
      </c>
      <c r="D83" s="11" t="s">
        <v>89</v>
      </c>
      <c r="E83" s="11" t="s">
        <v>3805</v>
      </c>
      <c r="F83" s="10" t="s">
        <v>67</v>
      </c>
      <c r="G83" s="11"/>
      <c r="H83" s="5"/>
      <c r="I83" s="11"/>
      <c r="J83" s="11"/>
      <c r="K83" t="s">
        <v>5028</v>
      </c>
      <c r="L83" t="str">
        <f t="shared" si="2"/>
        <v>DECIMAL(10,0),</v>
      </c>
      <c r="N83" s="38" t="str">
        <f t="shared" si="3"/>
        <v>COMMENT ON COLUMN mars_product.uni_universal_usage_fee IS 'ユニバーサル使用料';</v>
      </c>
      <c r="R83" s="34" t="s">
        <v>5029</v>
      </c>
    </row>
    <row r="84" spans="1:18" ht="19.5" thickBot="1">
      <c r="A84" s="13"/>
      <c r="B84" s="13">
        <v>76</v>
      </c>
      <c r="C84" s="13" t="s">
        <v>5030</v>
      </c>
      <c r="D84" s="13" t="s">
        <v>89</v>
      </c>
      <c r="E84" s="13" t="s">
        <v>3805</v>
      </c>
      <c r="F84" s="14" t="s">
        <v>67</v>
      </c>
      <c r="G84" s="13"/>
      <c r="H84" s="8"/>
      <c r="I84" s="13"/>
      <c r="J84" s="13"/>
      <c r="K84" t="s">
        <v>5031</v>
      </c>
      <c r="L84" t="str">
        <f t="shared" si="2"/>
        <v>DECIMAL(10,0),</v>
      </c>
      <c r="N84" s="38" t="str">
        <f t="shared" si="3"/>
        <v>COMMENT ON COLUMN mars_product.validity_period IS '利用有効期間';</v>
      </c>
      <c r="R84" s="34" t="s">
        <v>5032</v>
      </c>
    </row>
    <row r="85" spans="1:18" ht="19.5" thickBot="1">
      <c r="A85" s="11"/>
      <c r="B85" s="11">
        <v>77</v>
      </c>
      <c r="C85" s="11" t="s">
        <v>5033</v>
      </c>
      <c r="D85" s="11" t="s">
        <v>66</v>
      </c>
      <c r="E85" s="11">
        <v>30</v>
      </c>
      <c r="F85" s="10" t="s">
        <v>67</v>
      </c>
      <c r="G85" s="11"/>
      <c r="H85" s="5"/>
      <c r="I85" s="11"/>
      <c r="J85" s="11"/>
      <c r="K85" t="s">
        <v>5034</v>
      </c>
      <c r="L85" t="str">
        <f t="shared" si="2"/>
        <v>VARCHAR(30),</v>
      </c>
      <c r="N85" s="38" t="str">
        <f t="shared" si="3"/>
        <v>COMMENT ON COLUMN mars_product.logistics_product_code IS '物流商品コード';</v>
      </c>
      <c r="R85" s="34" t="s">
        <v>5035</v>
      </c>
    </row>
    <row r="86" spans="1:18" ht="19.5" thickBot="1">
      <c r="A86" s="13"/>
      <c r="B86" s="13">
        <v>78</v>
      </c>
      <c r="C86" s="13" t="s">
        <v>5036</v>
      </c>
      <c r="D86" s="13" t="s">
        <v>89</v>
      </c>
      <c r="E86" s="13" t="s">
        <v>3805</v>
      </c>
      <c r="F86" s="14" t="s">
        <v>67</v>
      </c>
      <c r="G86" s="13"/>
      <c r="H86" s="8"/>
      <c r="I86" s="13"/>
      <c r="J86" s="13"/>
      <c r="K86" t="s">
        <v>5037</v>
      </c>
      <c r="L86" t="str">
        <f t="shared" si="2"/>
        <v>DECIMAL(10,0),</v>
      </c>
      <c r="N86" s="38" t="str">
        <f t="shared" si="3"/>
        <v>COMMENT ON COLUMN mars_product.quantity_amount_classification IS '数量金額管理区分';</v>
      </c>
      <c r="R86" s="34" t="s">
        <v>5038</v>
      </c>
    </row>
    <row r="87" spans="1:18" ht="19.5" thickBot="1">
      <c r="A87" s="11"/>
      <c r="B87" s="11">
        <v>79</v>
      </c>
      <c r="C87" s="11" t="s">
        <v>5039</v>
      </c>
      <c r="D87" s="11" t="s">
        <v>89</v>
      </c>
      <c r="E87" s="11" t="s">
        <v>3805</v>
      </c>
      <c r="F87" s="10" t="s">
        <v>67</v>
      </c>
      <c r="G87" s="11"/>
      <c r="H87" s="5"/>
      <c r="I87" s="11"/>
      <c r="J87" s="11"/>
      <c r="K87" t="s">
        <v>5040</v>
      </c>
      <c r="L87" t="str">
        <f t="shared" si="2"/>
        <v>DECIMAL(10,0),</v>
      </c>
      <c r="N87" s="38" t="str">
        <f t="shared" si="3"/>
        <v>COMMENT ON COLUMN mars_product.product_tax_classification_code IS '商品税分類コード';</v>
      </c>
      <c r="R87" s="34" t="s">
        <v>5041</v>
      </c>
    </row>
    <row r="88" spans="1:18" ht="19.5" thickBot="1">
      <c r="A88" s="13"/>
      <c r="B88" s="13">
        <v>80</v>
      </c>
      <c r="C88" s="13" t="s">
        <v>5042</v>
      </c>
      <c r="D88" s="13" t="s">
        <v>66</v>
      </c>
      <c r="E88" s="13">
        <v>2</v>
      </c>
      <c r="F88" s="14" t="s">
        <v>67</v>
      </c>
      <c r="G88" s="13"/>
      <c r="H88" s="8"/>
      <c r="I88" s="13"/>
      <c r="J88" s="13"/>
      <c r="K88" t="s">
        <v>5043</v>
      </c>
      <c r="L88" t="str">
        <f t="shared" si="2"/>
        <v>VARCHAR(2),</v>
      </c>
      <c r="N88" s="38" t="str">
        <f t="shared" si="3"/>
        <v>COMMENT ON COLUMN mars_product.logistics_product_tax_classification IS '物流商品税分類';</v>
      </c>
      <c r="R88" s="34" t="s">
        <v>5044</v>
      </c>
    </row>
    <row r="89" spans="1:18" ht="19.5" thickBot="1">
      <c r="A89" s="11"/>
      <c r="B89" s="11">
        <v>81</v>
      </c>
      <c r="C89" s="11" t="s">
        <v>5045</v>
      </c>
      <c r="D89" s="11" t="s">
        <v>66</v>
      </c>
      <c r="E89" s="11">
        <v>40</v>
      </c>
      <c r="F89" s="10" t="s">
        <v>67</v>
      </c>
      <c r="G89" s="11"/>
      <c r="H89" s="5"/>
      <c r="I89" s="11"/>
      <c r="J89" s="11"/>
      <c r="K89" t="s">
        <v>5046</v>
      </c>
      <c r="L89" t="str">
        <f t="shared" si="2"/>
        <v>VARCHAR(40),</v>
      </c>
      <c r="N89" s="38" t="str">
        <f t="shared" si="3"/>
        <v>COMMENT ON COLUMN mars_product.logistics_base_unit_quantity IS '物流基本単位数量';</v>
      </c>
      <c r="R89" s="34" t="s">
        <v>5047</v>
      </c>
    </row>
    <row r="90" spans="1:18" ht="19.5" thickBot="1">
      <c r="A90" s="13"/>
      <c r="B90" s="13">
        <v>82</v>
      </c>
      <c r="C90" s="13" t="s">
        <v>5048</v>
      </c>
      <c r="D90" s="13" t="s">
        <v>89</v>
      </c>
      <c r="E90" s="13" t="s">
        <v>5049</v>
      </c>
      <c r="F90" s="14" t="s">
        <v>67</v>
      </c>
      <c r="G90" s="13"/>
      <c r="H90" s="8"/>
      <c r="I90" s="13"/>
      <c r="J90" s="13"/>
      <c r="K90" t="s">
        <v>5050</v>
      </c>
      <c r="L90" t="str">
        <f t="shared" si="2"/>
        <v>DECIMAL(13,3),</v>
      </c>
      <c r="N90" s="38" t="str">
        <f t="shared" si="3"/>
        <v>COMMENT ON COLUMN mars_product.standard_quantity IS '標準入数';</v>
      </c>
      <c r="R90" s="34" t="s">
        <v>5051</v>
      </c>
    </row>
    <row r="91" spans="1:18" ht="19.5" thickBot="1">
      <c r="A91" s="11"/>
      <c r="B91" s="11">
        <v>83</v>
      </c>
      <c r="C91" s="11" t="s">
        <v>5052</v>
      </c>
      <c r="D91" s="11" t="s">
        <v>89</v>
      </c>
      <c r="E91" s="11" t="s">
        <v>3805</v>
      </c>
      <c r="F91" s="10" t="s">
        <v>67</v>
      </c>
      <c r="G91" s="11"/>
      <c r="H91" s="5"/>
      <c r="I91" s="11"/>
      <c r="J91" s="11"/>
      <c r="K91" t="s">
        <v>5053</v>
      </c>
      <c r="L91" t="str">
        <f t="shared" si="2"/>
        <v>DECIMAL(10,0),</v>
      </c>
      <c r="N91" s="38" t="str">
        <f t="shared" si="3"/>
        <v>COMMENT ON COLUMN mars_product.shipping_quantity IS '出荷時入数';</v>
      </c>
      <c r="R91" s="34" t="s">
        <v>5054</v>
      </c>
    </row>
    <row r="92" spans="1:18" ht="19.5" thickBot="1">
      <c r="A92" s="13"/>
      <c r="B92" s="13">
        <v>84</v>
      </c>
      <c r="C92" s="13" t="s">
        <v>5055</v>
      </c>
      <c r="D92" s="13" t="s">
        <v>89</v>
      </c>
      <c r="E92" s="13" t="s">
        <v>3805</v>
      </c>
      <c r="F92" s="14" t="s">
        <v>67</v>
      </c>
      <c r="G92" s="13"/>
      <c r="H92" s="8"/>
      <c r="I92" s="13"/>
      <c r="J92" s="13"/>
      <c r="K92" t="s">
        <v>5056</v>
      </c>
      <c r="L92" t="str">
        <f t="shared" si="2"/>
        <v>DECIMAL(10,0),</v>
      </c>
      <c r="N92" s="38" t="str">
        <f t="shared" si="3"/>
        <v>COMMENT ON COLUMN mars_product.individual_box_size_length IS '個装箱サイズ_縦';</v>
      </c>
      <c r="R92" s="34" t="s">
        <v>5057</v>
      </c>
    </row>
    <row r="93" spans="1:18" ht="19.5" thickBot="1">
      <c r="A93" s="11"/>
      <c r="B93" s="11">
        <v>85</v>
      </c>
      <c r="C93" s="11" t="s">
        <v>5058</v>
      </c>
      <c r="D93" s="11" t="s">
        <v>89</v>
      </c>
      <c r="E93" s="11" t="s">
        <v>3805</v>
      </c>
      <c r="F93" s="10" t="s">
        <v>67</v>
      </c>
      <c r="G93" s="11"/>
      <c r="H93" s="5"/>
      <c r="I93" s="11"/>
      <c r="J93" s="11"/>
      <c r="K93" t="s">
        <v>5059</v>
      </c>
      <c r="L93" t="str">
        <f t="shared" si="2"/>
        <v>DECIMAL(10,0),</v>
      </c>
      <c r="N93" s="38" t="str">
        <f t="shared" si="3"/>
        <v>COMMENT ON COLUMN mars_product.individual_box_size_width IS '個装箱サイズ_横';</v>
      </c>
      <c r="R93" s="34" t="s">
        <v>5060</v>
      </c>
    </row>
    <row r="94" spans="1:18" ht="19.5" thickBot="1">
      <c r="A94" s="13"/>
      <c r="B94" s="13">
        <v>86</v>
      </c>
      <c r="C94" s="13" t="s">
        <v>5061</v>
      </c>
      <c r="D94" s="13" t="s">
        <v>89</v>
      </c>
      <c r="E94" s="13" t="s">
        <v>3805</v>
      </c>
      <c r="F94" s="14" t="s">
        <v>67</v>
      </c>
      <c r="G94" s="13"/>
      <c r="H94" s="8"/>
      <c r="I94" s="13"/>
      <c r="J94" s="13"/>
      <c r="K94" t="s">
        <v>5062</v>
      </c>
      <c r="L94" t="str">
        <f t="shared" si="2"/>
        <v>DECIMAL(10,0),</v>
      </c>
      <c r="N94" s="38" t="str">
        <f t="shared" si="3"/>
        <v>COMMENT ON COLUMN mars_product.individual_box_size_height IS '個装箱サイズ_高さ';</v>
      </c>
      <c r="R94" s="34" t="s">
        <v>5063</v>
      </c>
    </row>
    <row r="95" spans="1:18" ht="19.5" thickBot="1">
      <c r="A95" s="11"/>
      <c r="B95" s="11">
        <v>87</v>
      </c>
      <c r="C95" s="11" t="s">
        <v>5064</v>
      </c>
      <c r="D95" s="11" t="s">
        <v>89</v>
      </c>
      <c r="E95" s="11" t="s">
        <v>3805</v>
      </c>
      <c r="F95" s="10" t="s">
        <v>67</v>
      </c>
      <c r="G95" s="11"/>
      <c r="H95" s="5"/>
      <c r="I95" s="11"/>
      <c r="J95" s="11"/>
      <c r="K95" t="s">
        <v>5065</v>
      </c>
      <c r="L95" t="str">
        <f t="shared" si="2"/>
        <v>DECIMAL(10,0),</v>
      </c>
      <c r="N95" s="38" t="str">
        <f t="shared" si="3"/>
        <v>COMMENT ON COLUMN mars_product.paper_packaging_material_weight IS '梱包財_紙重量';</v>
      </c>
      <c r="R95" s="34" t="s">
        <v>5066</v>
      </c>
    </row>
    <row r="96" spans="1:18" ht="19.5" thickBot="1">
      <c r="A96" s="13"/>
      <c r="B96" s="13">
        <v>88</v>
      </c>
      <c r="C96" s="13" t="s">
        <v>5067</v>
      </c>
      <c r="D96" s="13" t="s">
        <v>89</v>
      </c>
      <c r="E96" s="13" t="s">
        <v>3805</v>
      </c>
      <c r="F96" s="14" t="s">
        <v>67</v>
      </c>
      <c r="G96" s="13"/>
      <c r="H96" s="8"/>
      <c r="I96" s="13"/>
      <c r="J96" s="13"/>
      <c r="K96" t="s">
        <v>5068</v>
      </c>
      <c r="L96" t="str">
        <f t="shared" si="2"/>
        <v>DECIMAL(10,0),</v>
      </c>
      <c r="N96" s="38" t="str">
        <f t="shared" si="3"/>
        <v>COMMENT ON COLUMN mars_product.plastic_packaging_material_weight IS '梱包財_プラ重量';</v>
      </c>
      <c r="R96" s="34" t="s">
        <v>5069</v>
      </c>
    </row>
    <row r="97" spans="1:18" ht="19.5" thickBot="1">
      <c r="A97" s="11"/>
      <c r="B97" s="11">
        <v>89</v>
      </c>
      <c r="C97" s="11" t="s">
        <v>5070</v>
      </c>
      <c r="D97" s="11" t="s">
        <v>89</v>
      </c>
      <c r="E97" s="11" t="s">
        <v>3805</v>
      </c>
      <c r="F97" s="10" t="s">
        <v>67</v>
      </c>
      <c r="G97" s="11"/>
      <c r="H97" s="5"/>
      <c r="I97" s="11"/>
      <c r="J97" s="11"/>
      <c r="K97" t="s">
        <v>5071</v>
      </c>
      <c r="L97" t="str">
        <f t="shared" si="2"/>
        <v>DECIMAL(10,0),</v>
      </c>
      <c r="N97" s="38" t="str">
        <f t="shared" si="3"/>
        <v>COMMENT ON COLUMN mars_product.product_weight IS '商品重量';</v>
      </c>
      <c r="R97" s="34" t="s">
        <v>5072</v>
      </c>
    </row>
    <row r="98" spans="1:18" ht="19.5" thickBot="1">
      <c r="A98" s="13"/>
      <c r="B98" s="13">
        <v>90</v>
      </c>
      <c r="C98" s="13" t="s">
        <v>5073</v>
      </c>
      <c r="D98" s="13" t="s">
        <v>89</v>
      </c>
      <c r="E98" s="13" t="s">
        <v>3805</v>
      </c>
      <c r="F98" s="14" t="s">
        <v>67</v>
      </c>
      <c r="G98" s="13"/>
      <c r="H98" s="8"/>
      <c r="I98" s="13"/>
      <c r="J98" s="13"/>
      <c r="K98" t="s">
        <v>5074</v>
      </c>
      <c r="L98" t="str">
        <f t="shared" si="2"/>
        <v>DECIMAL(10,0),</v>
      </c>
      <c r="N98" s="38" t="str">
        <f t="shared" si="3"/>
        <v>COMMENT ON COLUMN mars_product.number_of_pallets IS 'パレット積み付け数';</v>
      </c>
      <c r="R98" s="34" t="s">
        <v>5075</v>
      </c>
    </row>
    <row r="99" spans="1:18" ht="19.5" thickBot="1">
      <c r="A99" s="11"/>
      <c r="B99" s="11">
        <v>91</v>
      </c>
      <c r="C99" s="11" t="s">
        <v>5076</v>
      </c>
      <c r="D99" s="11" t="s">
        <v>89</v>
      </c>
      <c r="E99" s="11" t="s">
        <v>3805</v>
      </c>
      <c r="F99" s="10" t="s">
        <v>67</v>
      </c>
      <c r="G99" s="11"/>
      <c r="H99" s="5"/>
      <c r="I99" s="11"/>
      <c r="J99" s="11"/>
      <c r="K99" t="s">
        <v>5077</v>
      </c>
      <c r="L99" t="str">
        <f t="shared" si="2"/>
        <v>DECIMAL(10,0),</v>
      </c>
      <c r="N99" s="38" t="str">
        <f t="shared" si="3"/>
        <v>COMMENT ON COLUMN mars_product.packaging_specifications_etc IS '梱包仕様等';</v>
      </c>
      <c r="R99" s="34" t="s">
        <v>5078</v>
      </c>
    </row>
    <row r="100" spans="1:18" ht="19.5" thickBot="1">
      <c r="A100" s="13"/>
      <c r="B100" s="13">
        <v>92</v>
      </c>
      <c r="C100" s="13" t="s">
        <v>5079</v>
      </c>
      <c r="D100" s="13" t="s">
        <v>66</v>
      </c>
      <c r="E100" s="13">
        <v>6</v>
      </c>
      <c r="F100" s="14" t="s">
        <v>67</v>
      </c>
      <c r="G100" s="13"/>
      <c r="H100" s="8"/>
      <c r="I100" s="13"/>
      <c r="J100" s="13"/>
      <c r="K100" t="s">
        <v>5080</v>
      </c>
      <c r="L100" t="str">
        <f t="shared" si="2"/>
        <v>VARCHAR(6),</v>
      </c>
      <c r="N100" s="38" t="str">
        <f t="shared" si="3"/>
        <v>COMMENT ON COLUMN mars_product.mrp_administrator_code IS 'mrp管理者コード';</v>
      </c>
      <c r="R100" s="34" t="s">
        <v>5081</v>
      </c>
    </row>
    <row r="101" spans="1:18" ht="19.5" thickBot="1">
      <c r="A101" s="11"/>
      <c r="B101" s="11">
        <v>93</v>
      </c>
      <c r="C101" s="11" t="s">
        <v>5082</v>
      </c>
      <c r="D101" s="11" t="s">
        <v>66</v>
      </c>
      <c r="E101" s="11">
        <v>2</v>
      </c>
      <c r="F101" s="10" t="s">
        <v>67</v>
      </c>
      <c r="G101" s="11"/>
      <c r="H101" s="5"/>
      <c r="I101" s="11"/>
      <c r="J101" s="11"/>
      <c r="K101" t="s">
        <v>5083</v>
      </c>
      <c r="L101" t="str">
        <f t="shared" si="2"/>
        <v>VARCHAR(2),</v>
      </c>
      <c r="N101" s="38" t="str">
        <f t="shared" si="3"/>
        <v>COMMENT ON COLUMN mars_product.conversion_representative_flag IS '変換代表フラグ';</v>
      </c>
      <c r="R101" s="34" t="s">
        <v>5084</v>
      </c>
    </row>
    <row r="102" spans="1:18" ht="19.5" thickBot="1">
      <c r="A102" s="13"/>
      <c r="B102" s="13">
        <v>94</v>
      </c>
      <c r="C102" s="13" t="s">
        <v>5085</v>
      </c>
      <c r="D102" s="13" t="s">
        <v>66</v>
      </c>
      <c r="E102" s="13">
        <v>6</v>
      </c>
      <c r="F102" s="14" t="s">
        <v>67</v>
      </c>
      <c r="G102" s="13"/>
      <c r="H102" s="8"/>
      <c r="I102" s="13"/>
      <c r="J102" s="13"/>
      <c r="K102" t="s">
        <v>5086</v>
      </c>
      <c r="L102" t="str">
        <f t="shared" si="2"/>
        <v>VARCHAR(6),</v>
      </c>
      <c r="N102" s="38" t="str">
        <f t="shared" si="3"/>
        <v>COMMENT ON COLUMN mars_product.product_type_for_inspection_cd IS '検品用商品タイプcd';</v>
      </c>
      <c r="R102" s="34" t="s">
        <v>5087</v>
      </c>
    </row>
    <row r="103" spans="1:18" ht="19.5" thickBot="1">
      <c r="A103" s="11"/>
      <c r="B103" s="11">
        <v>95</v>
      </c>
      <c r="C103" s="11" t="s">
        <v>5088</v>
      </c>
      <c r="D103" s="11" t="s">
        <v>66</v>
      </c>
      <c r="E103" s="11">
        <v>1200</v>
      </c>
      <c r="F103" s="10" t="s">
        <v>67</v>
      </c>
      <c r="G103" s="11"/>
      <c r="H103" s="5"/>
      <c r="I103" s="11"/>
      <c r="J103" s="11"/>
      <c r="K103" t="s">
        <v>5089</v>
      </c>
      <c r="L103" t="str">
        <f t="shared" si="2"/>
        <v>VARCHAR(1200),</v>
      </c>
      <c r="N103" s="38" t="str">
        <f t="shared" si="3"/>
        <v>COMMENT ON COLUMN mars_product.product_type_for_inspection_nm IS '検品用商品タイプnm';</v>
      </c>
      <c r="R103" s="34" t="s">
        <v>5090</v>
      </c>
    </row>
    <row r="104" spans="1:18" ht="19.5" thickBot="1">
      <c r="A104" s="13"/>
      <c r="B104" s="13">
        <v>96</v>
      </c>
      <c r="C104" s="13" t="s">
        <v>5091</v>
      </c>
      <c r="D104" s="13" t="s">
        <v>89</v>
      </c>
      <c r="E104" s="13" t="s">
        <v>3805</v>
      </c>
      <c r="F104" s="14" t="s">
        <v>67</v>
      </c>
      <c r="G104" s="13"/>
      <c r="H104" s="8"/>
      <c r="I104" s="13"/>
      <c r="J104" s="13"/>
      <c r="K104" t="s">
        <v>5091</v>
      </c>
      <c r="L104" t="str">
        <f t="shared" si="2"/>
        <v>DECIMAL(10,0),</v>
      </c>
      <c r="N104" s="38" t="str">
        <f t="shared" si="3"/>
        <v>COMMENT ON COLUMN mars_product.model_id IS 'model_id';</v>
      </c>
      <c r="R104" s="34" t="s">
        <v>5092</v>
      </c>
    </row>
    <row r="105" spans="1:18" ht="19.5" thickBot="1">
      <c r="A105" s="11"/>
      <c r="B105" s="11">
        <v>97</v>
      </c>
      <c r="C105" s="11" t="s">
        <v>5093</v>
      </c>
      <c r="D105" s="11" t="s">
        <v>66</v>
      </c>
      <c r="E105" s="11">
        <v>4</v>
      </c>
      <c r="F105" s="10" t="s">
        <v>67</v>
      </c>
      <c r="G105" s="11"/>
      <c r="H105" s="5"/>
      <c r="I105" s="11"/>
      <c r="J105" s="11"/>
      <c r="K105" t="s">
        <v>5094</v>
      </c>
      <c r="L105" t="str">
        <f t="shared" si="2"/>
        <v>VARCHAR(4),</v>
      </c>
      <c r="N105" s="38" t="str">
        <f t="shared" si="3"/>
        <v>COMMENT ON COLUMN mars_product.imsi_type IS 'imsiタイプ';</v>
      </c>
      <c r="R105" s="34" t="s">
        <v>5095</v>
      </c>
    </row>
    <row r="106" spans="1:18" ht="19.5" thickBot="1">
      <c r="A106" s="13"/>
      <c r="B106" s="13">
        <v>98</v>
      </c>
      <c r="C106" s="13" t="s">
        <v>5096</v>
      </c>
      <c r="D106" s="13" t="s">
        <v>66</v>
      </c>
      <c r="E106" s="13">
        <v>1200</v>
      </c>
      <c r="F106" s="14" t="s">
        <v>67</v>
      </c>
      <c r="G106" s="13"/>
      <c r="H106" s="8"/>
      <c r="I106" s="13"/>
      <c r="J106" s="13"/>
      <c r="K106" t="s">
        <v>5097</v>
      </c>
      <c r="L106" t="str">
        <f t="shared" si="2"/>
        <v>VARCHAR(1200),</v>
      </c>
      <c r="N106" s="38" t="str">
        <f t="shared" si="3"/>
        <v>COMMENT ON COLUMN mars_product.imsi_type_official_name IS 'imsiタイプ正式名称';</v>
      </c>
      <c r="R106" s="34" t="s">
        <v>5098</v>
      </c>
    </row>
    <row r="107" spans="1:18">
      <c r="K107" t="str">
        <f>"CONSTRAINT pk_"&amp;K3&amp;" PRIMARY KEY (id));"</f>
        <v>CONSTRAINT pk_mars_product PRIMARY KEY (id));</v>
      </c>
      <c r="R107" s="33" t="s">
        <v>5099</v>
      </c>
    </row>
    <row r="108" spans="1:18">
      <c r="R108" s="33" t="s">
        <v>5100</v>
      </c>
    </row>
    <row r="109" spans="1:18">
      <c r="R109" s="33" t="s">
        <v>5101</v>
      </c>
    </row>
    <row r="110" spans="1:18">
      <c r="R110" s="33" t="s">
        <v>5102</v>
      </c>
    </row>
    <row r="111" spans="1:18">
      <c r="R111" s="33" t="s">
        <v>5103</v>
      </c>
    </row>
    <row r="112" spans="1:18">
      <c r="R112" s="33" t="s">
        <v>5104</v>
      </c>
    </row>
    <row r="113" spans="18:18">
      <c r="R113" s="33" t="s">
        <v>5105</v>
      </c>
    </row>
    <row r="114" spans="18:18">
      <c r="R114" s="33" t="s">
        <v>5106</v>
      </c>
    </row>
    <row r="115" spans="18:18">
      <c r="R115" s="33" t="s">
        <v>5107</v>
      </c>
    </row>
    <row r="116" spans="18:18">
      <c r="R116" s="33" t="s">
        <v>5108</v>
      </c>
    </row>
    <row r="117" spans="18:18">
      <c r="R117" s="33" t="s">
        <v>5109</v>
      </c>
    </row>
    <row r="118" spans="18:18">
      <c r="R118" s="33" t="s">
        <v>5110</v>
      </c>
    </row>
    <row r="119" spans="18:18">
      <c r="R119" s="33" t="s">
        <v>5111</v>
      </c>
    </row>
    <row r="120" spans="18:18">
      <c r="R120" s="33" t="s">
        <v>5112</v>
      </c>
    </row>
    <row r="121" spans="18:18">
      <c r="R121" s="33" t="s">
        <v>5113</v>
      </c>
    </row>
    <row r="122" spans="18:18">
      <c r="R122" s="33" t="s">
        <v>5114</v>
      </c>
    </row>
    <row r="123" spans="18:18">
      <c r="R123" s="33" t="s">
        <v>5115</v>
      </c>
    </row>
    <row r="124" spans="18:18">
      <c r="R124" s="33" t="s">
        <v>5116</v>
      </c>
    </row>
    <row r="125" spans="18:18">
      <c r="R125" s="33" t="s">
        <v>5117</v>
      </c>
    </row>
    <row r="126" spans="18:18">
      <c r="R126" s="33" t="s">
        <v>5118</v>
      </c>
    </row>
    <row r="127" spans="18:18">
      <c r="R127" s="33" t="s">
        <v>5119</v>
      </c>
    </row>
    <row r="128" spans="18:18">
      <c r="R128" s="33" t="s">
        <v>5120</v>
      </c>
    </row>
    <row r="129" spans="18:18">
      <c r="R129" s="33" t="s">
        <v>5121</v>
      </c>
    </row>
    <row r="130" spans="18:18">
      <c r="R130" s="33" t="s">
        <v>5122</v>
      </c>
    </row>
    <row r="131" spans="18:18">
      <c r="R131" s="33" t="s">
        <v>5123</v>
      </c>
    </row>
    <row r="132" spans="18:18">
      <c r="R132" s="33" t="s">
        <v>5124</v>
      </c>
    </row>
    <row r="133" spans="18:18">
      <c r="R133" s="33" t="s">
        <v>5125</v>
      </c>
    </row>
    <row r="134" spans="18:18">
      <c r="R134" s="33" t="s">
        <v>5126</v>
      </c>
    </row>
    <row r="135" spans="18:18">
      <c r="R135" s="33" t="s">
        <v>5127</v>
      </c>
    </row>
    <row r="136" spans="18:18">
      <c r="R136" s="33" t="s">
        <v>5128</v>
      </c>
    </row>
    <row r="137" spans="18:18">
      <c r="R137" s="33" t="s">
        <v>5129</v>
      </c>
    </row>
    <row r="138" spans="18:18">
      <c r="R138" s="33" t="s">
        <v>5130</v>
      </c>
    </row>
    <row r="139" spans="18:18">
      <c r="R139" s="33" t="s">
        <v>5131</v>
      </c>
    </row>
    <row r="140" spans="18:18">
      <c r="R140" s="33" t="s">
        <v>5132</v>
      </c>
    </row>
    <row r="141" spans="18:18">
      <c r="R141" s="33" t="s">
        <v>5133</v>
      </c>
    </row>
    <row r="142" spans="18:18">
      <c r="R142" s="33" t="s">
        <v>5134</v>
      </c>
    </row>
    <row r="143" spans="18:18">
      <c r="R143" s="33" t="s">
        <v>5135</v>
      </c>
    </row>
    <row r="144" spans="18:18">
      <c r="R144" s="33" t="s">
        <v>5136</v>
      </c>
    </row>
    <row r="145" spans="18:18">
      <c r="R145" s="33" t="s">
        <v>5137</v>
      </c>
    </row>
    <row r="146" spans="18:18">
      <c r="R146" s="33" t="s">
        <v>5138</v>
      </c>
    </row>
    <row r="147" spans="18:18">
      <c r="R147" s="33" t="s">
        <v>5139</v>
      </c>
    </row>
    <row r="148" spans="18:18">
      <c r="R148" s="33" t="s">
        <v>5140</v>
      </c>
    </row>
    <row r="149" spans="18:18">
      <c r="R149" s="33" t="s">
        <v>5141</v>
      </c>
    </row>
    <row r="150" spans="18:18">
      <c r="R150" s="33" t="s">
        <v>5142</v>
      </c>
    </row>
    <row r="151" spans="18:18">
      <c r="R151" s="33" t="s">
        <v>5143</v>
      </c>
    </row>
    <row r="152" spans="18:18">
      <c r="R152" s="33" t="s">
        <v>5144</v>
      </c>
    </row>
    <row r="153" spans="18:18">
      <c r="R153" s="33" t="s">
        <v>5145</v>
      </c>
    </row>
    <row r="154" spans="18:18">
      <c r="R154" s="33" t="s">
        <v>5146</v>
      </c>
    </row>
    <row r="155" spans="18:18">
      <c r="R155" s="33" t="s">
        <v>5147</v>
      </c>
    </row>
    <row r="156" spans="18:18">
      <c r="R156" s="33" t="s">
        <v>5148</v>
      </c>
    </row>
    <row r="157" spans="18:18">
      <c r="R157" s="33" t="s">
        <v>5149</v>
      </c>
    </row>
    <row r="158" spans="18:18">
      <c r="R158" s="33" t="s">
        <v>5150</v>
      </c>
    </row>
    <row r="159" spans="18:18">
      <c r="R159" s="33" t="s">
        <v>5151</v>
      </c>
    </row>
    <row r="160" spans="18:18">
      <c r="R160" s="33" t="s">
        <v>5152</v>
      </c>
    </row>
    <row r="161" spans="18:18">
      <c r="R161" s="33" t="s">
        <v>5153</v>
      </c>
    </row>
    <row r="162" spans="18:18">
      <c r="R162" s="33" t="s">
        <v>5154</v>
      </c>
    </row>
    <row r="163" spans="18:18">
      <c r="R163" s="33" t="s">
        <v>5155</v>
      </c>
    </row>
    <row r="164" spans="18:18">
      <c r="R164" s="33" t="s">
        <v>5156</v>
      </c>
    </row>
    <row r="165" spans="18:18">
      <c r="R165" s="33" t="s">
        <v>5157</v>
      </c>
    </row>
    <row r="166" spans="18:18">
      <c r="R166" s="33" t="s">
        <v>5158</v>
      </c>
    </row>
    <row r="167" spans="18:18">
      <c r="R167" s="33" t="s">
        <v>5159</v>
      </c>
    </row>
    <row r="168" spans="18:18">
      <c r="R168" s="33" t="s">
        <v>5160</v>
      </c>
    </row>
    <row r="169" spans="18:18">
      <c r="R169" s="33" t="s">
        <v>5161</v>
      </c>
    </row>
    <row r="170" spans="18:18">
      <c r="R170" s="33" t="s">
        <v>5162</v>
      </c>
    </row>
    <row r="171" spans="18:18">
      <c r="R171" s="33" t="s">
        <v>5163</v>
      </c>
    </row>
    <row r="172" spans="18:18">
      <c r="R172" s="33" t="s">
        <v>5164</v>
      </c>
    </row>
    <row r="173" spans="18:18">
      <c r="R173" s="33" t="s">
        <v>5165</v>
      </c>
    </row>
    <row r="174" spans="18:18">
      <c r="R174" s="33" t="s">
        <v>5166</v>
      </c>
    </row>
    <row r="175" spans="18:18">
      <c r="R175" s="33" t="s">
        <v>5167</v>
      </c>
    </row>
    <row r="176" spans="18:18">
      <c r="R176" s="33" t="s">
        <v>5168</v>
      </c>
    </row>
    <row r="177" spans="18:18">
      <c r="R177" s="33" t="s">
        <v>5169</v>
      </c>
    </row>
    <row r="178" spans="18:18">
      <c r="R178" s="33" t="s">
        <v>5170</v>
      </c>
    </row>
    <row r="179" spans="18:18">
      <c r="R179" s="33" t="s">
        <v>5171</v>
      </c>
    </row>
    <row r="180" spans="18:18">
      <c r="R180" s="33" t="s">
        <v>5172</v>
      </c>
    </row>
    <row r="181" spans="18:18">
      <c r="R181" s="33" t="s">
        <v>5173</v>
      </c>
    </row>
    <row r="182" spans="18:18">
      <c r="R182" s="33" t="s">
        <v>5174</v>
      </c>
    </row>
    <row r="183" spans="18:18">
      <c r="R183" s="33" t="s">
        <v>5175</v>
      </c>
    </row>
    <row r="184" spans="18:18">
      <c r="R184" s="33" t="s">
        <v>5176</v>
      </c>
    </row>
    <row r="185" spans="18:18">
      <c r="R185" s="33" t="s">
        <v>5177</v>
      </c>
    </row>
    <row r="186" spans="18:18">
      <c r="R186" s="33" t="s">
        <v>5178</v>
      </c>
    </row>
    <row r="187" spans="18:18">
      <c r="R187" s="33" t="s">
        <v>5179</v>
      </c>
    </row>
    <row r="188" spans="18:18">
      <c r="R188" s="33" t="s">
        <v>5180</v>
      </c>
    </row>
    <row r="189" spans="18:18">
      <c r="R189" s="33" t="s">
        <v>5181</v>
      </c>
    </row>
    <row r="190" spans="18:18">
      <c r="R190" s="33" t="s">
        <v>5182</v>
      </c>
    </row>
    <row r="191" spans="18:18">
      <c r="R191" s="33" t="s">
        <v>5183</v>
      </c>
    </row>
    <row r="192" spans="18:18">
      <c r="R192" s="33" t="s">
        <v>5184</v>
      </c>
    </row>
    <row r="193" spans="18:18">
      <c r="R193" s="33" t="s">
        <v>5185</v>
      </c>
    </row>
    <row r="194" spans="18:18">
      <c r="R194" s="33" t="s">
        <v>5186</v>
      </c>
    </row>
    <row r="195" spans="18:18">
      <c r="R195" s="33" t="s">
        <v>5187</v>
      </c>
    </row>
    <row r="196" spans="18:18">
      <c r="R196" s="33" t="s">
        <v>5188</v>
      </c>
    </row>
    <row r="197" spans="18:18">
      <c r="R197" s="33" t="s">
        <v>5189</v>
      </c>
    </row>
    <row r="198" spans="18:18">
      <c r="R198" s="33" t="s">
        <v>5190</v>
      </c>
    </row>
    <row r="199" spans="18:18">
      <c r="R199" s="33" t="s">
        <v>5191</v>
      </c>
    </row>
    <row r="200" spans="18:18">
      <c r="R200" s="33" t="s">
        <v>5192</v>
      </c>
    </row>
    <row r="201" spans="18:18">
      <c r="R201" s="33" t="s">
        <v>5193</v>
      </c>
    </row>
    <row r="202" spans="18:18">
      <c r="R202" s="33" t="s">
        <v>5194</v>
      </c>
    </row>
    <row r="203" spans="18:18">
      <c r="R203" s="33" t="s">
        <v>5195</v>
      </c>
    </row>
    <row r="204" spans="18:18">
      <c r="R204" s="33" t="s">
        <v>5196</v>
      </c>
    </row>
    <row r="205" spans="18:18">
      <c r="R205" s="33" t="s">
        <v>5197</v>
      </c>
    </row>
    <row r="206" spans="18:18">
      <c r="R206" s="33" t="s">
        <v>5198</v>
      </c>
    </row>
    <row r="207" spans="18:18">
      <c r="R207" s="33" t="s">
        <v>5199</v>
      </c>
    </row>
  </sheetData>
  <mergeCells count="2">
    <mergeCell ref="F4:J4"/>
    <mergeCell ref="F5:J5"/>
  </mergeCells>
  <phoneticPr fontId="2"/>
  <hyperlinks>
    <hyperlink ref="H9" r:id="rId1" display="https://tools.l2.dwh.sb-sys.info/userhelp/data/komoku" xr:uid="{6ADE07DF-CE01-446C-8AE9-F5A91300A620}"/>
    <hyperlink ref="H10" r:id="rId2" display="https://tools.l2.dwh.sb-sys.info/userhelp/data/komoku" xr:uid="{0C0B5B01-042F-4F3B-BB8E-255E2994B839}"/>
    <hyperlink ref="H11" r:id="rId3" display="https://tools.l2.dwh.sb-sys.info/userhelp/data/komoku" xr:uid="{6DA1E6B1-0C98-4F76-9220-6B76A012F520}"/>
    <hyperlink ref="H12" r:id="rId4" display="https://tools.l2.dwh.sb-sys.info/userhelp/data/komoku" xr:uid="{DE945F1F-E10F-43A2-919E-93F079A7AB76}"/>
    <hyperlink ref="H13" r:id="rId5" display="https://tools.l2.dwh.sb-sys.info/userhelp/data/komoku" xr:uid="{317BC767-76E4-41EF-8CCB-925254E8A763}"/>
    <hyperlink ref="H14" r:id="rId6" display="https://tools.l2.dwh.sb-sys.info/userhelp/data/komoku" xr:uid="{946B1428-D5B2-4B85-9284-3CEA43F8074F}"/>
    <hyperlink ref="H15" r:id="rId7" display="https://tools.l2.dwh.sb-sys.info/userhelp/data/komoku" xr:uid="{B5CA7F23-B6DC-4FEB-8A16-0E980A589218}"/>
    <hyperlink ref="H16" r:id="rId8" display="https://tools.l2.dwh.sb-sys.info/userhelp/data/komoku" xr:uid="{D7EEEEED-6369-40E6-8B3C-618D3C5612E1}"/>
    <hyperlink ref="H17" r:id="rId9" display="https://tools.l2.dwh.sb-sys.info/userhelp/data/komoku" xr:uid="{1A0B405B-E89B-49D4-ACD7-BCBB62FFC17D}"/>
    <hyperlink ref="H18" r:id="rId10" display="https://tools.l2.dwh.sb-sys.info/userhelp/data/komoku" xr:uid="{FA74015B-8283-4214-8CA0-5946B339DEC3}"/>
    <hyperlink ref="H19" r:id="rId11" display="https://tools.l2.dwh.sb-sys.info/userhelp/data/komoku" xr:uid="{84490308-AA45-42C1-8ED7-FE6491798DA5}"/>
    <hyperlink ref="H20" r:id="rId12" display="https://tools.l2.dwh.sb-sys.info/userhelp/data/komoku" xr:uid="{CF53FF6D-2901-4687-B634-030842E3D6A2}"/>
    <hyperlink ref="H21" r:id="rId13" display="https://tools.l2.dwh.sb-sys.info/userhelp/data/komoku" xr:uid="{544931E0-5D68-40EB-830A-8FC0D56AD388}"/>
    <hyperlink ref="H22" r:id="rId14" display="https://tools.l2.dwh.sb-sys.info/userhelp/data/komoku" xr:uid="{D5EBA8B4-B69B-4B42-BB66-9959826788BD}"/>
    <hyperlink ref="H23" r:id="rId15" display="https://tools.l2.dwh.sb-sys.info/userhelp/data/komoku" xr:uid="{4464FC1D-1890-425C-9AB0-B03DECC4FD91}"/>
    <hyperlink ref="H24" r:id="rId16" display="https://tools.l2.dwh.sb-sys.info/userhelp/data/komoku" xr:uid="{1C6A3D4F-30BF-4D60-91DC-3DD0061330E7}"/>
    <hyperlink ref="H25" r:id="rId17" display="https://tools.l2.dwh.sb-sys.info/userhelp/data/komoku" xr:uid="{2731D22F-8432-4E32-BE3B-BCE54B691CBC}"/>
    <hyperlink ref="H26" r:id="rId18" display="https://tools.l2.dwh.sb-sys.info/userhelp/data/komoku" xr:uid="{A1E73AD9-AA17-45AB-8705-B65D7F25CF28}"/>
    <hyperlink ref="H27" r:id="rId19" display="https://tools.l2.dwh.sb-sys.info/userhelp/data/komoku" xr:uid="{AD2A970B-1ECC-46EF-A147-4E7F801C3CD5}"/>
    <hyperlink ref="H28" r:id="rId20" display="https://tools.l2.dwh.sb-sys.info/userhelp/data/komoku" xr:uid="{7380DE4B-7C56-4178-832A-12F060E020EC}"/>
    <hyperlink ref="H29" r:id="rId21" display="https://tools.l2.dwh.sb-sys.info/userhelp/data/komoku" xr:uid="{F10F0821-F511-4CD3-AF49-A700E126B2E5}"/>
    <hyperlink ref="H30" r:id="rId22" display="https://tools.l2.dwh.sb-sys.info/userhelp/data/komoku" xr:uid="{ADAA4843-03B1-42FD-964B-018EFEC3C8F1}"/>
    <hyperlink ref="H31" r:id="rId23" display="https://tools.l2.dwh.sb-sys.info/userhelp/data/komoku" xr:uid="{72F8ECB9-B0AF-4A0E-902F-B0CF37C89A6C}"/>
    <hyperlink ref="H32" r:id="rId24" display="https://tools.l2.dwh.sb-sys.info/userhelp/data/komoku" xr:uid="{FD67B7C9-4A5D-49EC-AE30-5F00C8EC4F08}"/>
    <hyperlink ref="H33" r:id="rId25" display="https://tools.l2.dwh.sb-sys.info/userhelp/data/komoku" xr:uid="{2691F138-11EA-4675-9AAA-24BD0646E28D}"/>
    <hyperlink ref="H34" r:id="rId26" display="https://tools.l2.dwh.sb-sys.info/userhelp/data/komoku" xr:uid="{8452E284-EA26-4BBD-8373-85842B19281B}"/>
    <hyperlink ref="H35" r:id="rId27" display="https://tools.l2.dwh.sb-sys.info/userhelp/data/komoku" xr:uid="{3B48809F-D08C-4186-8412-460EFC416E80}"/>
    <hyperlink ref="H36" r:id="rId28" display="https://tools.l2.dwh.sb-sys.info/userhelp/data/komoku" xr:uid="{804FE818-F513-41EB-91C5-46C235D322F6}"/>
    <hyperlink ref="H37" r:id="rId29" display="https://tools.l2.dwh.sb-sys.info/userhelp/data/komoku" xr:uid="{76EA1CFF-2545-41E5-B905-878530738FAE}"/>
    <hyperlink ref="H38" r:id="rId30" display="https://tools.l2.dwh.sb-sys.info/userhelp/data/komoku" xr:uid="{0E26A01B-124A-43E5-A463-28E1973F2B14}"/>
    <hyperlink ref="H39" r:id="rId31" display="https://tools.l2.dwh.sb-sys.info/userhelp/data/komoku" xr:uid="{DA8AC3D0-ADFB-47ED-9820-E4A938696BD2}"/>
    <hyperlink ref="H40" r:id="rId32" display="https://tools.l2.dwh.sb-sys.info/userhelp/data/komoku" xr:uid="{106451C5-8129-42CC-9DAB-1F9902CE4544}"/>
    <hyperlink ref="H41" r:id="rId33" display="https://tools.l2.dwh.sb-sys.info/userhelp/data/komoku" xr:uid="{529C01B0-D81A-4FD9-859F-E0D828A94E48}"/>
    <hyperlink ref="H42" r:id="rId34" display="https://tools.l2.dwh.sb-sys.info/userhelp/data/komoku" xr:uid="{DAA55595-6217-4E0D-99FB-88D6156EB721}"/>
    <hyperlink ref="H43" r:id="rId35" display="https://tools.l2.dwh.sb-sys.info/userhelp/data/komoku" xr:uid="{D5841387-8360-4BD9-B5D4-66155CDA4AFA}"/>
    <hyperlink ref="H44" r:id="rId36" display="https://tools.l2.dwh.sb-sys.info/userhelp/data/komoku" xr:uid="{9C9DBE84-3CA7-4C81-A464-0080885C3334}"/>
    <hyperlink ref="H45" r:id="rId37" display="https://tools.l2.dwh.sb-sys.info/userhelp/data/komoku" xr:uid="{405FB247-5DF9-4708-9DCA-44DC4FCDFC58}"/>
    <hyperlink ref="H46" r:id="rId38" display="https://tools.l2.dwh.sb-sys.info/userhelp/data/komoku" xr:uid="{BCA81ACF-A87F-4C15-A0EC-8A4219BEC6B0}"/>
    <hyperlink ref="H47" r:id="rId39" display="https://tools.l2.dwh.sb-sys.info/userhelp/data/komoku" xr:uid="{C599AA71-AD6A-450F-8EFD-3DB555E08C84}"/>
    <hyperlink ref="H48" r:id="rId40" display="https://tools.l2.dwh.sb-sys.info/userhelp/data/komoku" xr:uid="{317DCC93-C2BC-4D3E-9B91-0291B12F58D4}"/>
    <hyperlink ref="H49" r:id="rId41" display="https://tools.l2.dwh.sb-sys.info/userhelp/data/komoku" xr:uid="{FBCF2AFF-399C-4C41-B6C6-41F68CE6139D}"/>
    <hyperlink ref="H50" r:id="rId42" display="https://tools.l2.dwh.sb-sys.info/userhelp/data/komoku" xr:uid="{AD32F598-2AF6-41CC-9713-56A2C232B314}"/>
    <hyperlink ref="H51" r:id="rId43" display="https://tools.l2.dwh.sb-sys.info/userhelp/data/komoku" xr:uid="{03A84BE2-6211-4336-B432-41375763CD8B}"/>
    <hyperlink ref="H52" r:id="rId44" display="https://tools.l2.dwh.sb-sys.info/userhelp/data/komoku" xr:uid="{7338233A-A3E7-4E87-9E83-B5509C93A2A9}"/>
    <hyperlink ref="H53" r:id="rId45" display="https://tools.l2.dwh.sb-sys.info/userhelp/data/komoku" xr:uid="{8A4A4797-153B-41CA-9B2F-B986CE10C7FB}"/>
    <hyperlink ref="H54" r:id="rId46" display="https://tools.l2.dwh.sb-sys.info/userhelp/data/komoku" xr:uid="{1CE2DD0D-6651-4319-A197-EAB70AFAEEA9}"/>
    <hyperlink ref="H55" r:id="rId47" display="https://tools.l2.dwh.sb-sys.info/userhelp/data/komoku" xr:uid="{D1AA7C45-8F11-4114-85C5-57DC5FD71A6E}"/>
    <hyperlink ref="H56" r:id="rId48" display="https://tools.l2.dwh.sb-sys.info/userhelp/data/komoku" xr:uid="{D9DBAB4A-FB9A-49C9-B615-346182FB276E}"/>
    <hyperlink ref="H57" r:id="rId49" display="https://tools.l2.dwh.sb-sys.info/userhelp/data/komoku" xr:uid="{7A3FA7A0-0214-417A-B9F5-627A1B64C62B}"/>
    <hyperlink ref="H58" r:id="rId50" display="https://tools.l2.dwh.sb-sys.info/userhelp/data/komoku" xr:uid="{0A21C90F-36CB-443E-A3E2-6E8BA8A0F571}"/>
    <hyperlink ref="H59" r:id="rId51" display="https://tools.l2.dwh.sb-sys.info/userhelp/data/komoku" xr:uid="{D91E8F58-2714-4C72-9764-6064D987AAA6}"/>
    <hyperlink ref="H60" r:id="rId52" display="https://tools.l2.dwh.sb-sys.info/userhelp/data/komoku" xr:uid="{2AB4F4DD-6C71-4E6C-900B-7AE75237B6A5}"/>
    <hyperlink ref="H61" r:id="rId53" display="https://tools.l2.dwh.sb-sys.info/userhelp/data/komoku" xr:uid="{65D3D983-2820-4AAA-B68C-97C9226953C5}"/>
    <hyperlink ref="H62" r:id="rId54" display="https://tools.l2.dwh.sb-sys.info/userhelp/data/komoku" xr:uid="{219A0A51-19A2-452A-A01D-E940B0602629}"/>
    <hyperlink ref="H63" r:id="rId55" display="https://tools.l2.dwh.sb-sys.info/userhelp/data/komoku" xr:uid="{AB9C7D18-EF99-4F71-AE2C-9CAFB80B7D0D}"/>
    <hyperlink ref="H64" r:id="rId56" display="https://tools.l2.dwh.sb-sys.info/userhelp/data/komoku" xr:uid="{B487C536-1348-4902-B0B3-9A2C9ABB0E3E}"/>
    <hyperlink ref="H65" r:id="rId57" display="https://tools.l2.dwh.sb-sys.info/userhelp/data/komoku" xr:uid="{236F8EE9-EAD5-44A5-B89C-489D4BBD9ECD}"/>
    <hyperlink ref="H66" r:id="rId58" display="https://tools.l2.dwh.sb-sys.info/userhelp/data/komoku" xr:uid="{6D6ED0D3-D77E-45A4-932F-47F482F6E068}"/>
    <hyperlink ref="H67" r:id="rId59" display="https://tools.l2.dwh.sb-sys.info/userhelp/data/komoku" xr:uid="{E42B752F-C218-44E6-86C5-DAB71B9E7368}"/>
    <hyperlink ref="H68" r:id="rId60" display="https://tools.l2.dwh.sb-sys.info/userhelp/data/komoku" xr:uid="{44C8364C-9B11-4415-A907-CD6E35B32F3A}"/>
    <hyperlink ref="H69" r:id="rId61" display="https://tools.l2.dwh.sb-sys.info/userhelp/data/komoku" xr:uid="{FDEDDE07-9D8E-4074-8BD8-019C1538935B}"/>
    <hyperlink ref="H70" r:id="rId62" display="https://tools.l2.dwh.sb-sys.info/userhelp/data/komoku" xr:uid="{88EC3D74-C189-4C74-9661-54B229CB152A}"/>
    <hyperlink ref="H71" r:id="rId63" display="https://tools.l2.dwh.sb-sys.info/userhelp/data/komoku" xr:uid="{681032AE-8B0B-46C3-94A0-6AE93B044245}"/>
    <hyperlink ref="H72" r:id="rId64" display="https://tools.l2.dwh.sb-sys.info/userhelp/data/komoku" xr:uid="{6B4677B5-2541-475D-9460-FE9EEA9930AA}"/>
    <hyperlink ref="H73" r:id="rId65" display="https://tools.l2.dwh.sb-sys.info/userhelp/data/komoku" xr:uid="{5A81D7A5-4569-4B43-B688-9F360CABB27B}"/>
    <hyperlink ref="H74" r:id="rId66" display="https://tools.l2.dwh.sb-sys.info/userhelp/data/komoku" xr:uid="{1744A050-AD27-411E-A92E-D10547425453}"/>
    <hyperlink ref="H75" r:id="rId67" display="https://tools.l2.dwh.sb-sys.info/userhelp/data/komoku" xr:uid="{33131FA6-3D31-489D-87F9-7496614A1C44}"/>
    <hyperlink ref="H76" r:id="rId68" display="https://tools.l2.dwh.sb-sys.info/userhelp/data/komoku" xr:uid="{671F1168-1A3F-45FE-83C4-E9B4A745EEF7}"/>
    <hyperlink ref="H77" r:id="rId69" display="https://tools.l2.dwh.sb-sys.info/userhelp/data/komoku" xr:uid="{8F1CC299-D50C-4ACD-AB3B-322CF4117B79}"/>
    <hyperlink ref="H78" r:id="rId70" display="https://tools.l2.dwh.sb-sys.info/userhelp/data/komoku" xr:uid="{8F16C78E-8DF9-47E9-BE25-3661ABF26139}"/>
    <hyperlink ref="H79" r:id="rId71" display="https://tools.l2.dwh.sb-sys.info/userhelp/data/komoku" xr:uid="{EE6B0580-8A4D-4717-8D6E-658200D829F3}"/>
    <hyperlink ref="H80" r:id="rId72" display="https://tools.l2.dwh.sb-sys.info/userhelp/data/komoku" xr:uid="{2FEF1519-CC15-45B3-9FD3-835EB1F6405E}"/>
    <hyperlink ref="H81" r:id="rId73" display="https://tools.l2.dwh.sb-sys.info/userhelp/data/komoku" xr:uid="{593CC47B-C4BE-4B1A-8E93-DF2F210876A9}"/>
    <hyperlink ref="H82" r:id="rId74" display="https://tools.l2.dwh.sb-sys.info/userhelp/data/komoku" xr:uid="{118F538A-AAA2-4CBA-B926-2B60E1249E1B}"/>
    <hyperlink ref="H83" r:id="rId75" display="https://tools.l2.dwh.sb-sys.info/userhelp/data/komoku" xr:uid="{7E52F58E-A16B-4D40-8A37-DEDB62A2B3F1}"/>
    <hyperlink ref="H84" r:id="rId76" display="https://tools.l2.dwh.sb-sys.info/userhelp/data/komoku" xr:uid="{93B2B8DC-FDBF-416F-A546-116A681CE2BD}"/>
    <hyperlink ref="H85" r:id="rId77" display="https://tools.l2.dwh.sb-sys.info/userhelp/data/komoku" xr:uid="{F0EF1BB2-4941-472B-8690-16D165A2B192}"/>
    <hyperlink ref="H86" r:id="rId78" display="https://tools.l2.dwh.sb-sys.info/userhelp/data/komoku" xr:uid="{811C9E4A-D348-4844-930E-554CCFE835C8}"/>
    <hyperlink ref="H87" r:id="rId79" display="https://tools.l2.dwh.sb-sys.info/userhelp/data/komoku" xr:uid="{47206922-7F05-4631-8623-A5C67AE54E77}"/>
    <hyperlink ref="H88" r:id="rId80" display="https://tools.l2.dwh.sb-sys.info/userhelp/data/komoku" xr:uid="{F8F8EFED-9CC3-4F74-995A-7AAE28CFF0F9}"/>
    <hyperlink ref="H89" r:id="rId81" display="https://tools.l2.dwh.sb-sys.info/userhelp/data/komoku" xr:uid="{C3A7496A-4A62-4BCA-A196-DC657FFFE3B4}"/>
    <hyperlink ref="H90" r:id="rId82" display="https://tools.l2.dwh.sb-sys.info/userhelp/data/komoku" xr:uid="{920C9942-48E3-43CC-A511-C72098E58778}"/>
    <hyperlink ref="H91" r:id="rId83" display="https://tools.l2.dwh.sb-sys.info/userhelp/data/komoku" xr:uid="{77DCAE69-852C-46E5-B0B9-B4759D9D812B}"/>
    <hyperlink ref="H92" r:id="rId84" display="https://tools.l2.dwh.sb-sys.info/userhelp/data/komoku" xr:uid="{0FF9073A-21F6-4C4B-A555-738899E51E0F}"/>
    <hyperlink ref="H93" r:id="rId85" display="https://tools.l2.dwh.sb-sys.info/userhelp/data/komoku" xr:uid="{B7CE2706-F6B5-4E07-9F51-BF2812FC12B0}"/>
    <hyperlink ref="H94" r:id="rId86" display="https://tools.l2.dwh.sb-sys.info/userhelp/data/komoku" xr:uid="{82E6CEED-23B8-4297-BE63-754A5AD179E2}"/>
    <hyperlink ref="H95" r:id="rId87" display="https://tools.l2.dwh.sb-sys.info/userhelp/data/komoku" xr:uid="{6A0F8F96-0A2B-4C5C-8B98-F15B85A4B56C}"/>
    <hyperlink ref="H96" r:id="rId88" display="https://tools.l2.dwh.sb-sys.info/userhelp/data/komoku" xr:uid="{D9A0BB7F-F45F-4535-8A06-1686B6F442C1}"/>
    <hyperlink ref="H97" r:id="rId89" display="https://tools.l2.dwh.sb-sys.info/userhelp/data/komoku" xr:uid="{7EAAAB82-F95B-4479-A19C-92CA9AF99008}"/>
    <hyperlink ref="H98" r:id="rId90" display="https://tools.l2.dwh.sb-sys.info/userhelp/data/komoku" xr:uid="{19604053-DE86-4F39-886F-18E42C6339B3}"/>
    <hyperlink ref="H99" r:id="rId91" display="https://tools.l2.dwh.sb-sys.info/userhelp/data/komoku" xr:uid="{BC0955D8-E178-4D7F-A7C5-0DA75ACAC8D3}"/>
    <hyperlink ref="H100" r:id="rId92" display="https://tools.l2.dwh.sb-sys.info/userhelp/data/komoku" xr:uid="{1A6DD3EA-0FFB-4580-9A50-DD150399B6BB}"/>
    <hyperlink ref="H101" r:id="rId93" display="https://tools.l2.dwh.sb-sys.info/userhelp/data/komoku" xr:uid="{A8EC3E0B-58A9-45C5-B64B-8A45C23DCB38}"/>
    <hyperlink ref="H102" r:id="rId94" display="https://tools.l2.dwh.sb-sys.info/userhelp/data/komoku" xr:uid="{09630B30-66AA-4187-88EE-24E6177120D5}"/>
    <hyperlink ref="H103" r:id="rId95" display="https://tools.l2.dwh.sb-sys.info/userhelp/data/komoku" xr:uid="{777E5A1D-0006-408D-A2FF-E6B418BE48B0}"/>
    <hyperlink ref="H104" r:id="rId96" display="https://tools.l2.dwh.sb-sys.info/userhelp/data/komoku" xr:uid="{382BD09F-615C-4E21-8047-30B75AFCC338}"/>
    <hyperlink ref="H105" r:id="rId97" display="https://tools.l2.dwh.sb-sys.info/userhelp/data/komoku" xr:uid="{173339A9-A410-42C2-A034-8B772256E39C}"/>
    <hyperlink ref="H106" r:id="rId98" display="https://tools.l2.dwh.sb-sys.info/userhelp/data/komoku" xr:uid="{1E2F7DB5-B271-4D77-B581-75160FB7FE6B}"/>
  </hyperlinks>
  <pageMargins left="0.7" right="0.7" top="0.75" bottom="0.75" header="0.3" footer="0.3"/>
  <pageSetup paperSize="9" orientation="portrait" r:id="rId99"/>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5DF0C-C75D-44FD-BD00-E4030F46B4E1}">
  <sheetPr>
    <tabColor theme="9"/>
  </sheetPr>
  <dimension ref="A1:R65"/>
  <sheetViews>
    <sheetView zoomScale="70" zoomScaleNormal="70" workbookViewId="0"/>
  </sheetViews>
  <sheetFormatPr defaultRowHeight="18.75"/>
  <cols>
    <col min="1" max="1" width="3.375" bestFit="1" customWidth="1"/>
    <col min="2" max="2" width="4.375" bestFit="1" customWidth="1"/>
    <col min="3" max="3" width="17.25" bestFit="1" customWidth="1"/>
    <col min="4" max="4" width="9.375" bestFit="1" customWidth="1"/>
    <col min="5" max="5" width="5.875" bestFit="1" customWidth="1"/>
    <col min="6" max="6" width="6" bestFit="1" customWidth="1"/>
    <col min="7" max="7" width="18.875" bestFit="1" customWidth="1"/>
    <col min="8" max="8" width="20.5" bestFit="1" customWidth="1"/>
    <col min="9" max="9" width="4.5" bestFit="1" customWidth="1"/>
    <col min="10" max="10" width="6" bestFit="1" customWidth="1"/>
    <col min="11" max="11" width="32" customWidth="1"/>
  </cols>
  <sheetData>
    <row r="1" spans="1:18" ht="19.5" thickBot="1"/>
    <row r="2" spans="1:18" ht="60.75" thickBot="1">
      <c r="G2" s="1" t="s">
        <v>41</v>
      </c>
      <c r="H2" s="1" t="s">
        <v>42</v>
      </c>
      <c r="I2" s="1" t="s">
        <v>43</v>
      </c>
      <c r="J2" s="1" t="s">
        <v>44</v>
      </c>
      <c r="K2" s="1" t="s">
        <v>45</v>
      </c>
    </row>
    <row r="3" spans="1:18" ht="30.75" thickBot="1">
      <c r="G3" s="2" t="s">
        <v>46</v>
      </c>
      <c r="H3" s="3" t="s">
        <v>5200</v>
      </c>
      <c r="I3" s="3"/>
      <c r="J3" s="3" t="s">
        <v>5201</v>
      </c>
      <c r="K3" s="3" t="s">
        <v>49</v>
      </c>
      <c r="L3" t="s">
        <v>5202</v>
      </c>
    </row>
    <row r="4" spans="1:18">
      <c r="G4" s="41" t="s">
        <v>51</v>
      </c>
      <c r="H4" s="42"/>
      <c r="I4" s="42"/>
      <c r="J4" s="42"/>
      <c r="K4" s="43"/>
    </row>
    <row r="5" spans="1:18" ht="19.5" thickBot="1">
      <c r="G5" s="44" t="s">
        <v>5203</v>
      </c>
      <c r="H5" s="45"/>
      <c r="I5" s="45"/>
      <c r="J5" s="45"/>
      <c r="K5" s="46"/>
    </row>
    <row r="6" spans="1:18" ht="19.5" thickBot="1">
      <c r="K6" t="str">
        <f>"DROP TABLE IF EXISTS "&amp;L3&amp;" CASCADE;"</f>
        <v>DROP TABLE IF EXISTS summit_fee_settlement CASCADE;</v>
      </c>
      <c r="R6" s="33" t="s">
        <v>5204</v>
      </c>
    </row>
    <row r="7" spans="1:18" ht="19.5" thickBot="1">
      <c r="K7" t="str">
        <f>"CREATE TABLE IF NOT EXISTS "&amp;L3&amp;" ("</f>
        <v>CREATE TABLE IF NOT EXISTS summit_fee_settlement (</v>
      </c>
      <c r="N7" s="40" t="str">
        <f>"COMMENT ON TABLE "&amp;L3&amp;" IS '"&amp;H3&amp;"';"</f>
        <v>COMMENT ON TABLE summit_fee_settlement IS 'b_hjn_smt_問い合わせツール_決裁_料金決裁';</v>
      </c>
      <c r="R7" s="33" t="s">
        <v>5205</v>
      </c>
    </row>
    <row r="8" spans="1:18" ht="19.5" thickBot="1">
      <c r="A8" s="4" t="s">
        <v>54</v>
      </c>
      <c r="B8" s="4" t="s">
        <v>55</v>
      </c>
      <c r="C8" s="4" t="s">
        <v>56</v>
      </c>
      <c r="D8" s="4" t="s">
        <v>57</v>
      </c>
      <c r="E8" s="4" t="s">
        <v>58</v>
      </c>
      <c r="F8" s="4" t="s">
        <v>59</v>
      </c>
      <c r="G8" s="4" t="s">
        <v>60</v>
      </c>
      <c r="H8" s="4" t="s">
        <v>61</v>
      </c>
      <c r="I8" s="4" t="s">
        <v>62</v>
      </c>
      <c r="J8" s="4" t="s">
        <v>63</v>
      </c>
      <c r="K8" t="s">
        <v>64</v>
      </c>
      <c r="N8" s="38" t="str">
        <f>"COMMENT ON COLUMN "&amp;$L$3&amp;".id IS 'id';"</f>
        <v>COMMENT ON COLUMN summit_fee_settlement.id IS 'id';</v>
      </c>
      <c r="R8" s="34" t="s">
        <v>65</v>
      </c>
    </row>
    <row r="9" spans="1:18" ht="19.5" thickBot="1">
      <c r="A9" s="3"/>
      <c r="B9" s="3">
        <v>1</v>
      </c>
      <c r="C9" s="3" t="s">
        <v>2</v>
      </c>
      <c r="D9" s="3" t="s">
        <v>66</v>
      </c>
      <c r="E9" s="3">
        <v>48</v>
      </c>
      <c r="F9" s="2" t="s">
        <v>67</v>
      </c>
      <c r="G9" s="3"/>
      <c r="H9" s="5"/>
      <c r="I9" s="3"/>
      <c r="J9" s="3"/>
      <c r="K9" s="25" t="s">
        <v>3439</v>
      </c>
      <c r="L9" t="str">
        <f t="shared" ref="L9:L35" si="0">D9&amp;"("&amp;E9&amp;"),"</f>
        <v>VARCHAR(48),</v>
      </c>
      <c r="N9" s="38" t="str">
        <f>"COMMENT ON COLUMN "&amp;$L$3&amp;"."&amp;$K9&amp;" IS '"&amp;C9&amp;"';"</f>
        <v>COMMENT ON COLUMN summit_fee_settlement.approval_number IS '決裁番号';</v>
      </c>
      <c r="R9" s="34" t="s">
        <v>5206</v>
      </c>
    </row>
    <row r="10" spans="1:18" ht="19.5" thickBot="1">
      <c r="A10" s="6"/>
      <c r="B10" s="6">
        <v>2</v>
      </c>
      <c r="C10" s="6" t="s">
        <v>5207</v>
      </c>
      <c r="D10" s="6" t="s">
        <v>66</v>
      </c>
      <c r="E10" s="6">
        <v>270</v>
      </c>
      <c r="F10" s="7" t="s">
        <v>67</v>
      </c>
      <c r="G10" s="6"/>
      <c r="H10" s="8"/>
      <c r="I10" s="6"/>
      <c r="J10" s="6"/>
      <c r="K10" s="25" t="s">
        <v>5208</v>
      </c>
      <c r="L10" t="str">
        <f t="shared" si="0"/>
        <v>VARCHAR(270),</v>
      </c>
      <c r="N10" s="38" t="str">
        <f t="shared" ref="N10:N35" si="1">"COMMENT ON COLUMN "&amp;$L$3&amp;"."&amp;$K10&amp;" IS '"&amp;C10&amp;"';"</f>
        <v>COMMENT ON COLUMN summit_fee_settlement.status_name IS 'ステータス名';</v>
      </c>
      <c r="R10" s="34" t="s">
        <v>5209</v>
      </c>
    </row>
    <row r="11" spans="1:18" ht="19.5" thickBot="1">
      <c r="A11" s="3"/>
      <c r="B11" s="3">
        <v>3</v>
      </c>
      <c r="C11" s="3" t="s">
        <v>5210</v>
      </c>
      <c r="D11" s="3" t="s">
        <v>66</v>
      </c>
      <c r="E11" s="3">
        <v>270</v>
      </c>
      <c r="F11" s="2" t="s">
        <v>67</v>
      </c>
      <c r="G11" s="3"/>
      <c r="H11" s="5"/>
      <c r="I11" s="3"/>
      <c r="J11" s="3"/>
      <c r="K11" s="25" t="s">
        <v>5211</v>
      </c>
      <c r="L11" t="str">
        <f t="shared" si="0"/>
        <v>VARCHAR(270),</v>
      </c>
      <c r="N11" s="38" t="str">
        <f t="shared" si="1"/>
        <v>COMMENT ON COLUMN summit_fee_settlement.node_name IS 'ノード名';</v>
      </c>
      <c r="R11" s="34" t="s">
        <v>5212</v>
      </c>
    </row>
    <row r="12" spans="1:18" ht="19.5" thickBot="1">
      <c r="A12" s="6"/>
      <c r="B12" s="6">
        <v>4</v>
      </c>
      <c r="C12" s="6" t="s">
        <v>5213</v>
      </c>
      <c r="D12" s="6" t="s">
        <v>66</v>
      </c>
      <c r="E12" s="6">
        <v>69</v>
      </c>
      <c r="F12" s="7" t="s">
        <v>67</v>
      </c>
      <c r="G12" s="6"/>
      <c r="H12" s="8"/>
      <c r="I12" s="6"/>
      <c r="J12" s="6"/>
      <c r="K12" s="25" t="s">
        <v>5214</v>
      </c>
      <c r="L12" t="str">
        <f t="shared" si="0"/>
        <v>VARCHAR(69),</v>
      </c>
      <c r="N12" s="38" t="str">
        <f t="shared" si="1"/>
        <v>COMMENT ON COLUMN summit_fee_settlement.date_and_time_of_proposal IS '起案日時';</v>
      </c>
      <c r="R12" s="34" t="s">
        <v>5215</v>
      </c>
    </row>
    <row r="13" spans="1:18" ht="19.5" thickBot="1">
      <c r="A13" s="3"/>
      <c r="B13" s="3">
        <v>5</v>
      </c>
      <c r="C13" s="3" t="s">
        <v>5216</v>
      </c>
      <c r="D13" s="3" t="s">
        <v>66</v>
      </c>
      <c r="E13" s="3">
        <v>69</v>
      </c>
      <c r="F13" s="2" t="s">
        <v>67</v>
      </c>
      <c r="G13" s="3"/>
      <c r="H13" s="5"/>
      <c r="I13" s="3"/>
      <c r="J13" s="3"/>
      <c r="K13" s="25" t="s">
        <v>5217</v>
      </c>
      <c r="L13" t="str">
        <f t="shared" si="0"/>
        <v>VARCHAR(69),</v>
      </c>
      <c r="N13" s="38" t="str">
        <f t="shared" si="1"/>
        <v>COMMENT ON COLUMN summit_fee_settlement.date_and_time_of_final_processing IS '最終処理日時';</v>
      </c>
      <c r="R13" s="34" t="s">
        <v>5218</v>
      </c>
    </row>
    <row r="14" spans="1:18" ht="19.5" thickBot="1">
      <c r="A14" s="6"/>
      <c r="B14" s="6">
        <v>6</v>
      </c>
      <c r="C14" s="6" t="s">
        <v>5219</v>
      </c>
      <c r="D14" s="6" t="s">
        <v>66</v>
      </c>
      <c r="E14" s="6">
        <v>69</v>
      </c>
      <c r="F14" s="7" t="s">
        <v>67</v>
      </c>
      <c r="G14" s="6"/>
      <c r="H14" s="8"/>
      <c r="I14" s="6"/>
      <c r="J14" s="6"/>
      <c r="K14" s="25" t="s">
        <v>2607</v>
      </c>
      <c r="L14" t="str">
        <f t="shared" si="0"/>
        <v>VARCHAR(69),</v>
      </c>
      <c r="N14" s="38" t="str">
        <f t="shared" si="1"/>
        <v>COMMENT ON COLUMN summit_fee_settlement.approval_date IS '決裁日';</v>
      </c>
      <c r="R14" s="34" t="s">
        <v>5220</v>
      </c>
    </row>
    <row r="15" spans="1:18" ht="19.5" thickBot="1">
      <c r="A15" s="3"/>
      <c r="B15" s="3">
        <v>7</v>
      </c>
      <c r="C15" s="3" t="s">
        <v>5221</v>
      </c>
      <c r="D15" s="3" t="s">
        <v>66</v>
      </c>
      <c r="E15" s="3">
        <v>2304</v>
      </c>
      <c r="F15" s="2" t="s">
        <v>67</v>
      </c>
      <c r="G15" s="3"/>
      <c r="H15" s="5"/>
      <c r="I15" s="3"/>
      <c r="J15" s="3"/>
      <c r="K15" s="25" t="s">
        <v>5222</v>
      </c>
      <c r="L15" t="str">
        <f t="shared" si="0"/>
        <v>VARCHAR(2304),</v>
      </c>
      <c r="N15" s="38" t="str">
        <f t="shared" si="1"/>
        <v>COMMENT ON COLUMN summit_fee_settlement.approval_type IS '決裁種別';</v>
      </c>
      <c r="R15" s="34" t="s">
        <v>5223</v>
      </c>
    </row>
    <row r="16" spans="1:18" ht="19.5" thickBot="1">
      <c r="A16" s="6"/>
      <c r="B16" s="6">
        <v>8</v>
      </c>
      <c r="C16" s="6" t="s">
        <v>5224</v>
      </c>
      <c r="D16" s="6" t="s">
        <v>66</v>
      </c>
      <c r="E16" s="6">
        <v>2304</v>
      </c>
      <c r="F16" s="7" t="s">
        <v>67</v>
      </c>
      <c r="G16" s="6"/>
      <c r="H16" s="8"/>
      <c r="I16" s="6"/>
      <c r="J16" s="6"/>
      <c r="K16" s="25" t="s">
        <v>5225</v>
      </c>
      <c r="L16" t="str">
        <f t="shared" si="0"/>
        <v>VARCHAR(2304),</v>
      </c>
      <c r="N16" s="38" t="str">
        <f t="shared" si="1"/>
        <v>COMMENT ON COLUMN summit_fee_settlement.business_category IS '事業区分';</v>
      </c>
      <c r="R16" s="34" t="s">
        <v>5226</v>
      </c>
    </row>
    <row r="17" spans="1:18" ht="19.5" thickBot="1">
      <c r="A17" s="3"/>
      <c r="B17" s="3">
        <v>9</v>
      </c>
      <c r="C17" s="3" t="s">
        <v>5227</v>
      </c>
      <c r="D17" s="3" t="s">
        <v>66</v>
      </c>
      <c r="E17" s="3">
        <v>2304</v>
      </c>
      <c r="F17" s="2" t="s">
        <v>67</v>
      </c>
      <c r="G17" s="3"/>
      <c r="H17" s="5"/>
      <c r="I17" s="3"/>
      <c r="J17" s="3"/>
      <c r="K17" s="25" t="s">
        <v>5228</v>
      </c>
      <c r="L17" t="str">
        <f t="shared" si="0"/>
        <v>VARCHAR(2304),</v>
      </c>
      <c r="N17" s="38" t="str">
        <f t="shared" si="1"/>
        <v>COMMENT ON COLUMN summit_fee_settlement.approval_details IS '決裁内容';</v>
      </c>
      <c r="R17" s="34" t="s">
        <v>5229</v>
      </c>
    </row>
    <row r="18" spans="1:18" ht="19.5" thickBot="1">
      <c r="A18" s="6"/>
      <c r="B18" s="6">
        <v>10</v>
      </c>
      <c r="C18" s="6" t="s">
        <v>5230</v>
      </c>
      <c r="D18" s="6" t="s">
        <v>66</v>
      </c>
      <c r="E18" s="6">
        <v>768</v>
      </c>
      <c r="F18" s="7" t="s">
        <v>67</v>
      </c>
      <c r="G18" s="6"/>
      <c r="H18" s="8"/>
      <c r="I18" s="6"/>
      <c r="J18" s="6"/>
      <c r="K18" s="25" t="s">
        <v>5231</v>
      </c>
      <c r="L18" t="str">
        <f t="shared" si="0"/>
        <v>VARCHAR(768),</v>
      </c>
      <c r="N18" s="38" t="str">
        <f t="shared" si="1"/>
        <v>COMMENT ON COLUMN summit_fee_settlement.approval_subject IS '決裁件名';</v>
      </c>
      <c r="R18" s="34" t="s">
        <v>5232</v>
      </c>
    </row>
    <row r="19" spans="1:18" ht="19.5" thickBot="1">
      <c r="A19" s="3"/>
      <c r="B19" s="3">
        <v>11</v>
      </c>
      <c r="C19" s="3" t="s">
        <v>5233</v>
      </c>
      <c r="D19" s="3" t="s">
        <v>66</v>
      </c>
      <c r="E19" s="3">
        <v>12000</v>
      </c>
      <c r="F19" s="2" t="s">
        <v>67</v>
      </c>
      <c r="G19" s="3"/>
      <c r="H19" s="5"/>
      <c r="I19" s="3"/>
      <c r="J19" s="3"/>
      <c r="K19" s="25" t="s">
        <v>5234</v>
      </c>
      <c r="L19" t="str">
        <f t="shared" si="0"/>
        <v>VARCHAR(12000),</v>
      </c>
      <c r="N19" s="38" t="str">
        <f t="shared" si="1"/>
        <v>COMMENT ON COLUMN summit_fee_settlement.project_summary_1 IS '案件概要_要旨記述1';</v>
      </c>
      <c r="R19" s="34" t="s">
        <v>5235</v>
      </c>
    </row>
    <row r="20" spans="1:18" ht="19.5" thickBot="1">
      <c r="A20" s="6"/>
      <c r="B20" s="6">
        <v>12</v>
      </c>
      <c r="C20" s="6" t="s">
        <v>5236</v>
      </c>
      <c r="D20" s="6" t="s">
        <v>66</v>
      </c>
      <c r="E20" s="6">
        <v>12000</v>
      </c>
      <c r="F20" s="7" t="s">
        <v>67</v>
      </c>
      <c r="G20" s="6"/>
      <c r="H20" s="8"/>
      <c r="I20" s="6"/>
      <c r="J20" s="6"/>
      <c r="K20" s="25" t="s">
        <v>5237</v>
      </c>
      <c r="L20" t="str">
        <f t="shared" si="0"/>
        <v>VARCHAR(12000),</v>
      </c>
      <c r="N20" s="38" t="str">
        <f t="shared" si="1"/>
        <v>COMMENT ON COLUMN summit_fee_settlement.project_summary_2 IS '案件概要_要旨記述2';</v>
      </c>
      <c r="R20" s="34" t="s">
        <v>5238</v>
      </c>
    </row>
    <row r="21" spans="1:18" ht="19.5" thickBot="1">
      <c r="A21" s="3"/>
      <c r="B21" s="3">
        <v>13</v>
      </c>
      <c r="C21" s="3" t="s">
        <v>5239</v>
      </c>
      <c r="D21" s="3" t="s">
        <v>66</v>
      </c>
      <c r="E21" s="3">
        <v>12000</v>
      </c>
      <c r="F21" s="2" t="s">
        <v>67</v>
      </c>
      <c r="G21" s="3"/>
      <c r="H21" s="5"/>
      <c r="I21" s="3"/>
      <c r="J21" s="3"/>
      <c r="K21" s="25" t="s">
        <v>5240</v>
      </c>
      <c r="L21" t="str">
        <f t="shared" si="0"/>
        <v>VARCHAR(12000),</v>
      </c>
      <c r="N21" s="38" t="str">
        <f t="shared" si="1"/>
        <v>COMMENT ON COLUMN summit_fee_settlement.project_summary_3 IS '案件概要_要旨記述3';</v>
      </c>
      <c r="R21" s="34" t="s">
        <v>5241</v>
      </c>
    </row>
    <row r="22" spans="1:18" ht="19.5" thickBot="1">
      <c r="A22" s="6"/>
      <c r="B22" s="6">
        <v>14</v>
      </c>
      <c r="C22" s="6" t="s">
        <v>5242</v>
      </c>
      <c r="D22" s="6" t="s">
        <v>66</v>
      </c>
      <c r="E22" s="6">
        <v>12000</v>
      </c>
      <c r="F22" s="7" t="s">
        <v>67</v>
      </c>
      <c r="G22" s="6"/>
      <c r="H22" s="8"/>
      <c r="I22" s="6"/>
      <c r="J22" s="6"/>
      <c r="K22" s="25" t="s">
        <v>5243</v>
      </c>
      <c r="L22" t="str">
        <f t="shared" si="0"/>
        <v>VARCHAR(12000),</v>
      </c>
      <c r="N22" s="38" t="str">
        <f t="shared" si="1"/>
        <v>COMMENT ON COLUMN summit_fee_settlement.project_summary_4 IS '案件概要_要旨記述4';</v>
      </c>
      <c r="R22" s="34" t="s">
        <v>5244</v>
      </c>
    </row>
    <row r="23" spans="1:18" ht="19.5" thickBot="1">
      <c r="A23" s="3"/>
      <c r="B23" s="3">
        <v>15</v>
      </c>
      <c r="C23" s="3" t="s">
        <v>5245</v>
      </c>
      <c r="D23" s="3" t="s">
        <v>66</v>
      </c>
      <c r="E23" s="3">
        <v>768</v>
      </c>
      <c r="F23" s="2" t="s">
        <v>67</v>
      </c>
      <c r="G23" s="3"/>
      <c r="H23" s="5"/>
      <c r="I23" s="3"/>
      <c r="J23" s="3"/>
      <c r="K23" s="25" t="s">
        <v>5246</v>
      </c>
      <c r="L23" t="str">
        <f t="shared" si="0"/>
        <v>VARCHAR(768),</v>
      </c>
      <c r="N23" s="38" t="str">
        <f t="shared" si="1"/>
        <v>COMMENT ON COLUMN summit_fee_settlement.amount_exemption_adjustment_refund_recovery IS '減免調整返還回収金額';</v>
      </c>
      <c r="R23" s="34" t="s">
        <v>5247</v>
      </c>
    </row>
    <row r="24" spans="1:18" ht="19.5" thickBot="1">
      <c r="A24" s="6"/>
      <c r="B24" s="6">
        <v>16</v>
      </c>
      <c r="C24" s="6" t="s">
        <v>5248</v>
      </c>
      <c r="D24" s="6" t="s">
        <v>66</v>
      </c>
      <c r="E24" s="6">
        <v>768</v>
      </c>
      <c r="F24" s="7" t="s">
        <v>67</v>
      </c>
      <c r="G24" s="6"/>
      <c r="H24" s="8"/>
      <c r="I24" s="6"/>
      <c r="J24" s="6"/>
      <c r="K24" s="25" t="s">
        <v>5249</v>
      </c>
      <c r="L24" t="str">
        <f t="shared" si="0"/>
        <v>VARCHAR(768),</v>
      </c>
      <c r="N24" s="38" t="str">
        <f t="shared" si="1"/>
        <v>COMMENT ON COLUMN summit_fee_settlement.total_cost_burden IS '費用負担総額';</v>
      </c>
      <c r="R24" s="34" t="s">
        <v>5250</v>
      </c>
    </row>
    <row r="25" spans="1:18" ht="19.5" thickBot="1">
      <c r="A25" s="3"/>
      <c r="B25" s="3">
        <v>17</v>
      </c>
      <c r="C25" s="3" t="s">
        <v>5251</v>
      </c>
      <c r="D25" s="3" t="s">
        <v>66</v>
      </c>
      <c r="E25" s="3">
        <v>240</v>
      </c>
      <c r="F25" s="2" t="s">
        <v>67</v>
      </c>
      <c r="G25" s="3"/>
      <c r="H25" s="5"/>
      <c r="I25" s="3"/>
      <c r="J25" s="3"/>
      <c r="K25" s="25" t="s">
        <v>5252</v>
      </c>
      <c r="L25" t="str">
        <f t="shared" si="0"/>
        <v>VARCHAR(240),</v>
      </c>
      <c r="N25" s="38" t="str">
        <f t="shared" si="1"/>
        <v>COMMENT ON COLUMN summit_fee_settlement.applicable_period IS '対象期間';</v>
      </c>
      <c r="R25" s="34" t="s">
        <v>5253</v>
      </c>
    </row>
    <row r="26" spans="1:18" ht="19.5" thickBot="1">
      <c r="A26" s="6"/>
      <c r="B26" s="6">
        <v>18</v>
      </c>
      <c r="C26" s="6" t="s">
        <v>5254</v>
      </c>
      <c r="D26" s="6" t="s">
        <v>66</v>
      </c>
      <c r="E26" s="6">
        <v>768</v>
      </c>
      <c r="F26" s="7" t="s">
        <v>67</v>
      </c>
      <c r="G26" s="6"/>
      <c r="H26" s="8"/>
      <c r="I26" s="6"/>
      <c r="J26" s="6"/>
      <c r="K26" s="25" t="s">
        <v>5255</v>
      </c>
      <c r="L26" t="str">
        <f t="shared" si="0"/>
        <v>VARCHAR(768),</v>
      </c>
      <c r="N26" s="38" t="str">
        <f t="shared" si="1"/>
        <v>COMMENT ON COLUMN summit_fee_settlement.payment_date IS '支払い時期';</v>
      </c>
      <c r="R26" s="34" t="s">
        <v>5256</v>
      </c>
    </row>
    <row r="27" spans="1:18" ht="19.5" thickBot="1">
      <c r="A27" s="3"/>
      <c r="B27" s="3">
        <v>19</v>
      </c>
      <c r="C27" s="3" t="s">
        <v>166</v>
      </c>
      <c r="D27" s="3" t="s">
        <v>66</v>
      </c>
      <c r="E27" s="3">
        <v>240</v>
      </c>
      <c r="F27" s="2" t="s">
        <v>67</v>
      </c>
      <c r="G27" s="3"/>
      <c r="H27" s="5"/>
      <c r="I27" s="3"/>
      <c r="J27" s="3"/>
      <c r="K27" s="25" t="s">
        <v>167</v>
      </c>
      <c r="L27" t="str">
        <f t="shared" si="0"/>
        <v>VARCHAR(240),</v>
      </c>
      <c r="N27" s="38" t="str">
        <f t="shared" si="1"/>
        <v>COMMENT ON COLUMN summit_fee_settlement.number_of_lines IS '回線数';</v>
      </c>
      <c r="R27" s="34" t="s">
        <v>5257</v>
      </c>
    </row>
    <row r="28" spans="1:18" ht="19.5" thickBot="1">
      <c r="A28" s="6"/>
      <c r="B28" s="6">
        <v>20</v>
      </c>
      <c r="C28" s="6" t="s">
        <v>5258</v>
      </c>
      <c r="D28" s="6" t="s">
        <v>66</v>
      </c>
      <c r="E28" s="6">
        <v>240</v>
      </c>
      <c r="F28" s="7" t="s">
        <v>67</v>
      </c>
      <c r="G28" s="6"/>
      <c r="H28" s="8"/>
      <c r="I28" s="6"/>
      <c r="J28" s="6"/>
      <c r="K28" s="25" t="s">
        <v>5259</v>
      </c>
      <c r="L28" t="str">
        <f t="shared" si="0"/>
        <v>VARCHAR(240),</v>
      </c>
      <c r="N28" s="38" t="str">
        <f t="shared" si="1"/>
        <v>COMMENT ON COLUMN summit_fee_settlement.total_sales_amount IS '売上総合計金額';</v>
      </c>
      <c r="R28" s="34" t="s">
        <v>5260</v>
      </c>
    </row>
    <row r="29" spans="1:18" ht="19.5" thickBot="1">
      <c r="A29" s="3"/>
      <c r="B29" s="3">
        <v>21</v>
      </c>
      <c r="C29" s="3" t="s">
        <v>5261</v>
      </c>
      <c r="D29" s="3" t="s">
        <v>66</v>
      </c>
      <c r="E29" s="3">
        <v>768</v>
      </c>
      <c r="F29" s="2" t="s">
        <v>67</v>
      </c>
      <c r="G29" s="3"/>
      <c r="H29" s="5"/>
      <c r="I29" s="3"/>
      <c r="J29" s="3"/>
      <c r="K29" s="25" t="s">
        <v>5262</v>
      </c>
      <c r="L29" t="str">
        <f t="shared" si="0"/>
        <v>VARCHAR(768),</v>
      </c>
      <c r="N29" s="38" t="str">
        <f t="shared" si="1"/>
        <v>COMMENT ON COLUMN summit_fee_settlement.whether_or_not_to_reissue_invoice IS '請求書再発行有無';</v>
      </c>
      <c r="R29" s="34" t="s">
        <v>5263</v>
      </c>
    </row>
    <row r="30" spans="1:18" ht="19.5" thickBot="1">
      <c r="A30" s="6"/>
      <c r="B30" s="6">
        <v>22</v>
      </c>
      <c r="C30" s="6" t="s">
        <v>5264</v>
      </c>
      <c r="D30" s="6" t="s">
        <v>66</v>
      </c>
      <c r="E30" s="6">
        <v>12000</v>
      </c>
      <c r="F30" s="7" t="s">
        <v>67</v>
      </c>
      <c r="G30" s="6"/>
      <c r="H30" s="8"/>
      <c r="I30" s="6"/>
      <c r="J30" s="6"/>
      <c r="K30" s="25" t="s">
        <v>5265</v>
      </c>
      <c r="L30" t="str">
        <f t="shared" si="0"/>
        <v>VARCHAR(12000),</v>
      </c>
      <c r="N30" s="38" t="str">
        <f t="shared" si="1"/>
        <v>COMMENT ON COLUMN summit_fee_settlement.collection_conditions_content IS '回収条件_内容';</v>
      </c>
      <c r="R30" s="34" t="s">
        <v>5266</v>
      </c>
    </row>
    <row r="31" spans="1:18" ht="19.5" thickBot="1">
      <c r="A31" s="3"/>
      <c r="B31" s="3">
        <v>23</v>
      </c>
      <c r="C31" s="3" t="s">
        <v>5267</v>
      </c>
      <c r="D31" s="3" t="s">
        <v>66</v>
      </c>
      <c r="E31" s="3">
        <v>768</v>
      </c>
      <c r="F31" s="2" t="s">
        <v>67</v>
      </c>
      <c r="G31" s="3"/>
      <c r="H31" s="5"/>
      <c r="I31" s="3"/>
      <c r="J31" s="3"/>
      <c r="K31" s="25" t="s">
        <v>5268</v>
      </c>
      <c r="L31" t="str">
        <f t="shared" si="0"/>
        <v>VARCHAR(768),</v>
      </c>
      <c r="N31" s="38" t="str">
        <f t="shared" si="1"/>
        <v>COMMENT ON COLUMN summit_fee_settlement.collection_conditions_payment_deadline IS '回収条件_支払期限';</v>
      </c>
      <c r="R31" s="34" t="s">
        <v>5269</v>
      </c>
    </row>
    <row r="32" spans="1:18" ht="19.5" thickBot="1">
      <c r="A32" s="6"/>
      <c r="B32" s="6">
        <v>24</v>
      </c>
      <c r="C32" s="6" t="s">
        <v>5270</v>
      </c>
      <c r="D32" s="6" t="s">
        <v>66</v>
      </c>
      <c r="E32" s="6">
        <v>768</v>
      </c>
      <c r="F32" s="7" t="s">
        <v>67</v>
      </c>
      <c r="G32" s="6"/>
      <c r="H32" s="8"/>
      <c r="I32" s="6"/>
      <c r="J32" s="6"/>
      <c r="K32" s="25" t="s">
        <v>5271</v>
      </c>
      <c r="L32" t="str">
        <f t="shared" si="0"/>
        <v>VARCHAR(768),</v>
      </c>
      <c r="N32" s="38" t="str">
        <f t="shared" si="1"/>
        <v>COMMENT ON COLUMN summit_fee_settlement.collection_method IS '回収手段';</v>
      </c>
      <c r="R32" s="34" t="s">
        <v>5272</v>
      </c>
    </row>
    <row r="33" spans="1:18" ht="19.5" thickBot="1">
      <c r="A33" s="3"/>
      <c r="B33" s="3">
        <v>25</v>
      </c>
      <c r="C33" s="3" t="s">
        <v>5273</v>
      </c>
      <c r="D33" s="3" t="s">
        <v>66</v>
      </c>
      <c r="E33" s="3">
        <v>48</v>
      </c>
      <c r="F33" s="2" t="s">
        <v>67</v>
      </c>
      <c r="G33" s="3"/>
      <c r="H33" s="5"/>
      <c r="I33" s="3"/>
      <c r="J33" s="3"/>
      <c r="K33" s="25" t="s">
        <v>5274</v>
      </c>
      <c r="L33" t="str">
        <f t="shared" si="0"/>
        <v>VARCHAR(48),</v>
      </c>
      <c r="N33" s="38" t="str">
        <f t="shared" si="1"/>
        <v>COMMENT ON COLUMN summit_fee_settlement.form_id IS 'フォームid';</v>
      </c>
      <c r="R33" s="34" t="s">
        <v>5275</v>
      </c>
    </row>
    <row r="34" spans="1:18" ht="19.5" thickBot="1">
      <c r="A34" s="6"/>
      <c r="B34" s="6">
        <v>26</v>
      </c>
      <c r="C34" s="6" t="s">
        <v>5276</v>
      </c>
      <c r="D34" s="6" t="s">
        <v>66</v>
      </c>
      <c r="E34" s="6">
        <v>48</v>
      </c>
      <c r="F34" s="7" t="s">
        <v>67</v>
      </c>
      <c r="G34" s="6"/>
      <c r="H34" s="8"/>
      <c r="I34" s="6"/>
      <c r="J34" s="6"/>
      <c r="K34" s="25" t="s">
        <v>5277</v>
      </c>
      <c r="L34" t="str">
        <f t="shared" si="0"/>
        <v>VARCHAR(48),</v>
      </c>
      <c r="N34" s="38" t="str">
        <f t="shared" si="1"/>
        <v>COMMENT ON COLUMN summit_fee_settlement.root_id IS 'ルートid';</v>
      </c>
      <c r="R34" s="34" t="s">
        <v>5278</v>
      </c>
    </row>
    <row r="35" spans="1:18" ht="19.5" thickBot="1">
      <c r="A35" s="3"/>
      <c r="B35" s="3">
        <v>27</v>
      </c>
      <c r="C35" s="3" t="s">
        <v>5279</v>
      </c>
      <c r="D35" s="3" t="s">
        <v>66</v>
      </c>
      <c r="E35" s="3">
        <v>48</v>
      </c>
      <c r="F35" s="2" t="s">
        <v>67</v>
      </c>
      <c r="G35" s="3"/>
      <c r="H35" s="5"/>
      <c r="I35" s="3"/>
      <c r="J35" s="3"/>
      <c r="K35" s="25" t="s">
        <v>5280</v>
      </c>
      <c r="L35" t="str">
        <f t="shared" si="0"/>
        <v>VARCHAR(48),</v>
      </c>
      <c r="N35" s="38" t="str">
        <f t="shared" si="1"/>
        <v>COMMENT ON COLUMN summit_fee_settlement.status_id IS 'ステータスid';</v>
      </c>
      <c r="R35" s="34" t="s">
        <v>5281</v>
      </c>
    </row>
    <row r="36" spans="1:18">
      <c r="K36" t="str">
        <f>"CONSTRAINT pk_"&amp;L3&amp;" PRIMARY KEY (id));"</f>
        <v>CONSTRAINT pk_summit_fee_settlement PRIMARY KEY (id));</v>
      </c>
      <c r="R36" s="33" t="s">
        <v>5282</v>
      </c>
    </row>
    <row r="37" spans="1:18">
      <c r="R37" s="33" t="s">
        <v>5283</v>
      </c>
    </row>
    <row r="38" spans="1:18">
      <c r="R38" s="33" t="s">
        <v>5284</v>
      </c>
    </row>
    <row r="39" spans="1:18">
      <c r="R39" s="33" t="s">
        <v>5285</v>
      </c>
    </row>
    <row r="40" spans="1:18">
      <c r="R40" s="33" t="s">
        <v>5286</v>
      </c>
    </row>
    <row r="41" spans="1:18">
      <c r="R41" s="33" t="s">
        <v>5287</v>
      </c>
    </row>
    <row r="42" spans="1:18">
      <c r="R42" s="33" t="s">
        <v>5288</v>
      </c>
    </row>
    <row r="43" spans="1:18">
      <c r="R43" s="33" t="s">
        <v>5289</v>
      </c>
    </row>
    <row r="44" spans="1:18">
      <c r="R44" s="33" t="s">
        <v>5290</v>
      </c>
    </row>
    <row r="45" spans="1:18">
      <c r="R45" s="33" t="s">
        <v>5291</v>
      </c>
    </row>
    <row r="46" spans="1:18">
      <c r="R46" s="33" t="s">
        <v>5292</v>
      </c>
    </row>
    <row r="47" spans="1:18">
      <c r="R47" s="33" t="s">
        <v>5293</v>
      </c>
    </row>
    <row r="48" spans="1:18">
      <c r="R48" s="33" t="s">
        <v>5294</v>
      </c>
    </row>
    <row r="49" spans="18:18">
      <c r="R49" s="33" t="s">
        <v>5295</v>
      </c>
    </row>
    <row r="50" spans="18:18">
      <c r="R50" s="33" t="s">
        <v>5296</v>
      </c>
    </row>
    <row r="51" spans="18:18">
      <c r="R51" s="33" t="s">
        <v>5297</v>
      </c>
    </row>
    <row r="52" spans="18:18">
      <c r="R52" s="33" t="s">
        <v>5298</v>
      </c>
    </row>
    <row r="53" spans="18:18">
      <c r="R53" s="33" t="s">
        <v>5299</v>
      </c>
    </row>
    <row r="54" spans="18:18">
      <c r="R54" s="33" t="s">
        <v>5300</v>
      </c>
    </row>
    <row r="55" spans="18:18">
      <c r="R55" s="33" t="s">
        <v>5301</v>
      </c>
    </row>
    <row r="56" spans="18:18">
      <c r="R56" s="33" t="s">
        <v>5302</v>
      </c>
    </row>
    <row r="57" spans="18:18">
      <c r="R57" s="33" t="s">
        <v>5303</v>
      </c>
    </row>
    <row r="58" spans="18:18">
      <c r="R58" s="33" t="s">
        <v>5304</v>
      </c>
    </row>
    <row r="59" spans="18:18">
      <c r="R59" s="33" t="s">
        <v>5305</v>
      </c>
    </row>
    <row r="60" spans="18:18">
      <c r="R60" s="33" t="s">
        <v>5306</v>
      </c>
    </row>
    <row r="61" spans="18:18">
      <c r="R61" s="33" t="s">
        <v>5307</v>
      </c>
    </row>
    <row r="62" spans="18:18">
      <c r="R62" s="33" t="s">
        <v>5308</v>
      </c>
    </row>
    <row r="63" spans="18:18">
      <c r="R63" s="33" t="s">
        <v>5309</v>
      </c>
    </row>
    <row r="64" spans="18:18">
      <c r="R64" s="33" t="s">
        <v>5310</v>
      </c>
    </row>
    <row r="65" spans="18:18">
      <c r="R65" s="33" t="s">
        <v>5311</v>
      </c>
    </row>
  </sheetData>
  <mergeCells count="2">
    <mergeCell ref="G4:K4"/>
    <mergeCell ref="G5:K5"/>
  </mergeCells>
  <phoneticPr fontId="2"/>
  <hyperlinks>
    <hyperlink ref="H9" r:id="rId1" display="https://tools.l2.dwh.sb-sys.info/userhelp/data/komoku" xr:uid="{34486260-D903-47EB-A960-3366D6A492A8}"/>
    <hyperlink ref="H10" r:id="rId2" display="https://tools.l2.dwh.sb-sys.info/userhelp/data/komoku" xr:uid="{117231CC-3B72-4F9E-B82C-9A01EA4EFB13}"/>
    <hyperlink ref="H11" r:id="rId3" display="https://tools.l2.dwh.sb-sys.info/userhelp/data/komoku" xr:uid="{AB9BD873-0901-4E22-97B7-57F9C14657CC}"/>
    <hyperlink ref="H12" r:id="rId4" display="https://tools.l2.dwh.sb-sys.info/userhelp/data/komoku" xr:uid="{24867F95-6138-4630-B154-A293A85F31E6}"/>
    <hyperlink ref="H13" r:id="rId5" display="https://tools.l2.dwh.sb-sys.info/userhelp/data/komoku" xr:uid="{8183CE70-C254-4043-ABA6-CE1A4C5D6B24}"/>
    <hyperlink ref="H14" r:id="rId6" display="https://tools.l2.dwh.sb-sys.info/userhelp/data/komoku" xr:uid="{99663611-C639-4D00-92D5-9FE56624051D}"/>
    <hyperlink ref="H15" r:id="rId7" display="https://tools.l2.dwh.sb-sys.info/userhelp/data/komoku" xr:uid="{AC883273-7F97-4A1C-B391-75FF53348EB5}"/>
    <hyperlink ref="H16" r:id="rId8" display="https://tools.l2.dwh.sb-sys.info/userhelp/data/komoku" xr:uid="{A1539B77-1ACF-4BD2-82E2-84A68F8FFA2B}"/>
    <hyperlink ref="H17" r:id="rId9" display="https://tools.l2.dwh.sb-sys.info/userhelp/data/komoku" xr:uid="{F3DD17E9-2246-479A-BED5-421A7D28F6DB}"/>
    <hyperlink ref="H18" r:id="rId10" display="https://tools.l2.dwh.sb-sys.info/userhelp/data/komoku" xr:uid="{CD88A954-DCE4-49D6-B640-797865C93B56}"/>
    <hyperlink ref="H19" r:id="rId11" display="https://tools.l2.dwh.sb-sys.info/userhelp/data/komoku" xr:uid="{13394E44-BC7D-40D4-B459-BC766C477715}"/>
    <hyperlink ref="H20" r:id="rId12" display="https://tools.l2.dwh.sb-sys.info/userhelp/data/komoku" xr:uid="{09AE55A1-BAF8-4250-8B66-D20C2EB3AEB4}"/>
    <hyperlink ref="H21" r:id="rId13" display="https://tools.l2.dwh.sb-sys.info/userhelp/data/komoku" xr:uid="{4046E776-72B5-4E9A-998B-C7AFD0FC5180}"/>
    <hyperlink ref="H22" r:id="rId14" display="https://tools.l2.dwh.sb-sys.info/userhelp/data/komoku" xr:uid="{F6825CAD-F551-4EB2-AC83-9EE49E202D0F}"/>
    <hyperlink ref="H23" r:id="rId15" display="https://tools.l2.dwh.sb-sys.info/userhelp/data/komoku" xr:uid="{D1F84BAA-EF0B-4D98-B95E-43CEB33452D3}"/>
    <hyperlink ref="H24" r:id="rId16" display="https://tools.l2.dwh.sb-sys.info/userhelp/data/komoku" xr:uid="{BD90FE5F-CCAD-415A-83E1-126E544E657D}"/>
    <hyperlink ref="H25" r:id="rId17" display="https://tools.l2.dwh.sb-sys.info/userhelp/data/komoku" xr:uid="{6985320E-0E38-4234-B146-E4DE5715782F}"/>
    <hyperlink ref="H26" r:id="rId18" display="https://tools.l2.dwh.sb-sys.info/userhelp/data/komoku" xr:uid="{BE7CD437-B699-4E98-91C4-A66253258955}"/>
    <hyperlink ref="H27" r:id="rId19" display="https://tools.l2.dwh.sb-sys.info/userhelp/data/komoku" xr:uid="{076C8EBF-69A6-4AB4-A4D5-B93C522CA7FA}"/>
    <hyperlink ref="H28" r:id="rId20" display="https://tools.l2.dwh.sb-sys.info/userhelp/data/komoku" xr:uid="{1FA23665-DBAE-4A6B-ABC4-4763651ECE50}"/>
    <hyperlink ref="H29" r:id="rId21" display="https://tools.l2.dwh.sb-sys.info/userhelp/data/komoku" xr:uid="{80DCB8A1-F7D5-48F8-88C0-F77F6EC48554}"/>
    <hyperlink ref="H30" r:id="rId22" display="https://tools.l2.dwh.sb-sys.info/userhelp/data/komoku" xr:uid="{10F79EC7-49F1-4CD5-AF8D-C98004D6E6FF}"/>
    <hyperlink ref="H31" r:id="rId23" display="https://tools.l2.dwh.sb-sys.info/userhelp/data/komoku" xr:uid="{A3E06DAC-A52B-44A6-81DA-46C4D6860210}"/>
    <hyperlink ref="H32" r:id="rId24" display="https://tools.l2.dwh.sb-sys.info/userhelp/data/komoku" xr:uid="{3DCCBC11-134E-4C4C-8603-502D5BD6677E}"/>
    <hyperlink ref="H33" r:id="rId25" display="https://tools.l2.dwh.sb-sys.info/userhelp/data/komoku" xr:uid="{9456DC0F-3200-4D7D-B5E3-55A7A953927B}"/>
    <hyperlink ref="H34" r:id="rId26" display="https://tools.l2.dwh.sb-sys.info/userhelp/data/komoku" xr:uid="{263E2C37-9FCC-4D2C-876D-7AB3FA98873F}"/>
    <hyperlink ref="H35" r:id="rId27" display="https://tools.l2.dwh.sb-sys.info/userhelp/data/komoku" xr:uid="{D161A3A6-AE16-4EBF-866B-83A664D9C55E}"/>
  </hyperlinks>
  <pageMargins left="0.7" right="0.7" top="0.75" bottom="0.75" header="0.3" footer="0.3"/>
  <pageSetup paperSize="9" orientation="portrait" r:id="rId28"/>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50D3D-E176-4764-9B82-3F726DFF9607}">
  <sheetPr>
    <tabColor theme="9"/>
  </sheetPr>
  <dimension ref="A2:R647"/>
  <sheetViews>
    <sheetView tabSelected="1" zoomScale="70" zoomScaleNormal="70" workbookViewId="0"/>
  </sheetViews>
  <sheetFormatPr defaultRowHeight="18.75"/>
  <cols>
    <col min="3" max="3" width="26.875" bestFit="1" customWidth="1"/>
    <col min="4" max="5" width="9" customWidth="1"/>
    <col min="6" max="10" width="9" hidden="1" customWidth="1"/>
    <col min="11" max="11" width="30.125" customWidth="1"/>
    <col min="12" max="12" width="9" customWidth="1"/>
    <col min="13" max="13" width="12.625" customWidth="1"/>
    <col min="14" max="14" width="53.875" customWidth="1"/>
  </cols>
  <sheetData>
    <row r="2" spans="1:18">
      <c r="C2" t="s">
        <v>5312</v>
      </c>
    </row>
    <row r="3" spans="1:18">
      <c r="C3" t="s">
        <v>5313</v>
      </c>
      <c r="K3" t="s">
        <v>5314</v>
      </c>
    </row>
    <row r="7" spans="1:18" ht="19.5" thickBot="1">
      <c r="K7" t="str">
        <f>"DROP TABLE IF EXISTS "&amp;K3&amp;" CASCADE;"</f>
        <v>DROP TABLE IF EXISTS summit_approval_proposal_mobile CASCADE;</v>
      </c>
      <c r="R7" s="33" t="s">
        <v>5315</v>
      </c>
    </row>
    <row r="8" spans="1:18" ht="19.5" thickBot="1">
      <c r="K8" t="str">
        <f>"CREATE TABLE IF NOT EXISTS "&amp;K3&amp;" ("</f>
        <v>CREATE TABLE IF NOT EXISTS summit_approval_proposal_mobile (</v>
      </c>
      <c r="N8" s="40" t="str">
        <f>"COMMENT ON TABLE "&amp;K3&amp;" IS '"&amp;C3&amp;"';"</f>
        <v>COMMENT ON TABLE summit_approval_proposal_mobile IS 'b_hjn_smt_決裁_提案モバイル';</v>
      </c>
      <c r="R8" s="33" t="s">
        <v>5316</v>
      </c>
    </row>
    <row r="9" spans="1:18">
      <c r="A9" s="35" t="s">
        <v>54</v>
      </c>
      <c r="B9" s="35" t="s">
        <v>55</v>
      </c>
      <c r="C9" s="35" t="s">
        <v>56</v>
      </c>
      <c r="D9" s="35" t="s">
        <v>57</v>
      </c>
      <c r="E9" s="35" t="s">
        <v>58</v>
      </c>
      <c r="F9" s="35" t="s">
        <v>59</v>
      </c>
      <c r="G9" s="35" t="s">
        <v>60</v>
      </c>
      <c r="H9" s="35" t="s">
        <v>61</v>
      </c>
      <c r="I9" s="35" t="s">
        <v>62</v>
      </c>
      <c r="J9" s="35" t="s">
        <v>63</v>
      </c>
      <c r="K9" t="s">
        <v>64</v>
      </c>
      <c r="N9" s="38" t="str">
        <f>"COMMENT ON COLUMN "&amp;$K$3&amp;".id IS 'id';"</f>
        <v>COMMENT ON COLUMN summit_approval_proposal_mobile.id IS 'id';</v>
      </c>
      <c r="R9" s="34" t="s">
        <v>65</v>
      </c>
    </row>
    <row r="10" spans="1:18">
      <c r="A10" s="23"/>
      <c r="B10" s="23"/>
      <c r="C10" s="36" t="s">
        <v>3437</v>
      </c>
      <c r="D10" s="37" t="s">
        <v>66</v>
      </c>
      <c r="E10" s="23">
        <v>255</v>
      </c>
      <c r="F10" s="23"/>
      <c r="G10" s="23"/>
      <c r="H10" s="23"/>
      <c r="I10" s="23"/>
      <c r="J10" s="23"/>
      <c r="K10" s="25" t="s">
        <v>3439</v>
      </c>
      <c r="L10" t="str">
        <f>D10&amp;"("&amp;E10&amp;"),"</f>
        <v>VARCHAR(255),</v>
      </c>
      <c r="N10" s="38" t="str">
        <f>"COMMENT ON COLUMN "&amp;$K$3&amp;"."&amp;$K10&amp;" IS '"&amp;C10&amp;"';"</f>
        <v>COMMENT ON COLUMN summit_approval_proposal_mobile.approval_number IS '決裁番号';</v>
      </c>
      <c r="R10" s="34" t="s">
        <v>5317</v>
      </c>
    </row>
    <row r="11" spans="1:18">
      <c r="A11" s="23"/>
      <c r="B11" s="23"/>
      <c r="C11" s="36" t="s">
        <v>5207</v>
      </c>
      <c r="D11" s="37" t="s">
        <v>66</v>
      </c>
      <c r="E11" s="23">
        <v>255</v>
      </c>
      <c r="F11" s="23"/>
      <c r="G11" s="23"/>
      <c r="H11" s="23"/>
      <c r="I11" s="23"/>
      <c r="J11" s="23"/>
      <c r="K11" s="25" t="s">
        <v>5208</v>
      </c>
      <c r="L11" t="str">
        <f t="shared" ref="L11:L74" si="0">D11&amp;"("&amp;E11&amp;"),"</f>
        <v>VARCHAR(255),</v>
      </c>
      <c r="N11" s="38" t="str">
        <f t="shared" ref="N11:N74" si="1">"COMMENT ON COLUMN "&amp;$K$3&amp;"."&amp;$K11&amp;" IS '"&amp;C11&amp;"';"</f>
        <v>COMMENT ON COLUMN summit_approval_proposal_mobile.status_name IS 'ステータス名';</v>
      </c>
      <c r="R11" s="34" t="s">
        <v>5318</v>
      </c>
    </row>
    <row r="12" spans="1:18">
      <c r="A12" s="23"/>
      <c r="B12" s="23"/>
      <c r="C12" s="36" t="s">
        <v>5210</v>
      </c>
      <c r="D12" s="37" t="s">
        <v>66</v>
      </c>
      <c r="E12" s="23">
        <v>255</v>
      </c>
      <c r="F12" s="23"/>
      <c r="G12" s="23"/>
      <c r="H12" s="23"/>
      <c r="I12" s="23"/>
      <c r="J12" s="23"/>
      <c r="K12" s="25" t="s">
        <v>5211</v>
      </c>
      <c r="L12" t="str">
        <f t="shared" si="0"/>
        <v>VARCHAR(255),</v>
      </c>
      <c r="N12" s="38" t="str">
        <f t="shared" si="1"/>
        <v>COMMENT ON COLUMN summit_approval_proposal_mobile.node_name IS 'ノード名';</v>
      </c>
      <c r="R12" s="34" t="s">
        <v>5319</v>
      </c>
    </row>
    <row r="13" spans="1:18">
      <c r="A13" s="23"/>
      <c r="B13" s="23"/>
      <c r="C13" s="36" t="s">
        <v>5213</v>
      </c>
      <c r="D13" s="37" t="s">
        <v>66</v>
      </c>
      <c r="E13" s="23">
        <v>255</v>
      </c>
      <c r="F13" s="23"/>
      <c r="G13" s="23"/>
      <c r="H13" s="23"/>
      <c r="I13" s="23"/>
      <c r="J13" s="23"/>
      <c r="K13" s="25" t="s">
        <v>5214</v>
      </c>
      <c r="L13" t="str">
        <f t="shared" si="0"/>
        <v>VARCHAR(255),</v>
      </c>
      <c r="N13" s="38" t="str">
        <f t="shared" si="1"/>
        <v>COMMENT ON COLUMN summit_approval_proposal_mobile.date_and_time_of_proposal IS '起案日時';</v>
      </c>
      <c r="R13" s="34" t="s">
        <v>5320</v>
      </c>
    </row>
    <row r="14" spans="1:18">
      <c r="A14" s="23"/>
      <c r="B14" s="23"/>
      <c r="C14" s="36" t="s">
        <v>5216</v>
      </c>
      <c r="D14" s="37" t="s">
        <v>66</v>
      </c>
      <c r="E14" s="23">
        <v>255</v>
      </c>
      <c r="F14" s="23"/>
      <c r="G14" s="23"/>
      <c r="H14" s="23"/>
      <c r="I14" s="23"/>
      <c r="J14" s="23"/>
      <c r="K14" s="25" t="s">
        <v>5321</v>
      </c>
      <c r="L14" t="str">
        <f t="shared" si="0"/>
        <v>VARCHAR(255),</v>
      </c>
      <c r="N14" s="38" t="str">
        <f t="shared" si="1"/>
        <v>COMMENT ON COLUMN summit_approval_proposal_mobile.final_processing_date IS '最終処理日時';</v>
      </c>
      <c r="R14" s="34" t="s">
        <v>5322</v>
      </c>
    </row>
    <row r="15" spans="1:18">
      <c r="A15" s="23"/>
      <c r="B15" s="23"/>
      <c r="C15" s="36" t="s">
        <v>5219</v>
      </c>
      <c r="D15" s="37" t="s">
        <v>66</v>
      </c>
      <c r="E15" s="23">
        <v>255</v>
      </c>
      <c r="F15" s="23"/>
      <c r="G15" s="23"/>
      <c r="H15" s="23"/>
      <c r="I15" s="23"/>
      <c r="J15" s="23"/>
      <c r="K15" s="25" t="s">
        <v>2607</v>
      </c>
      <c r="L15" t="str">
        <f t="shared" si="0"/>
        <v>VARCHAR(255),</v>
      </c>
      <c r="N15" s="38" t="str">
        <f t="shared" si="1"/>
        <v>COMMENT ON COLUMN summit_approval_proposal_mobile.approval_date IS '決裁日';</v>
      </c>
      <c r="R15" s="34" t="s">
        <v>5323</v>
      </c>
    </row>
    <row r="16" spans="1:18">
      <c r="A16" s="23"/>
      <c r="B16" s="23"/>
      <c r="C16" s="36" t="s">
        <v>5221</v>
      </c>
      <c r="D16" s="37" t="s">
        <v>66</v>
      </c>
      <c r="E16" s="23">
        <v>255</v>
      </c>
      <c r="F16" s="23"/>
      <c r="G16" s="23"/>
      <c r="H16" s="23"/>
      <c r="I16" s="23"/>
      <c r="J16" s="23"/>
      <c r="K16" s="25" t="s">
        <v>5222</v>
      </c>
      <c r="L16" t="str">
        <f t="shared" si="0"/>
        <v>VARCHAR(255),</v>
      </c>
      <c r="N16" s="38" t="str">
        <f t="shared" si="1"/>
        <v>COMMENT ON COLUMN summit_approval_proposal_mobile.approval_type IS '決裁種別';</v>
      </c>
      <c r="R16" s="34" t="s">
        <v>5324</v>
      </c>
    </row>
    <row r="17" spans="1:18">
      <c r="A17" s="23"/>
      <c r="B17" s="23"/>
      <c r="C17" s="36" t="s">
        <v>5224</v>
      </c>
      <c r="D17" s="37" t="s">
        <v>66</v>
      </c>
      <c r="E17" s="23">
        <v>255</v>
      </c>
      <c r="F17" s="23"/>
      <c r="G17" s="23"/>
      <c r="H17" s="23"/>
      <c r="I17" s="23"/>
      <c r="J17" s="23"/>
      <c r="K17" s="25" t="s">
        <v>5225</v>
      </c>
      <c r="L17" t="str">
        <f t="shared" si="0"/>
        <v>VARCHAR(255),</v>
      </c>
      <c r="N17" s="38" t="str">
        <f t="shared" si="1"/>
        <v>COMMENT ON COLUMN summit_approval_proposal_mobile.business_category IS '事業区分';</v>
      </c>
      <c r="R17" s="34" t="s">
        <v>5325</v>
      </c>
    </row>
    <row r="18" spans="1:18">
      <c r="A18" s="23"/>
      <c r="B18" s="23"/>
      <c r="C18" s="36" t="s">
        <v>5227</v>
      </c>
      <c r="D18" s="37" t="s">
        <v>66</v>
      </c>
      <c r="E18" s="23">
        <v>255</v>
      </c>
      <c r="F18" s="23"/>
      <c r="G18" s="23"/>
      <c r="H18" s="23"/>
      <c r="I18" s="23"/>
      <c r="J18" s="23"/>
      <c r="K18" s="25" t="s">
        <v>5326</v>
      </c>
      <c r="L18" t="str">
        <f t="shared" si="0"/>
        <v>VARCHAR(255),</v>
      </c>
      <c r="N18" s="38" t="str">
        <f t="shared" si="1"/>
        <v>COMMENT ON COLUMN summit_approval_proposal_mobile.approval_content IS '決裁内容';</v>
      </c>
      <c r="R18" s="34" t="s">
        <v>5327</v>
      </c>
    </row>
    <row r="19" spans="1:18">
      <c r="A19" s="23"/>
      <c r="B19" s="23"/>
      <c r="C19" s="36" t="s">
        <v>5230</v>
      </c>
      <c r="D19" s="37" t="s">
        <v>66</v>
      </c>
      <c r="E19" s="23">
        <v>255</v>
      </c>
      <c r="F19" s="23"/>
      <c r="G19" s="23"/>
      <c r="H19" s="23"/>
      <c r="I19" s="23"/>
      <c r="J19" s="23"/>
      <c r="K19" s="25" t="s">
        <v>5231</v>
      </c>
      <c r="L19" t="str">
        <f t="shared" si="0"/>
        <v>VARCHAR(255),</v>
      </c>
      <c r="N19" s="38" t="str">
        <f t="shared" si="1"/>
        <v>COMMENT ON COLUMN summit_approval_proposal_mobile.approval_subject IS '決裁件名';</v>
      </c>
      <c r="R19" s="34" t="s">
        <v>5328</v>
      </c>
    </row>
    <row r="20" spans="1:18">
      <c r="A20" s="23"/>
      <c r="B20" s="23"/>
      <c r="C20" s="36" t="s">
        <v>5329</v>
      </c>
      <c r="D20" s="37" t="s">
        <v>66</v>
      </c>
      <c r="E20" s="23">
        <v>255</v>
      </c>
      <c r="F20" s="23"/>
      <c r="G20" s="23"/>
      <c r="H20" s="23"/>
      <c r="I20" s="23"/>
      <c r="J20" s="23"/>
      <c r="K20" s="25" t="s">
        <v>5330</v>
      </c>
      <c r="L20" t="str">
        <f t="shared" si="0"/>
        <v>VARCHAR(255),</v>
      </c>
      <c r="N20" s="38" t="str">
        <f t="shared" si="1"/>
        <v>COMMENT ON COLUMN summit_approval_proposal_mobile.competing_carrier_name IS '競合キャリア名';</v>
      </c>
      <c r="R20" s="34" t="s">
        <v>5331</v>
      </c>
    </row>
    <row r="21" spans="1:18">
      <c r="A21" s="23"/>
      <c r="B21" s="23"/>
      <c r="C21" s="36" t="s">
        <v>5332</v>
      </c>
      <c r="D21" s="37" t="s">
        <v>66</v>
      </c>
      <c r="E21" s="23">
        <v>255</v>
      </c>
      <c r="F21" s="23"/>
      <c r="G21" s="23"/>
      <c r="H21" s="23"/>
      <c r="I21" s="23"/>
      <c r="J21" s="23"/>
      <c r="K21" s="25" t="s">
        <v>5333</v>
      </c>
      <c r="L21" t="str">
        <f t="shared" si="0"/>
        <v>VARCHAR(255),</v>
      </c>
      <c r="N21" s="38" t="str">
        <f t="shared" si="1"/>
        <v>COMMENT ON COLUMN summit_approval_proposal_mobile.competing_carrier_provision_conditions IS '競合キャリア提供条件';</v>
      </c>
      <c r="R21" s="34" t="s">
        <v>5334</v>
      </c>
    </row>
    <row r="22" spans="1:18">
      <c r="A22" s="23"/>
      <c r="B22" s="23"/>
      <c r="C22" s="36" t="s">
        <v>5335</v>
      </c>
      <c r="D22" s="37" t="s">
        <v>66</v>
      </c>
      <c r="E22" s="23">
        <v>255</v>
      </c>
      <c r="F22" s="23"/>
      <c r="G22" s="23"/>
      <c r="H22" s="23"/>
      <c r="I22" s="23"/>
      <c r="J22" s="23"/>
      <c r="K22" s="25" t="s">
        <v>5336</v>
      </c>
      <c r="L22" t="str">
        <f t="shared" si="0"/>
        <v>VARCHAR(255),</v>
      </c>
      <c r="N22" s="38" t="str">
        <f t="shared" si="1"/>
        <v>COMMENT ON COLUMN summit_approval_proposal_mobile.proposal_type IS '提案種別';</v>
      </c>
      <c r="R22" s="34" t="s">
        <v>5337</v>
      </c>
    </row>
    <row r="23" spans="1:18">
      <c r="A23" s="23"/>
      <c r="B23" s="23"/>
      <c r="C23" s="36" t="s">
        <v>5338</v>
      </c>
      <c r="D23" s="37" t="s">
        <v>66</v>
      </c>
      <c r="E23" s="23">
        <v>12000</v>
      </c>
      <c r="F23" s="23"/>
      <c r="G23" s="23"/>
      <c r="H23" s="23"/>
      <c r="I23" s="23"/>
      <c r="J23" s="23"/>
      <c r="K23" s="25" t="s">
        <v>5339</v>
      </c>
      <c r="L23" t="str">
        <f t="shared" si="0"/>
        <v>VARCHAR(12000),</v>
      </c>
      <c r="N23" s="38" t="str">
        <f t="shared" si="1"/>
        <v>COMMENT ON COLUMN summit_approval_proposal_mobile.project_summary_summary_1 IS '案件概要_要旨記述1';</v>
      </c>
      <c r="R23" s="34" t="s">
        <v>5340</v>
      </c>
    </row>
    <row r="24" spans="1:18">
      <c r="A24" s="23"/>
      <c r="B24" s="23"/>
      <c r="C24" s="36" t="s">
        <v>5341</v>
      </c>
      <c r="D24" s="37" t="s">
        <v>66</v>
      </c>
      <c r="E24" s="23">
        <v>12000</v>
      </c>
      <c r="F24" s="23"/>
      <c r="G24" s="23"/>
      <c r="H24" s="23"/>
      <c r="I24" s="23"/>
      <c r="J24" s="23"/>
      <c r="K24" s="25" t="s">
        <v>5342</v>
      </c>
      <c r="L24" t="str">
        <f t="shared" si="0"/>
        <v>VARCHAR(12000),</v>
      </c>
      <c r="N24" s="38" t="str">
        <f t="shared" si="1"/>
        <v>COMMENT ON COLUMN summit_approval_proposal_mobile.project_summary_summary_2 IS '案件概要_要旨記述2';</v>
      </c>
      <c r="R24" s="34" t="s">
        <v>5343</v>
      </c>
    </row>
    <row r="25" spans="1:18">
      <c r="A25" s="23"/>
      <c r="B25" s="23"/>
      <c r="C25" s="36" t="s">
        <v>5239</v>
      </c>
      <c r="D25" s="37" t="s">
        <v>66</v>
      </c>
      <c r="E25" s="23">
        <v>12000</v>
      </c>
      <c r="F25" s="23"/>
      <c r="G25" s="23"/>
      <c r="H25" s="23"/>
      <c r="I25" s="23"/>
      <c r="J25" s="23"/>
      <c r="K25" s="25" t="s">
        <v>5344</v>
      </c>
      <c r="L25" t="str">
        <f t="shared" si="0"/>
        <v>VARCHAR(12000),</v>
      </c>
      <c r="N25" s="38" t="str">
        <f t="shared" si="1"/>
        <v>COMMENT ON COLUMN summit_approval_proposal_mobile.project_summary_summary_3 IS '案件概要_要旨記述3';</v>
      </c>
      <c r="R25" s="34" t="s">
        <v>5345</v>
      </c>
    </row>
    <row r="26" spans="1:18">
      <c r="A26" s="23"/>
      <c r="B26" s="23"/>
      <c r="C26" s="36" t="s">
        <v>5242</v>
      </c>
      <c r="D26" s="37" t="s">
        <v>66</v>
      </c>
      <c r="E26" s="23">
        <v>12000</v>
      </c>
      <c r="F26" s="23"/>
      <c r="G26" s="23"/>
      <c r="H26" s="23"/>
      <c r="I26" s="23"/>
      <c r="J26" s="23"/>
      <c r="K26" s="25" t="s">
        <v>5346</v>
      </c>
      <c r="L26" t="str">
        <f t="shared" si="0"/>
        <v>VARCHAR(12000),</v>
      </c>
      <c r="N26" s="38" t="str">
        <f t="shared" si="1"/>
        <v>COMMENT ON COLUMN summit_approval_proposal_mobile.project_summary_summary_4 IS '案件概要_要旨記述4';</v>
      </c>
      <c r="R26" s="34" t="s">
        <v>5347</v>
      </c>
    </row>
    <row r="27" spans="1:18">
      <c r="A27" s="23"/>
      <c r="B27" s="23"/>
      <c r="C27" s="36" t="s">
        <v>5348</v>
      </c>
      <c r="D27" s="37" t="s">
        <v>66</v>
      </c>
      <c r="E27" s="23">
        <v>255</v>
      </c>
      <c r="F27" s="23"/>
      <c r="G27" s="23"/>
      <c r="H27" s="23"/>
      <c r="I27" s="23"/>
      <c r="J27" s="23"/>
      <c r="K27" s="25" t="s">
        <v>5349</v>
      </c>
      <c r="L27" t="str">
        <f t="shared" si="0"/>
        <v>VARCHAR(255),</v>
      </c>
      <c r="N27" s="38" t="str">
        <f t="shared" si="1"/>
        <v>COMMENT ON COLUMN summit_approval_proposal_mobile.purpose_reason_effect IS '目的_理由_効果';</v>
      </c>
      <c r="R27" s="34" t="s">
        <v>5350</v>
      </c>
    </row>
    <row r="28" spans="1:18">
      <c r="A28" s="23"/>
      <c r="B28" s="23"/>
      <c r="C28" s="36" t="s">
        <v>5351</v>
      </c>
      <c r="D28" s="37" t="s">
        <v>66</v>
      </c>
      <c r="E28" s="23">
        <v>255</v>
      </c>
      <c r="F28" s="23"/>
      <c r="G28" s="23"/>
      <c r="H28" s="23"/>
      <c r="I28" s="23"/>
      <c r="J28" s="23"/>
      <c r="K28" s="25" t="s">
        <v>5352</v>
      </c>
      <c r="L28" t="str">
        <f t="shared" si="0"/>
        <v>VARCHAR(255),</v>
      </c>
      <c r="N28" s="38" t="str">
        <f t="shared" si="1"/>
        <v>COMMENT ON COLUMN summit_approval_proposal_mobile.summary_supplement_reserved_for_applicant IS '要旨補足_申請者専用';</v>
      </c>
      <c r="R28" s="34" t="s">
        <v>5353</v>
      </c>
    </row>
    <row r="29" spans="1:18">
      <c r="A29" s="23"/>
      <c r="B29" s="23"/>
      <c r="C29" s="36" t="s">
        <v>166</v>
      </c>
      <c r="D29" s="37" t="s">
        <v>66</v>
      </c>
      <c r="E29" s="23">
        <v>255</v>
      </c>
      <c r="F29" s="23"/>
      <c r="G29" s="23"/>
      <c r="H29" s="23"/>
      <c r="I29" s="23"/>
      <c r="J29" s="23"/>
      <c r="K29" s="25" t="s">
        <v>167</v>
      </c>
      <c r="L29" t="str">
        <f t="shared" si="0"/>
        <v>VARCHAR(255),</v>
      </c>
      <c r="N29" s="38" t="str">
        <f t="shared" si="1"/>
        <v>COMMENT ON COLUMN summit_approval_proposal_mobile.number_of_lines IS '回線数';</v>
      </c>
      <c r="R29" s="34" t="s">
        <v>5354</v>
      </c>
    </row>
    <row r="30" spans="1:18">
      <c r="A30" s="23"/>
      <c r="B30" s="23"/>
      <c r="C30" s="36" t="s">
        <v>5355</v>
      </c>
      <c r="D30" s="37" t="s">
        <v>66</v>
      </c>
      <c r="E30" s="23">
        <v>255</v>
      </c>
      <c r="F30" s="23"/>
      <c r="G30" s="23"/>
      <c r="H30" s="23"/>
      <c r="I30" s="23"/>
      <c r="J30" s="23"/>
      <c r="K30" s="25" t="s">
        <v>5356</v>
      </c>
      <c r="L30" t="str">
        <f t="shared" si="0"/>
        <v>VARCHAR(255),</v>
      </c>
      <c r="N30" s="38" t="str">
        <f t="shared" si="1"/>
        <v>COMMENT ON COLUMN summit_approval_proposal_mobile.maximum_number_of_lines IS '回線数_上限';</v>
      </c>
      <c r="R30" s="34" t="s">
        <v>5357</v>
      </c>
    </row>
    <row r="31" spans="1:18">
      <c r="A31" s="23"/>
      <c r="B31" s="23"/>
      <c r="C31" s="36" t="s">
        <v>5358</v>
      </c>
      <c r="D31" s="37" t="s">
        <v>66</v>
      </c>
      <c r="E31" s="23">
        <v>255</v>
      </c>
      <c r="F31" s="23"/>
      <c r="G31" s="23"/>
      <c r="H31" s="23"/>
      <c r="I31" s="23"/>
      <c r="J31" s="23"/>
      <c r="K31" s="25" t="s">
        <v>1239</v>
      </c>
      <c r="L31" t="str">
        <f t="shared" si="0"/>
        <v>VARCHAR(255),</v>
      </c>
      <c r="N31" s="38" t="str">
        <f t="shared" si="1"/>
        <v>COMMENT ON COLUMN summit_approval_proposal_mobile.minimum_number_of_lines IS '回線数_下限';</v>
      </c>
      <c r="R31" s="34" t="s">
        <v>5359</v>
      </c>
    </row>
    <row r="32" spans="1:18">
      <c r="A32" s="23"/>
      <c r="B32" s="23"/>
      <c r="C32" s="36" t="s">
        <v>5360</v>
      </c>
      <c r="D32" s="37" t="s">
        <v>66</v>
      </c>
      <c r="E32" s="23">
        <v>255</v>
      </c>
      <c r="F32" s="23"/>
      <c r="G32" s="23"/>
      <c r="H32" s="23"/>
      <c r="I32" s="23"/>
      <c r="J32" s="23"/>
      <c r="K32" s="25" t="s">
        <v>5361</v>
      </c>
      <c r="L32" t="str">
        <f t="shared" si="0"/>
        <v>VARCHAR(255),</v>
      </c>
      <c r="N32" s="38" t="str">
        <f t="shared" si="1"/>
        <v>COMMENT ON COLUMN summit_approval_proposal_mobile.applicable_plan IS '適用プラン';</v>
      </c>
      <c r="R32" s="34" t="s">
        <v>5362</v>
      </c>
    </row>
    <row r="33" spans="1:18">
      <c r="A33" s="23"/>
      <c r="B33" s="23"/>
      <c r="C33" s="36" t="s">
        <v>2458</v>
      </c>
      <c r="D33" s="37" t="s">
        <v>66</v>
      </c>
      <c r="E33" s="23">
        <v>255</v>
      </c>
      <c r="F33" s="23"/>
      <c r="G33" s="23"/>
      <c r="H33" s="23"/>
      <c r="I33" s="23"/>
      <c r="J33" s="23"/>
      <c r="K33" s="25" t="s">
        <v>2459</v>
      </c>
      <c r="L33" t="str">
        <f t="shared" si="0"/>
        <v>VARCHAR(255),</v>
      </c>
      <c r="N33" s="38" t="str">
        <f t="shared" si="1"/>
        <v>COMMENT ON COLUMN summit_approval_proposal_mobile.discount_rate IS '割引率';</v>
      </c>
      <c r="R33" s="34" t="s">
        <v>5363</v>
      </c>
    </row>
    <row r="34" spans="1:18">
      <c r="A34" s="23"/>
      <c r="B34" s="23"/>
      <c r="C34" s="36" t="s">
        <v>5364</v>
      </c>
      <c r="D34" s="37" t="s">
        <v>66</v>
      </c>
      <c r="E34" s="23">
        <v>255</v>
      </c>
      <c r="F34" s="23"/>
      <c r="G34" s="23"/>
      <c r="H34" s="23"/>
      <c r="I34" s="23"/>
      <c r="J34" s="23"/>
      <c r="K34" s="25" t="s">
        <v>5365</v>
      </c>
      <c r="L34" t="str">
        <f t="shared" si="0"/>
        <v>VARCHAR(255),</v>
      </c>
      <c r="N34" s="38" t="str">
        <f t="shared" si="1"/>
        <v>COMMENT ON COLUMN summit_approval_proposal_mobile.internal_and_external_agency IS '代理権内外';</v>
      </c>
      <c r="R34" s="34" t="s">
        <v>5366</v>
      </c>
    </row>
    <row r="35" spans="1:18">
      <c r="A35" s="23"/>
      <c r="B35" s="23"/>
      <c r="C35" s="36" t="s">
        <v>2775</v>
      </c>
      <c r="D35" s="37" t="s">
        <v>66</v>
      </c>
      <c r="E35" s="23">
        <v>255</v>
      </c>
      <c r="F35" s="23"/>
      <c r="G35" s="23"/>
      <c r="H35" s="23"/>
      <c r="I35" s="23"/>
      <c r="J35" s="23"/>
      <c r="K35" s="25" t="s">
        <v>2776</v>
      </c>
      <c r="L35" t="str">
        <f t="shared" si="0"/>
        <v>VARCHAR(255),</v>
      </c>
      <c r="N35" s="38" t="str">
        <f t="shared" si="1"/>
        <v>COMMENT ON COLUMN summit_approval_proposal_mobile.channel IS 'チャネル';</v>
      </c>
      <c r="R35" s="34" t="s">
        <v>5367</v>
      </c>
    </row>
    <row r="36" spans="1:18">
      <c r="A36" s="23"/>
      <c r="B36" s="23"/>
      <c r="C36" s="36" t="s">
        <v>5368</v>
      </c>
      <c r="D36" s="37" t="s">
        <v>66</v>
      </c>
      <c r="E36" s="23">
        <v>255</v>
      </c>
      <c r="F36" s="23"/>
      <c r="G36" s="23"/>
      <c r="H36" s="23"/>
      <c r="I36" s="23"/>
      <c r="J36" s="23"/>
      <c r="K36" s="25" t="s">
        <v>5369</v>
      </c>
      <c r="L36" t="str">
        <f t="shared" si="0"/>
        <v>VARCHAR(255),</v>
      </c>
      <c r="N36" s="38" t="str">
        <f t="shared" si="1"/>
        <v>COMMENT ON COLUMN summit_approval_proposal_mobile.special_personal_consultation_c IS '特_相対相談Ｃ';</v>
      </c>
      <c r="R36" s="34" t="s">
        <v>5370</v>
      </c>
    </row>
    <row r="37" spans="1:18">
      <c r="A37" s="23"/>
      <c r="B37" s="23"/>
      <c r="C37" s="36" t="s">
        <v>5371</v>
      </c>
      <c r="D37" s="37" t="s">
        <v>66</v>
      </c>
      <c r="E37" s="23">
        <v>255</v>
      </c>
      <c r="F37" s="23"/>
      <c r="G37" s="23"/>
      <c r="H37" s="23"/>
      <c r="I37" s="23"/>
      <c r="J37" s="23"/>
      <c r="K37" s="25" t="s">
        <v>5372</v>
      </c>
      <c r="L37" t="str">
        <f t="shared" si="0"/>
        <v>VARCHAR(255),</v>
      </c>
      <c r="N37" s="38" t="str">
        <f t="shared" si="1"/>
        <v>COMMENT ON COLUMN summit_approval_proposal_mobile.special_service_provision IS '特_サービス提供';</v>
      </c>
      <c r="R37" s="34" t="s">
        <v>5373</v>
      </c>
    </row>
    <row r="38" spans="1:18">
      <c r="A38" s="23"/>
      <c r="B38" s="23"/>
      <c r="C38" s="36" t="s">
        <v>5374</v>
      </c>
      <c r="D38" s="37" t="s">
        <v>66</v>
      </c>
      <c r="E38" s="23">
        <v>255</v>
      </c>
      <c r="F38" s="23"/>
      <c r="G38" s="23"/>
      <c r="H38" s="23"/>
      <c r="I38" s="23"/>
      <c r="J38" s="23"/>
      <c r="K38" s="25" t="s">
        <v>5375</v>
      </c>
      <c r="L38" t="str">
        <f t="shared" si="0"/>
        <v>VARCHAR(255),</v>
      </c>
      <c r="N38" s="38" t="str">
        <f t="shared" si="1"/>
        <v>COMMENT ON COLUMN summit_approval_proposal_mobile.special_new_data_card IS '特_新規データカード';</v>
      </c>
      <c r="R38" s="34" t="s">
        <v>5376</v>
      </c>
    </row>
    <row r="39" spans="1:18">
      <c r="A39" s="23"/>
      <c r="B39" s="23"/>
      <c r="C39" s="36" t="s">
        <v>5377</v>
      </c>
      <c r="D39" s="37" t="s">
        <v>66</v>
      </c>
      <c r="E39" s="23">
        <v>255</v>
      </c>
      <c r="F39" s="23"/>
      <c r="G39" s="23"/>
      <c r="H39" s="23"/>
      <c r="I39" s="23"/>
      <c r="J39" s="23"/>
      <c r="K39" s="25" t="s">
        <v>5378</v>
      </c>
      <c r="L39" t="str">
        <f t="shared" si="0"/>
        <v>VARCHAR(255),</v>
      </c>
      <c r="N39" s="38" t="str">
        <f t="shared" si="1"/>
        <v>COMMENT ON COLUMN summit_approval_proposal_mobile.special_m2m IS '特_m2m';</v>
      </c>
      <c r="R39" s="34" t="s">
        <v>5379</v>
      </c>
    </row>
    <row r="40" spans="1:18">
      <c r="A40" s="23"/>
      <c r="B40" s="23"/>
      <c r="C40" s="36" t="s">
        <v>5380</v>
      </c>
      <c r="D40" s="37" t="s">
        <v>66</v>
      </c>
      <c r="E40" s="23">
        <v>255</v>
      </c>
      <c r="F40" s="23"/>
      <c r="G40" s="23"/>
      <c r="H40" s="23"/>
      <c r="I40" s="23"/>
      <c r="J40" s="23"/>
      <c r="K40" s="25" t="s">
        <v>5381</v>
      </c>
      <c r="L40" t="str">
        <f t="shared" si="0"/>
        <v>VARCHAR(255),</v>
      </c>
      <c r="N40" s="38" t="str">
        <f t="shared" si="1"/>
        <v>COMMENT ON COLUMN summit_approval_proposal_mobile.special_hardware_replacement IS '特_異機種交換';</v>
      </c>
      <c r="R40" s="34" t="s">
        <v>5382</v>
      </c>
    </row>
    <row r="41" spans="1:18">
      <c r="A41" s="23"/>
      <c r="B41" s="23"/>
      <c r="C41" s="36" t="s">
        <v>5383</v>
      </c>
      <c r="D41" s="37" t="s">
        <v>66</v>
      </c>
      <c r="E41" s="23">
        <v>255</v>
      </c>
      <c r="F41" s="23"/>
      <c r="G41" s="23"/>
      <c r="H41" s="23"/>
      <c r="I41" s="23"/>
      <c r="J41" s="23"/>
      <c r="K41" s="25" t="s">
        <v>5384</v>
      </c>
      <c r="L41" t="str">
        <f t="shared" si="0"/>
        <v>VARCHAR(255),</v>
      </c>
      <c r="N41" s="38" t="str">
        <f t="shared" si="1"/>
        <v>COMMENT ON COLUMN summit_approval_proposal_mobile.special_base_station IS '特_基地局';</v>
      </c>
      <c r="R41" s="34" t="s">
        <v>5385</v>
      </c>
    </row>
    <row r="42" spans="1:18">
      <c r="A42" s="23"/>
      <c r="B42" s="23"/>
      <c r="C42" s="36" t="s">
        <v>5386</v>
      </c>
      <c r="D42" s="37" t="s">
        <v>66</v>
      </c>
      <c r="E42" s="23">
        <v>255</v>
      </c>
      <c r="F42" s="23"/>
      <c r="G42" s="23"/>
      <c r="H42" s="23"/>
      <c r="I42" s="23"/>
      <c r="J42" s="23"/>
      <c r="K42" s="25" t="s">
        <v>5387</v>
      </c>
      <c r="L42" t="str">
        <f t="shared" si="0"/>
        <v>VARCHAR(255),</v>
      </c>
      <c r="N42" s="38" t="str">
        <f t="shared" si="1"/>
        <v>COMMENT ON COLUMN summit_approval_proposal_mobile.sales IS '売上';</v>
      </c>
      <c r="R42" s="34" t="s">
        <v>5388</v>
      </c>
    </row>
    <row r="43" spans="1:18">
      <c r="A43" s="23"/>
      <c r="B43" s="23"/>
      <c r="C43" s="36" t="s">
        <v>5248</v>
      </c>
      <c r="D43" s="37" t="s">
        <v>66</v>
      </c>
      <c r="E43" s="23">
        <v>255</v>
      </c>
      <c r="F43" s="23"/>
      <c r="G43" s="23"/>
      <c r="H43" s="23"/>
      <c r="I43" s="23"/>
      <c r="J43" s="23"/>
      <c r="K43" s="25" t="s">
        <v>5389</v>
      </c>
      <c r="L43" t="str">
        <f t="shared" si="0"/>
        <v>VARCHAR(255),</v>
      </c>
      <c r="N43" s="38" t="str">
        <f t="shared" si="1"/>
        <v>COMMENT ON COLUMN summit_approval_proposal_mobile.total_expenses IS '費用負担総額';</v>
      </c>
      <c r="R43" s="34" t="s">
        <v>5390</v>
      </c>
    </row>
    <row r="44" spans="1:18">
      <c r="A44" s="23"/>
      <c r="B44" s="23"/>
      <c r="C44" s="36" t="s">
        <v>5391</v>
      </c>
      <c r="D44" s="37" t="s">
        <v>66</v>
      </c>
      <c r="E44" s="23">
        <v>255</v>
      </c>
      <c r="F44" s="23"/>
      <c r="G44" s="23"/>
      <c r="H44" s="23"/>
      <c r="I44" s="23"/>
      <c r="J44" s="23"/>
      <c r="K44" s="25" t="s">
        <v>5392</v>
      </c>
      <c r="L44" t="str">
        <f t="shared" si="0"/>
        <v>VARCHAR(255),</v>
      </c>
      <c r="N44" s="38" t="str">
        <f t="shared" si="1"/>
        <v>COMMENT ON COLUMN summit_approval_proposal_mobile.operating_variable_profit IS '営業変動利益';</v>
      </c>
      <c r="R44" s="34" t="s">
        <v>5393</v>
      </c>
    </row>
    <row r="45" spans="1:18">
      <c r="A45" s="23"/>
      <c r="B45" s="23"/>
      <c r="C45" s="36" t="s">
        <v>5394</v>
      </c>
      <c r="D45" s="37" t="s">
        <v>66</v>
      </c>
      <c r="E45" s="23">
        <v>255</v>
      </c>
      <c r="F45" s="23"/>
      <c r="G45" s="23"/>
      <c r="H45" s="23"/>
      <c r="I45" s="23"/>
      <c r="J45" s="23"/>
      <c r="K45" s="25" t="s">
        <v>5395</v>
      </c>
      <c r="L45" t="str">
        <f t="shared" si="0"/>
        <v>VARCHAR(255),</v>
      </c>
      <c r="N45" s="38" t="str">
        <f t="shared" si="1"/>
        <v>COMMENT ON COLUMN summit_approval_proposal_mobile.operating_variable_profit_margin IS '営業変動利益率';</v>
      </c>
      <c r="R45" s="34" t="s">
        <v>5396</v>
      </c>
    </row>
    <row r="46" spans="1:18">
      <c r="A46" s="23"/>
      <c r="B46" s="23"/>
      <c r="C46" s="36" t="s">
        <v>5397</v>
      </c>
      <c r="D46" s="37" t="s">
        <v>66</v>
      </c>
      <c r="E46" s="23">
        <v>255</v>
      </c>
      <c r="F46" s="23"/>
      <c r="G46" s="23"/>
      <c r="H46" s="23"/>
      <c r="I46" s="23"/>
      <c r="J46" s="23"/>
      <c r="K46" s="25" t="s">
        <v>5398</v>
      </c>
      <c r="L46" t="str">
        <f t="shared" si="0"/>
        <v>VARCHAR(255),</v>
      </c>
      <c r="N46" s="38" t="str">
        <f t="shared" si="1"/>
        <v>COMMENT ON COLUMN summit_approval_proposal_mobile.operating_contribution_margin IS '営業貢献利益';</v>
      </c>
      <c r="R46" s="34" t="s">
        <v>5399</v>
      </c>
    </row>
    <row r="47" spans="1:18">
      <c r="A47" s="23"/>
      <c r="B47" s="23"/>
      <c r="C47" s="36" t="s">
        <v>5400</v>
      </c>
      <c r="D47" s="37" t="s">
        <v>66</v>
      </c>
      <c r="E47" s="23">
        <v>255</v>
      </c>
      <c r="F47" s="23"/>
      <c r="G47" s="23"/>
      <c r="H47" s="23"/>
      <c r="I47" s="23"/>
      <c r="J47" s="23"/>
      <c r="K47" s="25" t="s">
        <v>5401</v>
      </c>
      <c r="L47" t="str">
        <f t="shared" si="0"/>
        <v>VARCHAR(255),</v>
      </c>
      <c r="N47" s="38" t="str">
        <f t="shared" si="1"/>
        <v>COMMENT ON COLUMN summit_approval_proposal_mobile.operating_contribution_margin_margin IS '営業貢献利益率';</v>
      </c>
      <c r="R47" s="34" t="s">
        <v>5402</v>
      </c>
    </row>
    <row r="48" spans="1:18">
      <c r="A48" s="23"/>
      <c r="B48" s="23"/>
      <c r="C48" s="36" t="s">
        <v>5403</v>
      </c>
      <c r="D48" s="37" t="s">
        <v>66</v>
      </c>
      <c r="E48" s="23">
        <v>255</v>
      </c>
      <c r="F48" s="23"/>
      <c r="G48" s="23"/>
      <c r="H48" s="23"/>
      <c r="I48" s="23"/>
      <c r="J48" s="23"/>
      <c r="K48" s="25" t="s">
        <v>5404</v>
      </c>
      <c r="L48" t="str">
        <f t="shared" si="0"/>
        <v>VARCHAR(255),</v>
      </c>
      <c r="N48" s="38" t="str">
        <f t="shared" si="1"/>
        <v>COMMENT ON COLUMN summit_approval_proposal_mobile.sales_profit IS '営業利益';</v>
      </c>
      <c r="R48" s="34" t="s">
        <v>5405</v>
      </c>
    </row>
    <row r="49" spans="1:18">
      <c r="A49" s="23"/>
      <c r="B49" s="23"/>
      <c r="C49" s="36" t="s">
        <v>5406</v>
      </c>
      <c r="D49" s="37" t="s">
        <v>66</v>
      </c>
      <c r="E49" s="23">
        <v>255</v>
      </c>
      <c r="F49" s="23"/>
      <c r="G49" s="23"/>
      <c r="H49" s="23"/>
      <c r="I49" s="23"/>
      <c r="J49" s="23"/>
      <c r="K49" s="25" t="s">
        <v>5407</v>
      </c>
      <c r="L49" t="str">
        <f t="shared" si="0"/>
        <v>VARCHAR(255),</v>
      </c>
      <c r="N49" s="38" t="str">
        <f t="shared" si="1"/>
        <v>COMMENT ON COLUMN summit_approval_proposal_mobile.operating_margin IS '営業利益率';</v>
      </c>
      <c r="R49" s="34" t="s">
        <v>5408</v>
      </c>
    </row>
    <row r="50" spans="1:18">
      <c r="A50" s="23"/>
      <c r="B50" s="23"/>
      <c r="C50" s="36" t="s">
        <v>5409</v>
      </c>
      <c r="D50" s="37" t="s">
        <v>66</v>
      </c>
      <c r="E50" s="23">
        <v>255</v>
      </c>
      <c r="F50" s="23"/>
      <c r="G50" s="23"/>
      <c r="H50" s="23"/>
      <c r="I50" s="23"/>
      <c r="J50" s="23"/>
      <c r="K50" s="25" t="s">
        <v>5410</v>
      </c>
      <c r="L50" t="str">
        <f t="shared" si="0"/>
        <v>VARCHAR(255),</v>
      </c>
      <c r="N50" s="38" t="str">
        <f t="shared" si="1"/>
        <v>COMMENT ON COLUMN summit_approval_proposal_mobile.operating_contribution_margin_voice IS '営業貢献利益_音声';</v>
      </c>
      <c r="R50" s="34" t="s">
        <v>5411</v>
      </c>
    </row>
    <row r="51" spans="1:18">
      <c r="A51" s="23"/>
      <c r="B51" s="23"/>
      <c r="C51" s="36" t="s">
        <v>5412</v>
      </c>
      <c r="D51" s="37" t="s">
        <v>66</v>
      </c>
      <c r="E51" s="23">
        <v>255</v>
      </c>
      <c r="F51" s="23"/>
      <c r="G51" s="23"/>
      <c r="H51" s="23"/>
      <c r="I51" s="23"/>
      <c r="J51" s="23"/>
      <c r="K51" s="25" t="s">
        <v>5413</v>
      </c>
      <c r="L51" t="str">
        <f t="shared" si="0"/>
        <v>VARCHAR(255),</v>
      </c>
      <c r="N51" s="38" t="str">
        <f t="shared" si="1"/>
        <v>COMMENT ON COLUMN summit_approval_proposal_mobile.operating_contribution_margin_ratio_voice IS '営業貢献利益率_音声';</v>
      </c>
      <c r="R51" s="34" t="s">
        <v>5414</v>
      </c>
    </row>
    <row r="52" spans="1:18">
      <c r="A52" s="23"/>
      <c r="B52" s="23"/>
      <c r="C52" s="36" t="s">
        <v>5415</v>
      </c>
      <c r="D52" s="37" t="s">
        <v>66</v>
      </c>
      <c r="E52" s="23">
        <v>255</v>
      </c>
      <c r="F52" s="23"/>
      <c r="G52" s="23"/>
      <c r="H52" s="23"/>
      <c r="I52" s="23"/>
      <c r="J52" s="23"/>
      <c r="K52" s="25" t="s">
        <v>5416</v>
      </c>
      <c r="L52" t="str">
        <f t="shared" si="0"/>
        <v>VARCHAR(255),</v>
      </c>
      <c r="N52" s="38" t="str">
        <f t="shared" si="1"/>
        <v>COMMENT ON COLUMN summit_approval_proposal_mobile.approval_based_profit_id IS '決裁基準利益_id';</v>
      </c>
      <c r="R52" s="34" t="s">
        <v>5417</v>
      </c>
    </row>
    <row r="53" spans="1:18">
      <c r="A53" s="23"/>
      <c r="B53" s="23"/>
      <c r="C53" s="36" t="s">
        <v>5418</v>
      </c>
      <c r="D53" s="37" t="s">
        <v>66</v>
      </c>
      <c r="E53" s="23">
        <v>255</v>
      </c>
      <c r="F53" s="23"/>
      <c r="G53" s="23"/>
      <c r="H53" s="23"/>
      <c r="I53" s="23"/>
      <c r="J53" s="23"/>
      <c r="K53" s="25" t="s">
        <v>5419</v>
      </c>
      <c r="L53" t="str">
        <f t="shared" si="0"/>
        <v>VARCHAR(255),</v>
      </c>
      <c r="N53" s="38" t="str">
        <f t="shared" si="1"/>
        <v>COMMENT ON COLUMN summit_approval_proposal_mobile.approval_based_profit_ratio_id IS '決裁基準利益率_id';</v>
      </c>
      <c r="R53" s="34" t="s">
        <v>5420</v>
      </c>
    </row>
    <row r="54" spans="1:18">
      <c r="A54" s="23"/>
      <c r="B54" s="23"/>
      <c r="C54" s="36" t="s">
        <v>5421</v>
      </c>
      <c r="D54" s="37" t="s">
        <v>66</v>
      </c>
      <c r="E54" s="23">
        <v>255</v>
      </c>
      <c r="F54" s="23"/>
      <c r="G54" s="23"/>
      <c r="H54" s="23"/>
      <c r="I54" s="23"/>
      <c r="J54" s="23"/>
      <c r="K54" s="25" t="s">
        <v>5422</v>
      </c>
      <c r="L54" t="str">
        <f t="shared" si="0"/>
        <v>VARCHAR(255),</v>
      </c>
      <c r="N54" s="38" t="str">
        <f t="shared" si="1"/>
        <v>COMMENT ON COLUMN summit_approval_proposal_mobile.approval_based_profit_is IS '決裁基準利益_is';</v>
      </c>
      <c r="R54" s="34" t="s">
        <v>5423</v>
      </c>
    </row>
    <row r="55" spans="1:18">
      <c r="A55" s="23"/>
      <c r="B55" s="23"/>
      <c r="C55" s="36" t="s">
        <v>5424</v>
      </c>
      <c r="D55" s="37" t="s">
        <v>66</v>
      </c>
      <c r="E55" s="23">
        <v>255</v>
      </c>
      <c r="F55" s="23"/>
      <c r="G55" s="23"/>
      <c r="H55" s="23"/>
      <c r="I55" s="23"/>
      <c r="J55" s="23"/>
      <c r="K55" s="25" t="s">
        <v>5425</v>
      </c>
      <c r="L55" t="str">
        <f t="shared" si="0"/>
        <v>VARCHAR(255),</v>
      </c>
      <c r="N55" s="38" t="str">
        <f t="shared" si="1"/>
        <v>COMMENT ON COLUMN summit_approval_proposal_mobile.approval_based_profit_ratio_is IS '決裁基準利益率_is';</v>
      </c>
      <c r="R55" s="34" t="s">
        <v>5426</v>
      </c>
    </row>
    <row r="56" spans="1:18">
      <c r="A56" s="23"/>
      <c r="B56" s="23"/>
      <c r="C56" s="36" t="s">
        <v>5427</v>
      </c>
      <c r="D56" s="37" t="s">
        <v>66</v>
      </c>
      <c r="E56" s="23">
        <v>255</v>
      </c>
      <c r="F56" s="23"/>
      <c r="G56" s="23"/>
      <c r="H56" s="23"/>
      <c r="I56" s="23"/>
      <c r="J56" s="23"/>
      <c r="K56" s="25" t="s">
        <v>5428</v>
      </c>
      <c r="L56" t="str">
        <f t="shared" si="0"/>
        <v>VARCHAR(255),</v>
      </c>
      <c r="N56" s="38" t="str">
        <f t="shared" si="1"/>
        <v>COMMENT ON COLUMN summit_approval_proposal_mobile.operating_contribution_margin_mobile IS '営業貢献利益_mobile';</v>
      </c>
      <c r="R56" s="34" t="s">
        <v>5429</v>
      </c>
    </row>
    <row r="57" spans="1:18">
      <c r="A57" s="23"/>
      <c r="B57" s="23"/>
      <c r="C57" s="36" t="s">
        <v>5430</v>
      </c>
      <c r="D57" s="37" t="s">
        <v>66</v>
      </c>
      <c r="E57" s="23">
        <v>255</v>
      </c>
      <c r="F57" s="23"/>
      <c r="G57" s="23"/>
      <c r="H57" s="23"/>
      <c r="I57" s="23"/>
      <c r="J57" s="23"/>
      <c r="K57" s="25" t="s">
        <v>5431</v>
      </c>
      <c r="L57" t="str">
        <f t="shared" si="0"/>
        <v>VARCHAR(255),</v>
      </c>
      <c r="N57" s="38" t="str">
        <f t="shared" si="1"/>
        <v>COMMENT ON COLUMN summit_approval_proposal_mobile.operating_contribution_margin_ratio_mobile IS '営業貢献利益率_mobile';</v>
      </c>
      <c r="R57" s="34" t="s">
        <v>5432</v>
      </c>
    </row>
    <row r="58" spans="1:18">
      <c r="A58" s="23"/>
      <c r="B58" s="23"/>
      <c r="C58" s="36" t="s">
        <v>5433</v>
      </c>
      <c r="D58" s="37" t="s">
        <v>66</v>
      </c>
      <c r="E58" s="23">
        <v>255</v>
      </c>
      <c r="F58" s="23"/>
      <c r="G58" s="23"/>
      <c r="H58" s="23"/>
      <c r="I58" s="23"/>
      <c r="J58" s="23"/>
      <c r="K58" s="25" t="s">
        <v>5434</v>
      </c>
      <c r="L58" t="str">
        <f t="shared" si="0"/>
        <v>VARCHAR(255),</v>
      </c>
      <c r="N58" s="38" t="str">
        <f t="shared" si="1"/>
        <v>COMMENT ON COLUMN summit_approval_proposal_mobile.operating_contribution_margin_phs IS '営業貢献利益_phs';</v>
      </c>
      <c r="R58" s="34" t="s">
        <v>5435</v>
      </c>
    </row>
    <row r="59" spans="1:18">
      <c r="A59" s="23"/>
      <c r="B59" s="23"/>
      <c r="C59" s="36" t="s">
        <v>5436</v>
      </c>
      <c r="D59" s="37" t="s">
        <v>66</v>
      </c>
      <c r="E59" s="23">
        <v>255</v>
      </c>
      <c r="F59" s="23"/>
      <c r="G59" s="23"/>
      <c r="H59" s="23"/>
      <c r="I59" s="23"/>
      <c r="J59" s="23"/>
      <c r="K59" s="25" t="s">
        <v>5437</v>
      </c>
      <c r="L59" t="str">
        <f t="shared" si="0"/>
        <v>VARCHAR(255),</v>
      </c>
      <c r="N59" s="38" t="str">
        <f t="shared" si="1"/>
        <v>COMMENT ON COLUMN summit_approval_proposal_mobile.operating_contribution_margin_ratio_phs IS '営業貢献利益率_phs';</v>
      </c>
      <c r="R59" s="34" t="s">
        <v>5438</v>
      </c>
    </row>
    <row r="60" spans="1:18">
      <c r="A60" s="23"/>
      <c r="B60" s="23"/>
      <c r="C60" s="36" t="s">
        <v>5439</v>
      </c>
      <c r="D60" s="37" t="s">
        <v>66</v>
      </c>
      <c r="E60" s="23">
        <v>255</v>
      </c>
      <c r="F60" s="23"/>
      <c r="G60" s="23"/>
      <c r="H60" s="23"/>
      <c r="I60" s="23"/>
      <c r="J60" s="23"/>
      <c r="K60" s="25" t="s">
        <v>5440</v>
      </c>
      <c r="L60" t="str">
        <f t="shared" si="0"/>
        <v>VARCHAR(255),</v>
      </c>
      <c r="N60" s="38" t="str">
        <f t="shared" si="1"/>
        <v>COMMENT ON COLUMN summit_approval_proposal_mobile.deduction_exemption IS '減免有無';</v>
      </c>
      <c r="R60" s="34" t="s">
        <v>5441</v>
      </c>
    </row>
    <row r="61" spans="1:18">
      <c r="A61" s="23"/>
      <c r="B61" s="23"/>
      <c r="C61" s="36" t="s">
        <v>5442</v>
      </c>
      <c r="D61" s="37" t="s">
        <v>66</v>
      </c>
      <c r="E61" s="23">
        <v>255</v>
      </c>
      <c r="F61" s="23"/>
      <c r="G61" s="23"/>
      <c r="H61" s="23"/>
      <c r="I61" s="23"/>
      <c r="J61" s="23"/>
      <c r="K61" s="25" t="s">
        <v>5443</v>
      </c>
      <c r="L61" t="str">
        <f t="shared" si="0"/>
        <v>VARCHAR(255),</v>
      </c>
      <c r="N61" s="38" t="str">
        <f t="shared" si="1"/>
        <v>COMMENT ON COLUMN summit_approval_proposal_mobile.deduction_amount IS '減免額';</v>
      </c>
      <c r="R61" s="34" t="s">
        <v>5444</v>
      </c>
    </row>
    <row r="62" spans="1:18">
      <c r="A62" s="23"/>
      <c r="B62" s="23"/>
      <c r="C62" s="36" t="s">
        <v>5445</v>
      </c>
      <c r="D62" s="37" t="s">
        <v>66</v>
      </c>
      <c r="E62" s="23">
        <v>255</v>
      </c>
      <c r="F62" s="23"/>
      <c r="G62" s="23"/>
      <c r="H62" s="23"/>
      <c r="I62" s="23"/>
      <c r="J62" s="23"/>
      <c r="K62" s="25" t="s">
        <v>5446</v>
      </c>
      <c r="L62" t="str">
        <f t="shared" si="0"/>
        <v>VARCHAR(255),</v>
      </c>
      <c r="N62" s="38" t="str">
        <f t="shared" si="1"/>
        <v>COMMENT ON COLUMN summit_approval_proposal_mobile.agency_collaboration IS '代理店協業有無';</v>
      </c>
      <c r="R62" s="34" t="s">
        <v>5447</v>
      </c>
    </row>
    <row r="63" spans="1:18">
      <c r="A63" s="23"/>
      <c r="B63" s="23"/>
      <c r="C63" s="36" t="s">
        <v>5448</v>
      </c>
      <c r="D63" s="37" t="s">
        <v>66</v>
      </c>
      <c r="E63" s="23">
        <v>255</v>
      </c>
      <c r="F63" s="23"/>
      <c r="G63" s="23"/>
      <c r="H63" s="23"/>
      <c r="I63" s="23"/>
      <c r="J63" s="23"/>
      <c r="K63" s="25" t="s">
        <v>2342</v>
      </c>
      <c r="L63" t="str">
        <f t="shared" si="0"/>
        <v>VARCHAR(255),</v>
      </c>
      <c r="N63" s="38" t="str">
        <f t="shared" si="1"/>
        <v>COMMENT ON COLUMN summit_approval_proposal_mobile.agency_name IS '代理店名';</v>
      </c>
      <c r="R63" s="34" t="s">
        <v>5449</v>
      </c>
    </row>
    <row r="64" spans="1:18">
      <c r="A64" s="23"/>
      <c r="B64" s="23"/>
      <c r="C64" s="36" t="s">
        <v>2308</v>
      </c>
      <c r="D64" s="37" t="s">
        <v>66</v>
      </c>
      <c r="E64" s="23">
        <v>255</v>
      </c>
      <c r="F64" s="23"/>
      <c r="G64" s="23"/>
      <c r="H64" s="23"/>
      <c r="I64" s="23"/>
      <c r="J64" s="23"/>
      <c r="K64" s="25" t="s">
        <v>2187</v>
      </c>
      <c r="L64" t="str">
        <f t="shared" si="0"/>
        <v>VARCHAR(255),</v>
      </c>
      <c r="N64" s="38" t="str">
        <f t="shared" si="1"/>
        <v>COMMENT ON COLUMN summit_approval_proposal_mobile.agency_code IS '代理店コード';</v>
      </c>
      <c r="R64" s="34" t="s">
        <v>5450</v>
      </c>
    </row>
    <row r="65" spans="1:18">
      <c r="A65" s="23"/>
      <c r="B65" s="23"/>
      <c r="C65" s="36" t="s">
        <v>5451</v>
      </c>
      <c r="D65" s="37" t="s">
        <v>66</v>
      </c>
      <c r="E65" s="23">
        <v>255</v>
      </c>
      <c r="F65" s="23"/>
      <c r="G65" s="23"/>
      <c r="H65" s="23"/>
      <c r="I65" s="23"/>
      <c r="J65" s="23"/>
      <c r="K65" s="25" t="s">
        <v>5452</v>
      </c>
      <c r="L65" t="str">
        <f t="shared" si="0"/>
        <v>VARCHAR(255),</v>
      </c>
      <c r="N65" s="38" t="str">
        <f t="shared" si="1"/>
        <v>COMMENT ON COLUMN summit_approval_proposal_mobile.agency_manual_input_flag IS '代理店手入力フラグ';</v>
      </c>
      <c r="R65" s="34" t="s">
        <v>5453</v>
      </c>
    </row>
    <row r="66" spans="1:18">
      <c r="A66" s="23"/>
      <c r="B66" s="23"/>
      <c r="C66" s="36" t="s">
        <v>5454</v>
      </c>
      <c r="D66" s="37" t="s">
        <v>66</v>
      </c>
      <c r="E66" s="23">
        <v>255</v>
      </c>
      <c r="F66" s="23"/>
      <c r="G66" s="23"/>
      <c r="H66" s="23"/>
      <c r="I66" s="23"/>
      <c r="J66" s="23"/>
      <c r="K66" s="25" t="s">
        <v>5455</v>
      </c>
      <c r="L66" t="str">
        <f t="shared" si="0"/>
        <v>VARCHAR(255),</v>
      </c>
      <c r="N66" s="38" t="str">
        <f t="shared" si="1"/>
        <v>COMMENT ON COLUMN summit_approval_proposal_mobile.commission_rate IS '手数料率';</v>
      </c>
      <c r="R66" s="34" t="s">
        <v>5456</v>
      </c>
    </row>
    <row r="67" spans="1:18">
      <c r="A67" s="23"/>
      <c r="B67" s="23"/>
      <c r="C67" s="36" t="s">
        <v>5457</v>
      </c>
      <c r="D67" s="37" t="s">
        <v>66</v>
      </c>
      <c r="E67" s="23">
        <v>255</v>
      </c>
      <c r="F67" s="23"/>
      <c r="G67" s="23"/>
      <c r="H67" s="23"/>
      <c r="I67" s="23"/>
      <c r="J67" s="23"/>
      <c r="K67" s="25" t="s">
        <v>5458</v>
      </c>
      <c r="L67" t="str">
        <f t="shared" si="0"/>
        <v>VARCHAR(255),</v>
      </c>
      <c r="N67" s="38" t="str">
        <f t="shared" si="1"/>
        <v>COMMENT ON COLUMN summit_approval_proposal_mobile.incentive_amount IS 'インセンティブ額';</v>
      </c>
      <c r="R67" s="34" t="s">
        <v>5459</v>
      </c>
    </row>
    <row r="68" spans="1:18">
      <c r="A68" s="23"/>
      <c r="B68" s="23"/>
      <c r="C68" s="36" t="s">
        <v>5460</v>
      </c>
      <c r="D68" s="37" t="s">
        <v>66</v>
      </c>
      <c r="E68" s="23">
        <v>255</v>
      </c>
      <c r="F68" s="23"/>
      <c r="G68" s="23"/>
      <c r="H68" s="23"/>
      <c r="I68" s="23"/>
      <c r="J68" s="23"/>
      <c r="K68" s="25" t="s">
        <v>5461</v>
      </c>
      <c r="L68" t="str">
        <f t="shared" si="0"/>
        <v>VARCHAR(255),</v>
      </c>
      <c r="N68" s="38" t="str">
        <f t="shared" si="1"/>
        <v>COMMENT ON COLUMN summit_approval_proposal_mobile.reason_for_collaboration IS '協業理由';</v>
      </c>
      <c r="R68" s="34" t="s">
        <v>5462</v>
      </c>
    </row>
    <row r="69" spans="1:18">
      <c r="A69" s="23"/>
      <c r="B69" s="23"/>
      <c r="C69" s="36" t="s">
        <v>5463</v>
      </c>
      <c r="D69" s="37" t="s">
        <v>66</v>
      </c>
      <c r="E69" s="23">
        <v>255</v>
      </c>
      <c r="F69" s="23"/>
      <c r="G69" s="23"/>
      <c r="H69" s="23"/>
      <c r="I69" s="23"/>
      <c r="J69" s="23"/>
      <c r="K69" s="25" t="s">
        <v>5464</v>
      </c>
      <c r="L69" t="str">
        <f t="shared" si="0"/>
        <v>VARCHAR(255),</v>
      </c>
      <c r="N69" s="38" t="str">
        <f t="shared" si="1"/>
        <v>COMMENT ON COLUMN summit_approval_proposal_mobile.test_1_sales_method IS '試1_販売方法';</v>
      </c>
      <c r="R69" s="34" t="s">
        <v>5465</v>
      </c>
    </row>
    <row r="70" spans="1:18">
      <c r="A70" s="23"/>
      <c r="B70" s="23"/>
      <c r="C70" s="36" t="s">
        <v>5466</v>
      </c>
      <c r="D70" s="37" t="s">
        <v>66</v>
      </c>
      <c r="E70" s="23">
        <v>255</v>
      </c>
      <c r="F70" s="23"/>
      <c r="G70" s="23"/>
      <c r="H70" s="23"/>
      <c r="I70" s="23"/>
      <c r="J70" s="23"/>
      <c r="K70" s="25" t="s">
        <v>5467</v>
      </c>
      <c r="L70" t="str">
        <f t="shared" si="0"/>
        <v>VARCHAR(255),</v>
      </c>
      <c r="N70" s="38" t="str">
        <f t="shared" si="1"/>
        <v>COMMENT ON COLUMN summit_approval_proposal_mobile.test_1_expected_order_month IS '試1_受注予定月';</v>
      </c>
      <c r="R70" s="34" t="s">
        <v>5468</v>
      </c>
    </row>
    <row r="71" spans="1:18">
      <c r="A71" s="23"/>
      <c r="B71" s="23"/>
      <c r="C71" s="36" t="s">
        <v>5469</v>
      </c>
      <c r="D71" s="37" t="s">
        <v>66</v>
      </c>
      <c r="E71" s="23">
        <v>255</v>
      </c>
      <c r="F71" s="23"/>
      <c r="G71" s="23"/>
      <c r="H71" s="23"/>
      <c r="I71" s="23"/>
      <c r="J71" s="23"/>
      <c r="K71" s="25" t="s">
        <v>5470</v>
      </c>
      <c r="L71" t="str">
        <f t="shared" si="0"/>
        <v>VARCHAR(255),</v>
      </c>
      <c r="N71" s="38" t="str">
        <f t="shared" si="1"/>
        <v>COMMENT ON COLUMN summit_approval_proposal_mobile.test_1_model IS '試1_機種';</v>
      </c>
      <c r="R71" s="34" t="s">
        <v>5471</v>
      </c>
    </row>
    <row r="72" spans="1:18">
      <c r="A72" s="23"/>
      <c r="B72" s="23"/>
      <c r="C72" s="36" t="s">
        <v>5472</v>
      </c>
      <c r="D72" s="37" t="s">
        <v>66</v>
      </c>
      <c r="E72" s="23">
        <v>255</v>
      </c>
      <c r="F72" s="23"/>
      <c r="G72" s="23"/>
      <c r="H72" s="23"/>
      <c r="I72" s="23"/>
      <c r="J72" s="23"/>
      <c r="K72" s="25" t="s">
        <v>5473</v>
      </c>
      <c r="L72" t="str">
        <f t="shared" si="0"/>
        <v>VARCHAR(255),</v>
      </c>
      <c r="N72" s="38" t="str">
        <f t="shared" si="1"/>
        <v>COMMENT ON COLUMN summit_approval_proposal_mobile.test_1_new_device_usage_period IS '試1_新端末利用期間';</v>
      </c>
      <c r="R72" s="34" t="s">
        <v>5474</v>
      </c>
    </row>
    <row r="73" spans="1:18">
      <c r="A73" s="23"/>
      <c r="B73" s="23"/>
      <c r="C73" s="36" t="s">
        <v>5475</v>
      </c>
      <c r="D73" s="37" t="s">
        <v>66</v>
      </c>
      <c r="E73" s="23">
        <v>255</v>
      </c>
      <c r="F73" s="23"/>
      <c r="G73" s="23"/>
      <c r="H73" s="23"/>
      <c r="I73" s="23"/>
      <c r="J73" s="23"/>
      <c r="K73" s="25" t="s">
        <v>5476</v>
      </c>
      <c r="L73" t="str">
        <f t="shared" si="0"/>
        <v>VARCHAR(255),</v>
      </c>
      <c r="N73" s="38" t="str">
        <f t="shared" si="1"/>
        <v>COMMENT ON COLUMN summit_approval_proposal_mobile.test_1_current_device_usage_period IS '試1_現端末利用期間';</v>
      </c>
      <c r="R73" s="34" t="s">
        <v>5477</v>
      </c>
    </row>
    <row r="74" spans="1:18">
      <c r="A74" s="23"/>
      <c r="B74" s="23"/>
      <c r="C74" s="36" t="s">
        <v>5478</v>
      </c>
      <c r="D74" s="37" t="s">
        <v>66</v>
      </c>
      <c r="E74" s="23">
        <v>255</v>
      </c>
      <c r="F74" s="23"/>
      <c r="G74" s="23"/>
      <c r="H74" s="23"/>
      <c r="I74" s="23"/>
      <c r="J74" s="23"/>
      <c r="K74" s="25" t="s">
        <v>5479</v>
      </c>
      <c r="L74" t="str">
        <f t="shared" si="0"/>
        <v>VARCHAR(255),</v>
      </c>
      <c r="N74" s="38" t="str">
        <f t="shared" si="1"/>
        <v>COMMENT ON COLUMN summit_approval_proposal_mobile.test_1_relative_contract_execution IS '試1_相対契約書締結有';</v>
      </c>
      <c r="R74" s="34" t="s">
        <v>5480</v>
      </c>
    </row>
    <row r="75" spans="1:18">
      <c r="A75" s="23"/>
      <c r="B75" s="23"/>
      <c r="C75" s="36" t="s">
        <v>5481</v>
      </c>
      <c r="D75" s="37" t="s">
        <v>66</v>
      </c>
      <c r="E75" s="23">
        <v>255</v>
      </c>
      <c r="F75" s="23"/>
      <c r="G75" s="23"/>
      <c r="H75" s="23"/>
      <c r="I75" s="23"/>
      <c r="J75" s="23"/>
      <c r="K75" s="25" t="s">
        <v>5482</v>
      </c>
      <c r="L75" t="str">
        <f t="shared" ref="L75:L138" si="2">D75&amp;"("&amp;E75&amp;"),"</f>
        <v>VARCHAR(255),</v>
      </c>
      <c r="N75" s="38" t="str">
        <f t="shared" ref="N75:N138" si="3">"COMMENT ON COLUMN "&amp;$K$3&amp;"."&amp;$K75&amp;" IS '"&amp;C75&amp;"';"</f>
        <v>COMMENT ON COLUMN summit_approval_proposal_mobile.test_1_contract_year IS '試1_契約年数';</v>
      </c>
      <c r="R75" s="34" t="s">
        <v>5483</v>
      </c>
    </row>
    <row r="76" spans="1:18">
      <c r="A76" s="23"/>
      <c r="B76" s="23"/>
      <c r="C76" s="36" t="s">
        <v>5484</v>
      </c>
      <c r="D76" s="37" t="s">
        <v>66</v>
      </c>
      <c r="E76" s="23">
        <v>255</v>
      </c>
      <c r="F76" s="23"/>
      <c r="G76" s="23"/>
      <c r="H76" s="23"/>
      <c r="I76" s="23"/>
      <c r="J76" s="23"/>
      <c r="K76" s="25" t="s">
        <v>5485</v>
      </c>
      <c r="L76" t="str">
        <f t="shared" si="2"/>
        <v>VARCHAR(255),</v>
      </c>
      <c r="N76" s="38" t="str">
        <f t="shared" si="3"/>
        <v>COMMENT ON COLUMN summit_approval_proposal_mobile.test_1_number_of_lines_setting_rule IS '試1_回線数設定ルール';</v>
      </c>
      <c r="R76" s="34" t="s">
        <v>5486</v>
      </c>
    </row>
    <row r="77" spans="1:18">
      <c r="A77" s="23"/>
      <c r="B77" s="23"/>
      <c r="C77" s="36" t="s">
        <v>5487</v>
      </c>
      <c r="D77" s="37" t="s">
        <v>66</v>
      </c>
      <c r="E77" s="23">
        <v>255</v>
      </c>
      <c r="F77" s="23"/>
      <c r="G77" s="23"/>
      <c r="H77" s="23"/>
      <c r="I77" s="23"/>
      <c r="J77" s="23"/>
      <c r="K77" s="25" t="s">
        <v>5488</v>
      </c>
      <c r="L77" t="str">
        <f t="shared" si="2"/>
        <v>VARCHAR(255),</v>
      </c>
      <c r="N77" s="38" t="str">
        <f t="shared" si="3"/>
        <v>COMMENT ON COLUMN summit_approval_proposal_mobile.test_1_cancellation_fee_waiver_5percent_special_examples IS '試1_解除料免除_5%特例';</v>
      </c>
      <c r="R77" s="34" t="s">
        <v>5489</v>
      </c>
    </row>
    <row r="78" spans="1:18">
      <c r="A78" s="23"/>
      <c r="B78" s="23"/>
      <c r="C78" s="36" t="s">
        <v>5490</v>
      </c>
      <c r="D78" s="37" t="s">
        <v>66</v>
      </c>
      <c r="E78" s="23">
        <v>255</v>
      </c>
      <c r="F78" s="23"/>
      <c r="G78" s="23"/>
      <c r="H78" s="23"/>
      <c r="I78" s="23"/>
      <c r="J78" s="23"/>
      <c r="K78" s="25" t="s">
        <v>5491</v>
      </c>
      <c r="L78" t="str">
        <f t="shared" si="2"/>
        <v>VARCHAR(255),</v>
      </c>
      <c r="N78" s="38" t="str">
        <f t="shared" si="3"/>
        <v>COMMENT ON COLUMN summit_approval_proposal_mobile.test_1_penalty_charges_after_increase_decrease IS '試1_増減額後違約金';</v>
      </c>
      <c r="R78" s="34" t="s">
        <v>5492</v>
      </c>
    </row>
    <row r="79" spans="1:18">
      <c r="A79" s="23"/>
      <c r="B79" s="23"/>
      <c r="C79" s="36" t="s">
        <v>5493</v>
      </c>
      <c r="D79" s="37" t="s">
        <v>66</v>
      </c>
      <c r="E79" s="23">
        <v>255</v>
      </c>
      <c r="F79" s="23"/>
      <c r="G79" s="23"/>
      <c r="H79" s="23"/>
      <c r="I79" s="23"/>
      <c r="J79" s="23"/>
      <c r="K79" s="25" t="s">
        <v>5494</v>
      </c>
      <c r="L79" t="str">
        <f t="shared" si="2"/>
        <v>VARCHAR(255),</v>
      </c>
      <c r="N79" s="38" t="str">
        <f t="shared" si="3"/>
        <v>COMMENT ON COLUMN summit_approval_proposal_mobile.test_1_installment_plan IS '試1_分納計画';</v>
      </c>
      <c r="R79" s="34" t="s">
        <v>5495</v>
      </c>
    </row>
    <row r="80" spans="1:18">
      <c r="A80" s="23"/>
      <c r="B80" s="23"/>
      <c r="C80" s="36" t="s">
        <v>5496</v>
      </c>
      <c r="D80" s="37" t="s">
        <v>66</v>
      </c>
      <c r="E80" s="23">
        <v>255</v>
      </c>
      <c r="F80" s="23"/>
      <c r="G80" s="23"/>
      <c r="H80" s="23"/>
      <c r="I80" s="23"/>
      <c r="J80" s="23"/>
      <c r="K80" s="25" t="s">
        <v>5497</v>
      </c>
      <c r="L80" t="str">
        <f t="shared" si="2"/>
        <v>VARCHAR(255),</v>
      </c>
      <c r="N80" s="38" t="str">
        <f t="shared" si="3"/>
        <v>COMMENT ON COLUMN summit_approval_proposal_mobile.test_1_white_line_24 IS '試1_ホワイトライン24';</v>
      </c>
      <c r="R80" s="34" t="s">
        <v>5498</v>
      </c>
    </row>
    <row r="81" spans="1:18">
      <c r="A81" s="23"/>
      <c r="B81" s="23"/>
      <c r="C81" s="36" t="s">
        <v>5499</v>
      </c>
      <c r="D81" s="37" t="s">
        <v>66</v>
      </c>
      <c r="E81" s="23">
        <v>255</v>
      </c>
      <c r="F81" s="23"/>
      <c r="G81" s="23"/>
      <c r="H81" s="23"/>
      <c r="I81" s="23"/>
      <c r="J81" s="23"/>
      <c r="K81" s="25" t="s">
        <v>5500</v>
      </c>
      <c r="L81" t="str">
        <f t="shared" si="2"/>
        <v>VARCHAR(255),</v>
      </c>
      <c r="N81" s="38" t="str">
        <f t="shared" si="3"/>
        <v>COMMENT ON COLUMN summit_approval_proposal_mobile.test_1_white_office IS '試1_ホワイトオフィス';</v>
      </c>
      <c r="R81" s="34" t="s">
        <v>5501</v>
      </c>
    </row>
    <row r="82" spans="1:18">
      <c r="A82" s="23"/>
      <c r="B82" s="23"/>
      <c r="C82" s="36" t="s">
        <v>5502</v>
      </c>
      <c r="D82" s="37" t="s">
        <v>66</v>
      </c>
      <c r="E82" s="23">
        <v>255</v>
      </c>
      <c r="F82" s="23"/>
      <c r="G82" s="23"/>
      <c r="H82" s="23"/>
      <c r="I82" s="23"/>
      <c r="J82" s="23"/>
      <c r="K82" s="25" t="s">
        <v>5503</v>
      </c>
      <c r="L82" t="str">
        <f t="shared" si="2"/>
        <v>VARCHAR(255),</v>
      </c>
      <c r="N82" s="38" t="str">
        <f t="shared" si="3"/>
        <v>COMMENT ON COLUMN summit_approval_proposal_mobile.test_1_packet_mobilesharing IS '試1_packet_mobilesharing';</v>
      </c>
      <c r="R82" s="34" t="s">
        <v>5504</v>
      </c>
    </row>
    <row r="83" spans="1:18">
      <c r="A83" s="23"/>
      <c r="B83" s="23"/>
      <c r="C83" s="36" t="s">
        <v>5505</v>
      </c>
      <c r="D83" s="37" t="s">
        <v>66</v>
      </c>
      <c r="E83" s="23">
        <v>255</v>
      </c>
      <c r="F83" s="23"/>
      <c r="G83" s="23"/>
      <c r="H83" s="23"/>
      <c r="I83" s="23"/>
      <c r="J83" s="23"/>
      <c r="K83" s="25" t="s">
        <v>5506</v>
      </c>
      <c r="L83" t="str">
        <f t="shared" si="2"/>
        <v>VARCHAR(255),</v>
      </c>
      <c r="N83" s="38" t="str">
        <f t="shared" si="3"/>
        <v>COMMENT ON COLUMN summit_approval_proposal_mobile.test_2_sales_method IS '試2_販売方法';</v>
      </c>
      <c r="R83" s="34" t="s">
        <v>5507</v>
      </c>
    </row>
    <row r="84" spans="1:18">
      <c r="A84" s="23"/>
      <c r="B84" s="23"/>
      <c r="C84" s="36" t="s">
        <v>5508</v>
      </c>
      <c r="D84" s="37" t="s">
        <v>66</v>
      </c>
      <c r="E84" s="23">
        <v>255</v>
      </c>
      <c r="F84" s="23"/>
      <c r="G84" s="23"/>
      <c r="H84" s="23"/>
      <c r="I84" s="23"/>
      <c r="J84" s="23"/>
      <c r="K84" s="25" t="s">
        <v>5509</v>
      </c>
      <c r="L84" t="str">
        <f t="shared" si="2"/>
        <v>VARCHAR(255),</v>
      </c>
      <c r="N84" s="38" t="str">
        <f t="shared" si="3"/>
        <v>COMMENT ON COLUMN summit_approval_proposal_mobile.test_2_scheduled_order_month IS '試2_受注予定月';</v>
      </c>
      <c r="R84" s="34" t="s">
        <v>5510</v>
      </c>
    </row>
    <row r="85" spans="1:18">
      <c r="A85" s="23"/>
      <c r="B85" s="23"/>
      <c r="C85" s="36" t="s">
        <v>5511</v>
      </c>
      <c r="D85" s="37" t="s">
        <v>66</v>
      </c>
      <c r="E85" s="23">
        <v>255</v>
      </c>
      <c r="F85" s="23"/>
      <c r="G85" s="23"/>
      <c r="H85" s="23"/>
      <c r="I85" s="23"/>
      <c r="J85" s="23"/>
      <c r="K85" s="25" t="s">
        <v>5512</v>
      </c>
      <c r="L85" t="str">
        <f t="shared" si="2"/>
        <v>VARCHAR(255),</v>
      </c>
      <c r="N85" s="38" t="str">
        <f t="shared" si="3"/>
        <v>COMMENT ON COLUMN summit_approval_proposal_mobile.test_2_model IS '試2_機種';</v>
      </c>
      <c r="R85" s="34" t="s">
        <v>5513</v>
      </c>
    </row>
    <row r="86" spans="1:18">
      <c r="A86" s="23"/>
      <c r="B86" s="23"/>
      <c r="C86" s="36" t="s">
        <v>5514</v>
      </c>
      <c r="D86" s="37" t="s">
        <v>66</v>
      </c>
      <c r="E86" s="23">
        <v>255</v>
      </c>
      <c r="F86" s="23"/>
      <c r="G86" s="23"/>
      <c r="H86" s="23"/>
      <c r="I86" s="23"/>
      <c r="J86" s="23"/>
      <c r="K86" s="25" t="s">
        <v>5515</v>
      </c>
      <c r="L86" t="str">
        <f t="shared" si="2"/>
        <v>VARCHAR(255),</v>
      </c>
      <c r="N86" s="38" t="str">
        <f t="shared" si="3"/>
        <v>COMMENT ON COLUMN summit_approval_proposal_mobile.test_2_new_device_usage_period IS '試2_新端末利用期間';</v>
      </c>
      <c r="R86" s="34" t="s">
        <v>5516</v>
      </c>
    </row>
    <row r="87" spans="1:18">
      <c r="A87" s="23"/>
      <c r="B87" s="23"/>
      <c r="C87" s="36" t="s">
        <v>5517</v>
      </c>
      <c r="D87" s="37" t="s">
        <v>66</v>
      </c>
      <c r="E87" s="23">
        <v>255</v>
      </c>
      <c r="F87" s="23"/>
      <c r="G87" s="23"/>
      <c r="H87" s="23"/>
      <c r="I87" s="23"/>
      <c r="J87" s="23"/>
      <c r="K87" s="25" t="s">
        <v>5518</v>
      </c>
      <c r="L87" t="str">
        <f t="shared" si="2"/>
        <v>VARCHAR(255),</v>
      </c>
      <c r="N87" s="38" t="str">
        <f t="shared" si="3"/>
        <v>COMMENT ON COLUMN summit_approval_proposal_mobile.test_2_current_device_usage_period IS '試2_現端末利用期間';</v>
      </c>
      <c r="R87" s="34" t="s">
        <v>5519</v>
      </c>
    </row>
    <row r="88" spans="1:18">
      <c r="A88" s="23"/>
      <c r="B88" s="23"/>
      <c r="C88" s="36" t="s">
        <v>5520</v>
      </c>
      <c r="D88" s="37" t="s">
        <v>66</v>
      </c>
      <c r="E88" s="23">
        <v>255</v>
      </c>
      <c r="F88" s="23"/>
      <c r="G88" s="23"/>
      <c r="H88" s="23"/>
      <c r="I88" s="23"/>
      <c r="J88" s="23"/>
      <c r="K88" s="25" t="s">
        <v>5521</v>
      </c>
      <c r="L88" t="str">
        <f t="shared" si="2"/>
        <v>VARCHAR(255),</v>
      </c>
      <c r="N88" s="38" t="str">
        <f t="shared" si="3"/>
        <v>COMMENT ON COLUMN summit_approval_proposal_mobile.test_2_relative_contract_execution_included IS '試2_相対契約書締結有';</v>
      </c>
      <c r="R88" s="34" t="s">
        <v>5522</v>
      </c>
    </row>
    <row r="89" spans="1:18">
      <c r="A89" s="23"/>
      <c r="B89" s="23"/>
      <c r="C89" s="36" t="s">
        <v>5523</v>
      </c>
      <c r="D89" s="37" t="s">
        <v>66</v>
      </c>
      <c r="E89" s="23">
        <v>255</v>
      </c>
      <c r="F89" s="23"/>
      <c r="G89" s="23"/>
      <c r="H89" s="23"/>
      <c r="I89" s="23"/>
      <c r="J89" s="23"/>
      <c r="K89" s="25" t="s">
        <v>5524</v>
      </c>
      <c r="L89" t="str">
        <f t="shared" si="2"/>
        <v>VARCHAR(255),</v>
      </c>
      <c r="N89" s="38" t="str">
        <f t="shared" si="3"/>
        <v>COMMENT ON COLUMN summit_approval_proposal_mobile.test_2_contract_year IS '試2_契約年数';</v>
      </c>
      <c r="R89" s="34" t="s">
        <v>5525</v>
      </c>
    </row>
    <row r="90" spans="1:18">
      <c r="A90" s="23"/>
      <c r="B90" s="23"/>
      <c r="C90" s="36" t="s">
        <v>5526</v>
      </c>
      <c r="D90" s="37" t="s">
        <v>66</v>
      </c>
      <c r="E90" s="23">
        <v>255</v>
      </c>
      <c r="F90" s="23"/>
      <c r="G90" s="23"/>
      <c r="H90" s="23"/>
      <c r="I90" s="23"/>
      <c r="J90" s="23"/>
      <c r="K90" s="25" t="s">
        <v>5527</v>
      </c>
      <c r="L90" t="str">
        <f t="shared" si="2"/>
        <v>VARCHAR(255),</v>
      </c>
      <c r="N90" s="38" t="str">
        <f t="shared" si="3"/>
        <v>COMMENT ON COLUMN summit_approval_proposal_mobile.test_2_number_of_lines_setting_rules IS '試2_回線数設定ルール';</v>
      </c>
      <c r="R90" s="34" t="s">
        <v>5528</v>
      </c>
    </row>
    <row r="91" spans="1:18">
      <c r="A91" s="23"/>
      <c r="B91" s="23"/>
      <c r="C91" s="36" t="s">
        <v>5529</v>
      </c>
      <c r="D91" s="37" t="s">
        <v>66</v>
      </c>
      <c r="E91" s="23">
        <v>255</v>
      </c>
      <c r="F91" s="23"/>
      <c r="G91" s="23"/>
      <c r="H91" s="23"/>
      <c r="I91" s="23"/>
      <c r="J91" s="23"/>
      <c r="K91" s="25" t="s">
        <v>5530</v>
      </c>
      <c r="L91" t="str">
        <f t="shared" si="2"/>
        <v>VARCHAR(255),</v>
      </c>
      <c r="N91" s="38" t="str">
        <f t="shared" si="3"/>
        <v>COMMENT ON COLUMN summit_approval_proposal_mobile.test_2_5percent_cancellation_fee_waiver IS '試2_解除料免除_5%特例';</v>
      </c>
      <c r="R91" s="34" t="s">
        <v>5531</v>
      </c>
    </row>
    <row r="92" spans="1:18">
      <c r="A92" s="23"/>
      <c r="B92" s="23"/>
      <c r="C92" s="36" t="s">
        <v>5532</v>
      </c>
      <c r="D92" s="37" t="s">
        <v>66</v>
      </c>
      <c r="E92" s="23">
        <v>255</v>
      </c>
      <c r="F92" s="23"/>
      <c r="G92" s="23"/>
      <c r="H92" s="23"/>
      <c r="I92" s="23"/>
      <c r="J92" s="23"/>
      <c r="K92" s="25" t="s">
        <v>5533</v>
      </c>
      <c r="L92" t="str">
        <f t="shared" si="2"/>
        <v>VARCHAR(255),</v>
      </c>
      <c r="N92" s="38" t="str">
        <f t="shared" si="3"/>
        <v>COMMENT ON COLUMN summit_approval_proposal_mobile.test_2_penalty_charges_after_increase_decrease IS '試2_増減額後違約金';</v>
      </c>
      <c r="R92" s="34" t="s">
        <v>5534</v>
      </c>
    </row>
    <row r="93" spans="1:18">
      <c r="A93" s="23"/>
      <c r="B93" s="23"/>
      <c r="C93" s="36" t="s">
        <v>5535</v>
      </c>
      <c r="D93" s="37" t="s">
        <v>66</v>
      </c>
      <c r="E93" s="23">
        <v>255</v>
      </c>
      <c r="F93" s="23"/>
      <c r="G93" s="23"/>
      <c r="H93" s="23"/>
      <c r="I93" s="23"/>
      <c r="J93" s="23"/>
      <c r="K93" s="25" t="s">
        <v>5536</v>
      </c>
      <c r="L93" t="str">
        <f t="shared" si="2"/>
        <v>VARCHAR(255),</v>
      </c>
      <c r="N93" s="38" t="str">
        <f t="shared" si="3"/>
        <v>COMMENT ON COLUMN summit_approval_proposal_mobile.test_2_installment_plan IS '試2_分納計画';</v>
      </c>
      <c r="R93" s="34" t="s">
        <v>5537</v>
      </c>
    </row>
    <row r="94" spans="1:18">
      <c r="A94" s="23"/>
      <c r="B94" s="23"/>
      <c r="C94" s="36" t="s">
        <v>5538</v>
      </c>
      <c r="D94" s="37" t="s">
        <v>66</v>
      </c>
      <c r="E94" s="23">
        <v>255</v>
      </c>
      <c r="F94" s="23"/>
      <c r="G94" s="23"/>
      <c r="H94" s="23"/>
      <c r="I94" s="23"/>
      <c r="J94" s="23"/>
      <c r="K94" s="25" t="s">
        <v>5539</v>
      </c>
      <c r="L94" t="str">
        <f t="shared" si="2"/>
        <v>VARCHAR(255),</v>
      </c>
      <c r="N94" s="38" t="str">
        <f t="shared" si="3"/>
        <v>COMMENT ON COLUMN summit_approval_proposal_mobile.test_2_white_line_24 IS '試2_ホワイトライン24';</v>
      </c>
      <c r="R94" s="34" t="s">
        <v>5540</v>
      </c>
    </row>
    <row r="95" spans="1:18">
      <c r="A95" s="23"/>
      <c r="B95" s="23"/>
      <c r="C95" s="36" t="s">
        <v>5541</v>
      </c>
      <c r="D95" s="37" t="s">
        <v>66</v>
      </c>
      <c r="E95" s="23">
        <v>255</v>
      </c>
      <c r="F95" s="23"/>
      <c r="G95" s="23"/>
      <c r="H95" s="23"/>
      <c r="I95" s="23"/>
      <c r="J95" s="23"/>
      <c r="K95" s="25" t="s">
        <v>5542</v>
      </c>
      <c r="L95" t="str">
        <f t="shared" si="2"/>
        <v>VARCHAR(255),</v>
      </c>
      <c r="N95" s="38" t="str">
        <f t="shared" si="3"/>
        <v>COMMENT ON COLUMN summit_approval_proposal_mobile.test_2_white_office IS '試2_ホワイトオフィス';</v>
      </c>
      <c r="R95" s="34" t="s">
        <v>5543</v>
      </c>
    </row>
    <row r="96" spans="1:18">
      <c r="A96" s="23"/>
      <c r="B96" s="23"/>
      <c r="C96" s="36" t="s">
        <v>5544</v>
      </c>
      <c r="D96" s="37" t="s">
        <v>66</v>
      </c>
      <c r="E96" s="23">
        <v>255</v>
      </c>
      <c r="F96" s="23"/>
      <c r="G96" s="23"/>
      <c r="H96" s="23"/>
      <c r="I96" s="23"/>
      <c r="J96" s="23"/>
      <c r="K96" s="25" t="s">
        <v>5545</v>
      </c>
      <c r="L96" t="str">
        <f t="shared" si="2"/>
        <v>VARCHAR(255),</v>
      </c>
      <c r="N96" s="38" t="str">
        <f t="shared" si="3"/>
        <v>COMMENT ON COLUMN summit_approval_proposal_mobile.test_2_packet_mobilesharing IS '試2_packet_mobilesharing';</v>
      </c>
      <c r="R96" s="34" t="s">
        <v>5546</v>
      </c>
    </row>
    <row r="97" spans="1:18">
      <c r="A97" s="23"/>
      <c r="B97" s="23"/>
      <c r="C97" s="36" t="s">
        <v>5547</v>
      </c>
      <c r="D97" s="37" t="s">
        <v>66</v>
      </c>
      <c r="E97" s="23">
        <v>255</v>
      </c>
      <c r="F97" s="23"/>
      <c r="G97" s="23"/>
      <c r="H97" s="23"/>
      <c r="I97" s="23"/>
      <c r="J97" s="23"/>
      <c r="K97" s="25" t="s">
        <v>5548</v>
      </c>
      <c r="L97" t="str">
        <f t="shared" si="2"/>
        <v>VARCHAR(255),</v>
      </c>
      <c r="N97" s="38" t="str">
        <f t="shared" si="3"/>
        <v>COMMENT ON COLUMN summit_approval_proposal_mobile.test_3_sales_method IS '試3_販売方法';</v>
      </c>
      <c r="R97" s="34" t="s">
        <v>5549</v>
      </c>
    </row>
    <row r="98" spans="1:18">
      <c r="A98" s="23"/>
      <c r="B98" s="23"/>
      <c r="C98" s="36" t="s">
        <v>5550</v>
      </c>
      <c r="D98" s="37" t="s">
        <v>66</v>
      </c>
      <c r="E98" s="23">
        <v>255</v>
      </c>
      <c r="F98" s="23"/>
      <c r="G98" s="23"/>
      <c r="H98" s="23"/>
      <c r="I98" s="23"/>
      <c r="J98" s="23"/>
      <c r="K98" s="25" t="s">
        <v>5551</v>
      </c>
      <c r="L98" t="str">
        <f t="shared" si="2"/>
        <v>VARCHAR(255),</v>
      </c>
      <c r="N98" s="38" t="str">
        <f t="shared" si="3"/>
        <v>COMMENT ON COLUMN summit_approval_proposal_mobile.test_3_scheduled_order_month IS '試3_受注予定月';</v>
      </c>
      <c r="R98" s="34" t="s">
        <v>5552</v>
      </c>
    </row>
    <row r="99" spans="1:18">
      <c r="A99" s="23"/>
      <c r="B99" s="23"/>
      <c r="C99" s="36" t="s">
        <v>5553</v>
      </c>
      <c r="D99" s="37" t="s">
        <v>66</v>
      </c>
      <c r="E99" s="23">
        <v>255</v>
      </c>
      <c r="F99" s="23"/>
      <c r="G99" s="23"/>
      <c r="H99" s="23"/>
      <c r="I99" s="23"/>
      <c r="J99" s="23"/>
      <c r="K99" s="25" t="s">
        <v>5554</v>
      </c>
      <c r="L99" t="str">
        <f t="shared" si="2"/>
        <v>VARCHAR(255),</v>
      </c>
      <c r="N99" s="38" t="str">
        <f t="shared" si="3"/>
        <v>COMMENT ON COLUMN summit_approval_proposal_mobile.test_3_model IS '試3_機種';</v>
      </c>
      <c r="R99" s="34" t="s">
        <v>5555</v>
      </c>
    </row>
    <row r="100" spans="1:18">
      <c r="A100" s="23"/>
      <c r="B100" s="23"/>
      <c r="C100" s="36" t="s">
        <v>5556</v>
      </c>
      <c r="D100" s="37" t="s">
        <v>66</v>
      </c>
      <c r="E100" s="23">
        <v>255</v>
      </c>
      <c r="F100" s="23"/>
      <c r="G100" s="23"/>
      <c r="H100" s="23"/>
      <c r="I100" s="23"/>
      <c r="J100" s="23"/>
      <c r="K100" s="25" t="s">
        <v>5557</v>
      </c>
      <c r="L100" t="str">
        <f t="shared" si="2"/>
        <v>VARCHAR(255),</v>
      </c>
      <c r="N100" s="38" t="str">
        <f t="shared" si="3"/>
        <v>COMMENT ON COLUMN summit_approval_proposal_mobile.test_3_new_device_usage_period IS '試3_新端末利用期間';</v>
      </c>
      <c r="R100" s="34" t="s">
        <v>5558</v>
      </c>
    </row>
    <row r="101" spans="1:18">
      <c r="A101" s="23"/>
      <c r="B101" s="23"/>
      <c r="C101" s="36" t="s">
        <v>5559</v>
      </c>
      <c r="D101" s="37" t="s">
        <v>66</v>
      </c>
      <c r="E101" s="23">
        <v>255</v>
      </c>
      <c r="F101" s="23"/>
      <c r="G101" s="23"/>
      <c r="H101" s="23"/>
      <c r="I101" s="23"/>
      <c r="J101" s="23"/>
      <c r="K101" s="25" t="s">
        <v>5560</v>
      </c>
      <c r="L101" t="str">
        <f t="shared" si="2"/>
        <v>VARCHAR(255),</v>
      </c>
      <c r="N101" s="38" t="str">
        <f t="shared" si="3"/>
        <v>COMMENT ON COLUMN summit_approval_proposal_mobile.test_3_current_device_usage_period IS '試3_現端末利用期間';</v>
      </c>
      <c r="R101" s="34" t="s">
        <v>5561</v>
      </c>
    </row>
    <row r="102" spans="1:18">
      <c r="A102" s="23"/>
      <c r="B102" s="23"/>
      <c r="C102" s="36" t="s">
        <v>5562</v>
      </c>
      <c r="D102" s="37" t="s">
        <v>66</v>
      </c>
      <c r="E102" s="23">
        <v>255</v>
      </c>
      <c r="F102" s="23"/>
      <c r="G102" s="23"/>
      <c r="H102" s="23"/>
      <c r="I102" s="23"/>
      <c r="J102" s="23"/>
      <c r="K102" s="25" t="s">
        <v>5563</v>
      </c>
      <c r="L102" t="str">
        <f t="shared" si="2"/>
        <v>VARCHAR(255),</v>
      </c>
      <c r="N102" s="38" t="str">
        <f t="shared" si="3"/>
        <v>COMMENT ON COLUMN summit_approval_proposal_mobile.test_3_relative_contract_established IS '試3_相対契約書締結有';</v>
      </c>
      <c r="R102" s="34" t="s">
        <v>5564</v>
      </c>
    </row>
    <row r="103" spans="1:18">
      <c r="A103" s="23"/>
      <c r="B103" s="23"/>
      <c r="C103" s="36" t="s">
        <v>5565</v>
      </c>
      <c r="D103" s="37" t="s">
        <v>66</v>
      </c>
      <c r="E103" s="23">
        <v>255</v>
      </c>
      <c r="F103" s="23"/>
      <c r="G103" s="23"/>
      <c r="H103" s="23"/>
      <c r="I103" s="23"/>
      <c r="J103" s="23"/>
      <c r="K103" s="25" t="s">
        <v>5566</v>
      </c>
      <c r="L103" t="str">
        <f t="shared" si="2"/>
        <v>VARCHAR(255),</v>
      </c>
      <c r="N103" s="38" t="str">
        <f t="shared" si="3"/>
        <v>COMMENT ON COLUMN summit_approval_proposal_mobile.test_3_contract_year IS '試3_契約年数';</v>
      </c>
      <c r="R103" s="34" t="s">
        <v>5567</v>
      </c>
    </row>
    <row r="104" spans="1:18">
      <c r="A104" s="23"/>
      <c r="B104" s="23"/>
      <c r="C104" s="36" t="s">
        <v>5568</v>
      </c>
      <c r="D104" s="37" t="s">
        <v>66</v>
      </c>
      <c r="E104" s="23">
        <v>255</v>
      </c>
      <c r="F104" s="23"/>
      <c r="G104" s="23"/>
      <c r="H104" s="23"/>
      <c r="I104" s="23"/>
      <c r="J104" s="23"/>
      <c r="K104" s="25" t="s">
        <v>5569</v>
      </c>
      <c r="L104" t="str">
        <f t="shared" si="2"/>
        <v>VARCHAR(255),</v>
      </c>
      <c r="N104" s="38" t="str">
        <f t="shared" si="3"/>
        <v>COMMENT ON COLUMN summit_approval_proposal_mobile.test_3_number_of_lines_setting_rules IS '試3_回線数設定ルール';</v>
      </c>
      <c r="R104" s="34" t="s">
        <v>5570</v>
      </c>
    </row>
    <row r="105" spans="1:18">
      <c r="A105" s="23"/>
      <c r="B105" s="23"/>
      <c r="C105" s="36" t="s">
        <v>5571</v>
      </c>
      <c r="D105" s="37" t="s">
        <v>66</v>
      </c>
      <c r="E105" s="23">
        <v>255</v>
      </c>
      <c r="F105" s="23"/>
      <c r="G105" s="23"/>
      <c r="H105" s="23"/>
      <c r="I105" s="23"/>
      <c r="J105" s="23"/>
      <c r="K105" s="25" t="s">
        <v>5572</v>
      </c>
      <c r="L105" t="str">
        <f t="shared" si="2"/>
        <v>VARCHAR(255),</v>
      </c>
      <c r="N105" s="38" t="str">
        <f t="shared" si="3"/>
        <v>COMMENT ON COLUMN summit_approval_proposal_mobile.test_3_cancellation_fee_waiver_5percent_exception IS '試3_解除料免除_5%特例';</v>
      </c>
      <c r="R105" s="34" t="s">
        <v>5573</v>
      </c>
    </row>
    <row r="106" spans="1:18">
      <c r="A106" s="23"/>
      <c r="B106" s="23"/>
      <c r="C106" s="36" t="s">
        <v>5574</v>
      </c>
      <c r="D106" s="37" t="s">
        <v>66</v>
      </c>
      <c r="E106" s="23">
        <v>255</v>
      </c>
      <c r="F106" s="23"/>
      <c r="G106" s="23"/>
      <c r="H106" s="23"/>
      <c r="I106" s="23"/>
      <c r="J106" s="23"/>
      <c r="K106" s="25" t="s">
        <v>5575</v>
      </c>
      <c r="L106" t="str">
        <f t="shared" si="2"/>
        <v>VARCHAR(255),</v>
      </c>
      <c r="N106" s="38" t="str">
        <f t="shared" si="3"/>
        <v>COMMENT ON COLUMN summit_approval_proposal_mobile.test_3_penalty_charge_after_increase_decrease IS '試3_増減額後違約金';</v>
      </c>
      <c r="R106" s="34" t="s">
        <v>5576</v>
      </c>
    </row>
    <row r="107" spans="1:18">
      <c r="A107" s="23"/>
      <c r="B107" s="23"/>
      <c r="C107" s="36" t="s">
        <v>5577</v>
      </c>
      <c r="D107" s="37" t="s">
        <v>66</v>
      </c>
      <c r="E107" s="23">
        <v>255</v>
      </c>
      <c r="F107" s="23"/>
      <c r="G107" s="23"/>
      <c r="H107" s="23"/>
      <c r="I107" s="23"/>
      <c r="J107" s="23"/>
      <c r="K107" s="25" t="s">
        <v>5578</v>
      </c>
      <c r="L107" t="str">
        <f t="shared" si="2"/>
        <v>VARCHAR(255),</v>
      </c>
      <c r="N107" s="38" t="str">
        <f t="shared" si="3"/>
        <v>COMMENT ON COLUMN summit_approval_proposal_mobile.test_3_installment_plan IS '試3_分納計画';</v>
      </c>
      <c r="R107" s="34" t="s">
        <v>5579</v>
      </c>
    </row>
    <row r="108" spans="1:18">
      <c r="A108" s="23"/>
      <c r="B108" s="23"/>
      <c r="C108" s="36" t="s">
        <v>5580</v>
      </c>
      <c r="D108" s="37" t="s">
        <v>66</v>
      </c>
      <c r="E108" s="23">
        <v>255</v>
      </c>
      <c r="F108" s="23"/>
      <c r="G108" s="23"/>
      <c r="H108" s="23"/>
      <c r="I108" s="23"/>
      <c r="J108" s="23"/>
      <c r="K108" s="25" t="s">
        <v>5581</v>
      </c>
      <c r="L108" t="str">
        <f t="shared" si="2"/>
        <v>VARCHAR(255),</v>
      </c>
      <c r="N108" s="38" t="str">
        <f t="shared" si="3"/>
        <v>COMMENT ON COLUMN summit_approval_proposal_mobile.test_3_white_line_24 IS '試3_ホワイトライン24';</v>
      </c>
      <c r="R108" s="34" t="s">
        <v>5582</v>
      </c>
    </row>
    <row r="109" spans="1:18">
      <c r="A109" s="23"/>
      <c r="B109" s="23"/>
      <c r="C109" s="36" t="s">
        <v>5583</v>
      </c>
      <c r="D109" s="37" t="s">
        <v>66</v>
      </c>
      <c r="E109" s="23">
        <v>255</v>
      </c>
      <c r="F109" s="23"/>
      <c r="G109" s="23"/>
      <c r="H109" s="23"/>
      <c r="I109" s="23"/>
      <c r="J109" s="23"/>
      <c r="K109" s="25" t="s">
        <v>5584</v>
      </c>
      <c r="L109" t="str">
        <f t="shared" si="2"/>
        <v>VARCHAR(255),</v>
      </c>
      <c r="N109" s="38" t="str">
        <f t="shared" si="3"/>
        <v>COMMENT ON COLUMN summit_approval_proposal_mobile.test_3_white_office IS '試3_ホワイトオフィス';</v>
      </c>
      <c r="R109" s="34" t="s">
        <v>5585</v>
      </c>
    </row>
    <row r="110" spans="1:18">
      <c r="A110" s="23"/>
      <c r="B110" s="23"/>
      <c r="C110" s="36" t="s">
        <v>5586</v>
      </c>
      <c r="D110" s="37" t="s">
        <v>66</v>
      </c>
      <c r="E110" s="23">
        <v>255</v>
      </c>
      <c r="F110" s="23"/>
      <c r="G110" s="23"/>
      <c r="H110" s="23"/>
      <c r="I110" s="23"/>
      <c r="J110" s="23"/>
      <c r="K110" s="25" t="s">
        <v>5587</v>
      </c>
      <c r="L110" t="str">
        <f t="shared" si="2"/>
        <v>VARCHAR(255),</v>
      </c>
      <c r="N110" s="38" t="str">
        <f t="shared" si="3"/>
        <v>COMMENT ON COLUMN summit_approval_proposal_mobile.test_3_packet_mobilesharing IS '試3_packet_mobilesharing';</v>
      </c>
      <c r="R110" s="34" t="s">
        <v>5588</v>
      </c>
    </row>
    <row r="111" spans="1:18">
      <c r="A111" s="23"/>
      <c r="B111" s="23"/>
      <c r="C111" s="36" t="s">
        <v>5589</v>
      </c>
      <c r="D111" s="37" t="s">
        <v>66</v>
      </c>
      <c r="E111" s="23">
        <v>255</v>
      </c>
      <c r="F111" s="23"/>
      <c r="G111" s="23"/>
      <c r="H111" s="23"/>
      <c r="I111" s="23"/>
      <c r="J111" s="23"/>
      <c r="K111" s="25" t="s">
        <v>5590</v>
      </c>
      <c r="L111" t="str">
        <f t="shared" si="2"/>
        <v>VARCHAR(255),</v>
      </c>
      <c r="N111" s="38" t="str">
        <f t="shared" si="3"/>
        <v>COMMENT ON COLUMN summit_approval_proposal_mobile.test_4_sales_method IS '試4_販売方法';</v>
      </c>
      <c r="R111" s="34" t="s">
        <v>5591</v>
      </c>
    </row>
    <row r="112" spans="1:18">
      <c r="A112" s="23"/>
      <c r="B112" s="23"/>
      <c r="C112" s="36" t="s">
        <v>5592</v>
      </c>
      <c r="D112" s="37" t="s">
        <v>66</v>
      </c>
      <c r="E112" s="23">
        <v>255</v>
      </c>
      <c r="F112" s="23"/>
      <c r="G112" s="23"/>
      <c r="H112" s="23"/>
      <c r="I112" s="23"/>
      <c r="J112" s="23"/>
      <c r="K112" s="25" t="s">
        <v>5593</v>
      </c>
      <c r="L112" t="str">
        <f t="shared" si="2"/>
        <v>VARCHAR(255),</v>
      </c>
      <c r="N112" s="38" t="str">
        <f t="shared" si="3"/>
        <v>COMMENT ON COLUMN summit_approval_proposal_mobile.test_4_expected_order_month IS '試4_受注予定月';</v>
      </c>
      <c r="R112" s="34" t="s">
        <v>5594</v>
      </c>
    </row>
    <row r="113" spans="1:18">
      <c r="A113" s="23"/>
      <c r="B113" s="23"/>
      <c r="C113" s="36" t="s">
        <v>5595</v>
      </c>
      <c r="D113" s="37" t="s">
        <v>66</v>
      </c>
      <c r="E113" s="23">
        <v>255</v>
      </c>
      <c r="F113" s="23"/>
      <c r="G113" s="23"/>
      <c r="H113" s="23"/>
      <c r="I113" s="23"/>
      <c r="J113" s="23"/>
      <c r="K113" s="25" t="s">
        <v>5596</v>
      </c>
      <c r="L113" t="str">
        <f t="shared" si="2"/>
        <v>VARCHAR(255),</v>
      </c>
      <c r="N113" s="38" t="str">
        <f t="shared" si="3"/>
        <v>COMMENT ON COLUMN summit_approval_proposal_mobile.test_4_model IS '試4_機種';</v>
      </c>
      <c r="R113" s="34" t="s">
        <v>5597</v>
      </c>
    </row>
    <row r="114" spans="1:18">
      <c r="A114" s="23"/>
      <c r="B114" s="23"/>
      <c r="C114" s="36" t="s">
        <v>5598</v>
      </c>
      <c r="D114" s="37" t="s">
        <v>66</v>
      </c>
      <c r="E114" s="23">
        <v>255</v>
      </c>
      <c r="F114" s="23"/>
      <c r="G114" s="23"/>
      <c r="H114" s="23"/>
      <c r="I114" s="23"/>
      <c r="J114" s="23"/>
      <c r="K114" s="25" t="s">
        <v>5599</v>
      </c>
      <c r="L114" t="str">
        <f t="shared" si="2"/>
        <v>VARCHAR(255),</v>
      </c>
      <c r="N114" s="38" t="str">
        <f t="shared" si="3"/>
        <v>COMMENT ON COLUMN summit_approval_proposal_mobile.test_4_new_device_usage_period IS '試4_新端末利用期間';</v>
      </c>
      <c r="R114" s="34" t="s">
        <v>5600</v>
      </c>
    </row>
    <row r="115" spans="1:18">
      <c r="A115" s="23"/>
      <c r="B115" s="23"/>
      <c r="C115" s="36" t="s">
        <v>5601</v>
      </c>
      <c r="D115" s="37" t="s">
        <v>66</v>
      </c>
      <c r="E115" s="23">
        <v>255</v>
      </c>
      <c r="F115" s="23"/>
      <c r="G115" s="23"/>
      <c r="H115" s="23"/>
      <c r="I115" s="23"/>
      <c r="J115" s="23"/>
      <c r="K115" s="25" t="s">
        <v>5602</v>
      </c>
      <c r="L115" t="str">
        <f t="shared" si="2"/>
        <v>VARCHAR(255),</v>
      </c>
      <c r="N115" s="38" t="str">
        <f t="shared" si="3"/>
        <v>COMMENT ON COLUMN summit_approval_proposal_mobile.test_4_current_device_usage_period IS '試4_現端末利用期間';</v>
      </c>
      <c r="R115" s="34" t="s">
        <v>5603</v>
      </c>
    </row>
    <row r="116" spans="1:18">
      <c r="A116" s="23"/>
      <c r="B116" s="23"/>
      <c r="C116" s="36" t="s">
        <v>5604</v>
      </c>
      <c r="D116" s="37" t="s">
        <v>66</v>
      </c>
      <c r="E116" s="23">
        <v>255</v>
      </c>
      <c r="F116" s="23"/>
      <c r="G116" s="23"/>
      <c r="H116" s="23"/>
      <c r="I116" s="23"/>
      <c r="J116" s="23"/>
      <c r="K116" s="25" t="s">
        <v>5605</v>
      </c>
      <c r="L116" t="str">
        <f t="shared" si="2"/>
        <v>VARCHAR(255),</v>
      </c>
      <c r="N116" s="38" t="str">
        <f t="shared" si="3"/>
        <v>COMMENT ON COLUMN summit_approval_proposal_mobile.test_4_relative_contract_established IS '試4_相対契約書締結有';</v>
      </c>
      <c r="R116" s="34" t="s">
        <v>5606</v>
      </c>
    </row>
    <row r="117" spans="1:18">
      <c r="A117" s="23"/>
      <c r="B117" s="23"/>
      <c r="C117" s="36" t="s">
        <v>5607</v>
      </c>
      <c r="D117" s="37" t="s">
        <v>66</v>
      </c>
      <c r="E117" s="23">
        <v>255</v>
      </c>
      <c r="F117" s="23"/>
      <c r="G117" s="23"/>
      <c r="H117" s="23"/>
      <c r="I117" s="23"/>
      <c r="J117" s="23"/>
      <c r="K117" s="25" t="s">
        <v>5608</v>
      </c>
      <c r="L117" t="str">
        <f t="shared" si="2"/>
        <v>VARCHAR(255),</v>
      </c>
      <c r="N117" s="38" t="str">
        <f t="shared" si="3"/>
        <v>COMMENT ON COLUMN summit_approval_proposal_mobile.test_4_contract_year IS '試4_契約年数';</v>
      </c>
      <c r="R117" s="34" t="s">
        <v>5609</v>
      </c>
    </row>
    <row r="118" spans="1:18">
      <c r="A118" s="23"/>
      <c r="B118" s="23"/>
      <c r="C118" s="36" t="s">
        <v>5610</v>
      </c>
      <c r="D118" s="37" t="s">
        <v>66</v>
      </c>
      <c r="E118" s="23">
        <v>255</v>
      </c>
      <c r="F118" s="23"/>
      <c r="G118" s="23"/>
      <c r="H118" s="23"/>
      <c r="I118" s="23"/>
      <c r="J118" s="23"/>
      <c r="K118" s="25" t="s">
        <v>5611</v>
      </c>
      <c r="L118" t="str">
        <f t="shared" si="2"/>
        <v>VARCHAR(255),</v>
      </c>
      <c r="N118" s="38" t="str">
        <f t="shared" si="3"/>
        <v>COMMENT ON COLUMN summit_approval_proposal_mobile.test_4_number_of_lines_setting_rules IS '試4_回線数設定ルール';</v>
      </c>
      <c r="R118" s="34" t="s">
        <v>5612</v>
      </c>
    </row>
    <row r="119" spans="1:18">
      <c r="A119" s="23"/>
      <c r="B119" s="23"/>
      <c r="C119" s="36" t="s">
        <v>5613</v>
      </c>
      <c r="D119" s="37" t="s">
        <v>66</v>
      </c>
      <c r="E119" s="23">
        <v>255</v>
      </c>
      <c r="F119" s="23"/>
      <c r="G119" s="23"/>
      <c r="H119" s="23"/>
      <c r="I119" s="23"/>
      <c r="J119" s="23"/>
      <c r="K119" s="25" t="s">
        <v>5614</v>
      </c>
      <c r="L119" t="str">
        <f t="shared" si="2"/>
        <v>VARCHAR(255),</v>
      </c>
      <c r="N119" s="38" t="str">
        <f t="shared" si="3"/>
        <v>COMMENT ON COLUMN summit_approval_proposal_mobile.test_4_cancellation_fee_waiver_5percent_exception IS '試4_解除料免除_5%特例';</v>
      </c>
      <c r="R119" s="34" t="s">
        <v>5615</v>
      </c>
    </row>
    <row r="120" spans="1:18">
      <c r="A120" s="23"/>
      <c r="B120" s="23"/>
      <c r="C120" s="36" t="s">
        <v>5616</v>
      </c>
      <c r="D120" s="37" t="s">
        <v>66</v>
      </c>
      <c r="E120" s="23">
        <v>255</v>
      </c>
      <c r="F120" s="23"/>
      <c r="G120" s="23"/>
      <c r="H120" s="23"/>
      <c r="I120" s="23"/>
      <c r="J120" s="23"/>
      <c r="K120" s="25" t="s">
        <v>5617</v>
      </c>
      <c r="L120" t="str">
        <f t="shared" si="2"/>
        <v>VARCHAR(255),</v>
      </c>
      <c r="N120" s="38" t="str">
        <f t="shared" si="3"/>
        <v>COMMENT ON COLUMN summit_approval_proposal_mobile.test_4_penalty_charge_after_increase_decrease IS '試4_増減額後違約金';</v>
      </c>
      <c r="R120" s="34" t="s">
        <v>5618</v>
      </c>
    </row>
    <row r="121" spans="1:18">
      <c r="A121" s="23"/>
      <c r="B121" s="23"/>
      <c r="C121" s="36" t="s">
        <v>5619</v>
      </c>
      <c r="D121" s="37" t="s">
        <v>66</v>
      </c>
      <c r="E121" s="23">
        <v>255</v>
      </c>
      <c r="F121" s="23"/>
      <c r="G121" s="23"/>
      <c r="H121" s="23"/>
      <c r="I121" s="23"/>
      <c r="J121" s="23"/>
      <c r="K121" s="25" t="s">
        <v>5620</v>
      </c>
      <c r="L121" t="str">
        <f t="shared" si="2"/>
        <v>VARCHAR(255),</v>
      </c>
      <c r="N121" s="38" t="str">
        <f t="shared" si="3"/>
        <v>COMMENT ON COLUMN summit_approval_proposal_mobile.test_4_installment_plan IS '試4_分納計画';</v>
      </c>
      <c r="R121" s="34" t="s">
        <v>5621</v>
      </c>
    </row>
    <row r="122" spans="1:18">
      <c r="A122" s="23"/>
      <c r="B122" s="23"/>
      <c r="C122" s="36" t="s">
        <v>5622</v>
      </c>
      <c r="D122" s="37" t="s">
        <v>66</v>
      </c>
      <c r="E122" s="23">
        <v>255</v>
      </c>
      <c r="F122" s="23"/>
      <c r="G122" s="23"/>
      <c r="H122" s="23"/>
      <c r="I122" s="23"/>
      <c r="J122" s="23"/>
      <c r="K122" s="25" t="s">
        <v>5623</v>
      </c>
      <c r="L122" t="str">
        <f t="shared" si="2"/>
        <v>VARCHAR(255),</v>
      </c>
      <c r="N122" s="38" t="str">
        <f t="shared" si="3"/>
        <v>COMMENT ON COLUMN summit_approval_proposal_mobile.test_4_white_line_24 IS '試4_ホワイトライン24';</v>
      </c>
      <c r="R122" s="34" t="s">
        <v>5624</v>
      </c>
    </row>
    <row r="123" spans="1:18">
      <c r="A123" s="23"/>
      <c r="B123" s="23"/>
      <c r="C123" s="36" t="s">
        <v>5625</v>
      </c>
      <c r="D123" s="37" t="s">
        <v>66</v>
      </c>
      <c r="E123" s="23">
        <v>255</v>
      </c>
      <c r="F123" s="23"/>
      <c r="G123" s="23"/>
      <c r="H123" s="23"/>
      <c r="I123" s="23"/>
      <c r="J123" s="23"/>
      <c r="K123" s="25" t="s">
        <v>5626</v>
      </c>
      <c r="L123" t="str">
        <f t="shared" si="2"/>
        <v>VARCHAR(255),</v>
      </c>
      <c r="N123" s="38" t="str">
        <f t="shared" si="3"/>
        <v>COMMENT ON COLUMN summit_approval_proposal_mobile.test_4_white_office IS '試4_ホワイトオフィス';</v>
      </c>
      <c r="R123" s="34" t="s">
        <v>5627</v>
      </c>
    </row>
    <row r="124" spans="1:18">
      <c r="A124" s="23"/>
      <c r="B124" s="23"/>
      <c r="C124" s="36" t="s">
        <v>5628</v>
      </c>
      <c r="D124" s="37" t="s">
        <v>66</v>
      </c>
      <c r="E124" s="23">
        <v>255</v>
      </c>
      <c r="F124" s="23"/>
      <c r="G124" s="23"/>
      <c r="H124" s="23"/>
      <c r="I124" s="23"/>
      <c r="J124" s="23"/>
      <c r="K124" s="25" t="s">
        <v>5629</v>
      </c>
      <c r="L124" t="str">
        <f t="shared" si="2"/>
        <v>VARCHAR(255),</v>
      </c>
      <c r="N124" s="38" t="str">
        <f t="shared" si="3"/>
        <v>COMMENT ON COLUMN summit_approval_proposal_mobile.test_4_packet_mobilesharing_ring IS '試4_packet_mobilesharing';</v>
      </c>
      <c r="R124" s="34" t="s">
        <v>5630</v>
      </c>
    </row>
    <row r="125" spans="1:18">
      <c r="A125" s="23"/>
      <c r="B125" s="23"/>
      <c r="C125" s="36" t="s">
        <v>5631</v>
      </c>
      <c r="D125" s="37" t="s">
        <v>66</v>
      </c>
      <c r="E125" s="23">
        <v>255</v>
      </c>
      <c r="F125" s="23"/>
      <c r="G125" s="23"/>
      <c r="H125" s="23"/>
      <c r="I125" s="23"/>
      <c r="J125" s="23"/>
      <c r="K125" s="25" t="s">
        <v>5632</v>
      </c>
      <c r="L125" t="str">
        <f t="shared" si="2"/>
        <v>VARCHAR(255),</v>
      </c>
      <c r="N125" s="38" t="str">
        <f t="shared" si="3"/>
        <v>COMMENT ON COLUMN summit_approval_proposal_mobile.test_5_sales_method IS '試5_販売方法';</v>
      </c>
      <c r="R125" s="34" t="s">
        <v>5633</v>
      </c>
    </row>
    <row r="126" spans="1:18">
      <c r="A126" s="23"/>
      <c r="B126" s="23"/>
      <c r="C126" s="36" t="s">
        <v>5634</v>
      </c>
      <c r="D126" s="37" t="s">
        <v>66</v>
      </c>
      <c r="E126" s="23">
        <v>255</v>
      </c>
      <c r="F126" s="23"/>
      <c r="G126" s="23"/>
      <c r="H126" s="23"/>
      <c r="I126" s="23"/>
      <c r="J126" s="23"/>
      <c r="K126" s="25" t="s">
        <v>5635</v>
      </c>
      <c r="L126" t="str">
        <f t="shared" si="2"/>
        <v>VARCHAR(255),</v>
      </c>
      <c r="N126" s="38" t="str">
        <f t="shared" si="3"/>
        <v>COMMENT ON COLUMN summit_approval_proposal_mobile.test_5_expected_order_month IS '試5_受注予定月';</v>
      </c>
      <c r="R126" s="34" t="s">
        <v>5636</v>
      </c>
    </row>
    <row r="127" spans="1:18">
      <c r="A127" s="23"/>
      <c r="B127" s="23"/>
      <c r="C127" s="36" t="s">
        <v>5637</v>
      </c>
      <c r="D127" s="37" t="s">
        <v>66</v>
      </c>
      <c r="E127" s="23">
        <v>255</v>
      </c>
      <c r="F127" s="23"/>
      <c r="G127" s="23"/>
      <c r="H127" s="23"/>
      <c r="I127" s="23"/>
      <c r="J127" s="23"/>
      <c r="K127" s="25" t="s">
        <v>5638</v>
      </c>
      <c r="L127" t="str">
        <f t="shared" si="2"/>
        <v>VARCHAR(255),</v>
      </c>
      <c r="N127" s="38" t="str">
        <f t="shared" si="3"/>
        <v>COMMENT ON COLUMN summit_approval_proposal_mobile.test_5_model IS '試5_機種';</v>
      </c>
      <c r="R127" s="34" t="s">
        <v>5639</v>
      </c>
    </row>
    <row r="128" spans="1:18">
      <c r="A128" s="23"/>
      <c r="B128" s="23"/>
      <c r="C128" s="36" t="s">
        <v>5640</v>
      </c>
      <c r="D128" s="37" t="s">
        <v>66</v>
      </c>
      <c r="E128" s="23">
        <v>255</v>
      </c>
      <c r="F128" s="23"/>
      <c r="G128" s="23"/>
      <c r="H128" s="23"/>
      <c r="I128" s="23"/>
      <c r="J128" s="23"/>
      <c r="K128" s="25" t="s">
        <v>5641</v>
      </c>
      <c r="L128" t="str">
        <f t="shared" si="2"/>
        <v>VARCHAR(255),</v>
      </c>
      <c r="N128" s="38" t="str">
        <f t="shared" si="3"/>
        <v>COMMENT ON COLUMN summit_approval_proposal_mobile.test_5_new_device_usage_period IS '試5_新端末利用期間';</v>
      </c>
      <c r="R128" s="34" t="s">
        <v>5642</v>
      </c>
    </row>
    <row r="129" spans="1:18">
      <c r="A129" s="23"/>
      <c r="B129" s="23"/>
      <c r="C129" s="36" t="s">
        <v>5643</v>
      </c>
      <c r="D129" s="37" t="s">
        <v>66</v>
      </c>
      <c r="E129" s="23">
        <v>255</v>
      </c>
      <c r="F129" s="23"/>
      <c r="G129" s="23"/>
      <c r="H129" s="23"/>
      <c r="I129" s="23"/>
      <c r="J129" s="23"/>
      <c r="K129" s="25" t="s">
        <v>5644</v>
      </c>
      <c r="L129" t="str">
        <f t="shared" si="2"/>
        <v>VARCHAR(255),</v>
      </c>
      <c r="N129" s="38" t="str">
        <f t="shared" si="3"/>
        <v>COMMENT ON COLUMN summit_approval_proposal_mobile.test_5_current_device_usage_period IS '試5_現端末利用期間';</v>
      </c>
      <c r="R129" s="34" t="s">
        <v>5645</v>
      </c>
    </row>
    <row r="130" spans="1:18">
      <c r="A130" s="23"/>
      <c r="B130" s="23"/>
      <c r="C130" s="36" t="s">
        <v>5646</v>
      </c>
      <c r="D130" s="37" t="s">
        <v>66</v>
      </c>
      <c r="E130" s="23">
        <v>255</v>
      </c>
      <c r="F130" s="23"/>
      <c r="G130" s="23"/>
      <c r="H130" s="23"/>
      <c r="I130" s="23"/>
      <c r="J130" s="23"/>
      <c r="K130" s="25" t="s">
        <v>5647</v>
      </c>
      <c r="L130" t="str">
        <f t="shared" si="2"/>
        <v>VARCHAR(255),</v>
      </c>
      <c r="N130" s="38" t="str">
        <f t="shared" si="3"/>
        <v>COMMENT ON COLUMN summit_approval_proposal_mobile.test_5_relative_contract_execution IS '試5_相対契約書締結有';</v>
      </c>
      <c r="R130" s="34" t="s">
        <v>5648</v>
      </c>
    </row>
    <row r="131" spans="1:18">
      <c r="A131" s="23"/>
      <c r="B131" s="23"/>
      <c r="C131" s="36" t="s">
        <v>5649</v>
      </c>
      <c r="D131" s="37" t="s">
        <v>66</v>
      </c>
      <c r="E131" s="23">
        <v>255</v>
      </c>
      <c r="F131" s="23"/>
      <c r="G131" s="23"/>
      <c r="H131" s="23"/>
      <c r="I131" s="23"/>
      <c r="J131" s="23"/>
      <c r="K131" s="25" t="s">
        <v>5650</v>
      </c>
      <c r="L131" t="str">
        <f t="shared" si="2"/>
        <v>VARCHAR(255),</v>
      </c>
      <c r="N131" s="38" t="str">
        <f t="shared" si="3"/>
        <v>COMMENT ON COLUMN summit_approval_proposal_mobile.test_5_contract_year IS '試5_契約年数';</v>
      </c>
      <c r="R131" s="34" t="s">
        <v>5651</v>
      </c>
    </row>
    <row r="132" spans="1:18">
      <c r="A132" s="23"/>
      <c r="B132" s="23"/>
      <c r="C132" s="36" t="s">
        <v>5652</v>
      </c>
      <c r="D132" s="37" t="s">
        <v>66</v>
      </c>
      <c r="E132" s="23">
        <v>255</v>
      </c>
      <c r="F132" s="23"/>
      <c r="G132" s="23"/>
      <c r="H132" s="23"/>
      <c r="I132" s="23"/>
      <c r="J132" s="23"/>
      <c r="K132" s="25" t="s">
        <v>5653</v>
      </c>
      <c r="L132" t="str">
        <f t="shared" si="2"/>
        <v>VARCHAR(255),</v>
      </c>
      <c r="N132" s="38" t="str">
        <f t="shared" si="3"/>
        <v>COMMENT ON COLUMN summit_approval_proposal_mobile.test_5_number_of_lines_setting_rules IS '試5_回線数設定ルール';</v>
      </c>
      <c r="R132" s="34" t="s">
        <v>5654</v>
      </c>
    </row>
    <row r="133" spans="1:18">
      <c r="A133" s="23"/>
      <c r="B133" s="23"/>
      <c r="C133" s="36" t="s">
        <v>5655</v>
      </c>
      <c r="D133" s="37" t="s">
        <v>66</v>
      </c>
      <c r="E133" s="23">
        <v>255</v>
      </c>
      <c r="F133" s="23"/>
      <c r="G133" s="23"/>
      <c r="H133" s="23"/>
      <c r="I133" s="23"/>
      <c r="J133" s="23"/>
      <c r="K133" s="25" t="s">
        <v>5656</v>
      </c>
      <c r="L133" t="str">
        <f t="shared" si="2"/>
        <v>VARCHAR(255),</v>
      </c>
      <c r="N133" s="38" t="str">
        <f t="shared" si="3"/>
        <v>COMMENT ON COLUMN summit_approval_proposal_mobile.test_5_cancellation_fee_waiver___5percent_exception IS '試5_解除料免除_5%特例';</v>
      </c>
      <c r="R133" s="34" t="s">
        <v>5657</v>
      </c>
    </row>
    <row r="134" spans="1:18">
      <c r="A134" s="23"/>
      <c r="B134" s="23"/>
      <c r="C134" s="36" t="s">
        <v>5658</v>
      </c>
      <c r="D134" s="37" t="s">
        <v>66</v>
      </c>
      <c r="E134" s="23">
        <v>255</v>
      </c>
      <c r="F134" s="23"/>
      <c r="G134" s="23"/>
      <c r="H134" s="23"/>
      <c r="I134" s="23"/>
      <c r="J134" s="23"/>
      <c r="K134" s="25" t="s">
        <v>5659</v>
      </c>
      <c r="L134" t="str">
        <f t="shared" si="2"/>
        <v>VARCHAR(255),</v>
      </c>
      <c r="N134" s="38" t="str">
        <f t="shared" si="3"/>
        <v>COMMENT ON COLUMN summit_approval_proposal_mobile.test_5_penalty_charges_after_increase_decrease IS '試5_増減額後違約金';</v>
      </c>
      <c r="R134" s="34" t="s">
        <v>5660</v>
      </c>
    </row>
    <row r="135" spans="1:18">
      <c r="A135" s="23"/>
      <c r="B135" s="23"/>
      <c r="C135" s="36" t="s">
        <v>5661</v>
      </c>
      <c r="D135" s="37" t="s">
        <v>66</v>
      </c>
      <c r="E135" s="23">
        <v>255</v>
      </c>
      <c r="F135" s="23"/>
      <c r="G135" s="23"/>
      <c r="H135" s="23"/>
      <c r="I135" s="23"/>
      <c r="J135" s="23"/>
      <c r="K135" s="25" t="s">
        <v>5662</v>
      </c>
      <c r="L135" t="str">
        <f t="shared" si="2"/>
        <v>VARCHAR(255),</v>
      </c>
      <c r="N135" s="38" t="str">
        <f t="shared" si="3"/>
        <v>COMMENT ON COLUMN summit_approval_proposal_mobile.test_5_installment_plan IS '試5_分納計画';</v>
      </c>
      <c r="R135" s="34" t="s">
        <v>5663</v>
      </c>
    </row>
    <row r="136" spans="1:18">
      <c r="A136" s="23"/>
      <c r="B136" s="23"/>
      <c r="C136" s="36" t="s">
        <v>5664</v>
      </c>
      <c r="D136" s="37" t="s">
        <v>66</v>
      </c>
      <c r="E136" s="23">
        <v>255</v>
      </c>
      <c r="F136" s="23"/>
      <c r="G136" s="23"/>
      <c r="H136" s="23"/>
      <c r="I136" s="23"/>
      <c r="J136" s="23"/>
      <c r="K136" s="25" t="s">
        <v>5665</v>
      </c>
      <c r="L136" t="str">
        <f t="shared" si="2"/>
        <v>VARCHAR(255),</v>
      </c>
      <c r="N136" s="38" t="str">
        <f t="shared" si="3"/>
        <v>COMMENT ON COLUMN summit_approval_proposal_mobile.test_5_white_line_24 IS '試5_ホワイトライン24';</v>
      </c>
      <c r="R136" s="34" t="s">
        <v>5666</v>
      </c>
    </row>
    <row r="137" spans="1:18">
      <c r="A137" s="23"/>
      <c r="B137" s="23"/>
      <c r="C137" s="36" t="s">
        <v>5667</v>
      </c>
      <c r="D137" s="37" t="s">
        <v>66</v>
      </c>
      <c r="E137" s="23">
        <v>255</v>
      </c>
      <c r="F137" s="23"/>
      <c r="G137" s="23"/>
      <c r="H137" s="23"/>
      <c r="I137" s="23"/>
      <c r="J137" s="23"/>
      <c r="K137" s="25" t="s">
        <v>5668</v>
      </c>
      <c r="L137" t="str">
        <f t="shared" si="2"/>
        <v>VARCHAR(255),</v>
      </c>
      <c r="N137" s="38" t="str">
        <f t="shared" si="3"/>
        <v>COMMENT ON COLUMN summit_approval_proposal_mobile.test_5_white_office IS '試5_ホワイトオフィス';</v>
      </c>
      <c r="R137" s="34" t="s">
        <v>5669</v>
      </c>
    </row>
    <row r="138" spans="1:18">
      <c r="A138" s="23"/>
      <c r="B138" s="23"/>
      <c r="C138" s="36" t="s">
        <v>5670</v>
      </c>
      <c r="D138" s="37" t="s">
        <v>66</v>
      </c>
      <c r="E138" s="23">
        <v>255</v>
      </c>
      <c r="F138" s="23"/>
      <c r="G138" s="23"/>
      <c r="H138" s="23"/>
      <c r="I138" s="23"/>
      <c r="J138" s="23"/>
      <c r="K138" s="25" t="s">
        <v>5671</v>
      </c>
      <c r="L138" t="str">
        <f t="shared" si="2"/>
        <v>VARCHAR(255),</v>
      </c>
      <c r="N138" s="38" t="str">
        <f t="shared" si="3"/>
        <v>COMMENT ON COLUMN summit_approval_proposal_mobile.test_5_packet_mobilesharing IS '試5_packet_mobilesharing';</v>
      </c>
      <c r="R138" s="34" t="s">
        <v>5672</v>
      </c>
    </row>
    <row r="139" spans="1:18">
      <c r="A139" s="23"/>
      <c r="B139" s="23"/>
      <c r="C139" s="36" t="s">
        <v>5673</v>
      </c>
      <c r="D139" s="37" t="s">
        <v>66</v>
      </c>
      <c r="E139" s="23">
        <v>255</v>
      </c>
      <c r="F139" s="23"/>
      <c r="G139" s="23"/>
      <c r="H139" s="23"/>
      <c r="I139" s="23"/>
      <c r="J139" s="23"/>
      <c r="K139" s="25" t="s">
        <v>5674</v>
      </c>
      <c r="L139" t="str">
        <f t="shared" ref="L139:L202" si="4">D139&amp;"("&amp;E139&amp;"),"</f>
        <v>VARCHAR(255),</v>
      </c>
      <c r="N139" s="38" t="str">
        <f t="shared" ref="N139:N202" si="5">"COMMENT ON COLUMN "&amp;$K$3&amp;"."&amp;$K139&amp;" IS '"&amp;C139&amp;"';"</f>
        <v>COMMENT ON COLUMN summit_approval_proposal_mobile.test_6_sales_method IS '試6_販売方法';</v>
      </c>
      <c r="R139" s="34" t="s">
        <v>5675</v>
      </c>
    </row>
    <row r="140" spans="1:18">
      <c r="A140" s="23"/>
      <c r="B140" s="23"/>
      <c r="C140" s="36" t="s">
        <v>5676</v>
      </c>
      <c r="D140" s="37" t="s">
        <v>66</v>
      </c>
      <c r="E140" s="23">
        <v>255</v>
      </c>
      <c r="F140" s="23"/>
      <c r="G140" s="23"/>
      <c r="H140" s="23"/>
      <c r="I140" s="23"/>
      <c r="J140" s="23"/>
      <c r="K140" s="25" t="s">
        <v>5677</v>
      </c>
      <c r="L140" t="str">
        <f t="shared" si="4"/>
        <v>VARCHAR(255),</v>
      </c>
      <c r="N140" s="38" t="str">
        <f t="shared" si="5"/>
        <v>COMMENT ON COLUMN summit_approval_proposal_mobile.test_6_expected_order_month IS '試6_受注予定月';</v>
      </c>
      <c r="R140" s="34" t="s">
        <v>5678</v>
      </c>
    </row>
    <row r="141" spans="1:18">
      <c r="A141" s="23"/>
      <c r="B141" s="23"/>
      <c r="C141" s="36" t="s">
        <v>5679</v>
      </c>
      <c r="D141" s="37" t="s">
        <v>66</v>
      </c>
      <c r="E141" s="23">
        <v>255</v>
      </c>
      <c r="F141" s="23"/>
      <c r="G141" s="23"/>
      <c r="H141" s="23"/>
      <c r="I141" s="23"/>
      <c r="J141" s="23"/>
      <c r="K141" s="25" t="s">
        <v>5680</v>
      </c>
      <c r="L141" t="str">
        <f t="shared" si="4"/>
        <v>VARCHAR(255),</v>
      </c>
      <c r="N141" s="38" t="str">
        <f t="shared" si="5"/>
        <v>COMMENT ON COLUMN summit_approval_proposal_mobile.test_6_model IS '試6_機種';</v>
      </c>
      <c r="R141" s="34" t="s">
        <v>5681</v>
      </c>
    </row>
    <row r="142" spans="1:18">
      <c r="A142" s="23"/>
      <c r="B142" s="23"/>
      <c r="C142" s="36" t="s">
        <v>5682</v>
      </c>
      <c r="D142" s="37" t="s">
        <v>66</v>
      </c>
      <c r="E142" s="23">
        <v>255</v>
      </c>
      <c r="F142" s="23"/>
      <c r="G142" s="23"/>
      <c r="H142" s="23"/>
      <c r="I142" s="23"/>
      <c r="J142" s="23"/>
      <c r="K142" s="25" t="s">
        <v>5683</v>
      </c>
      <c r="L142" t="str">
        <f t="shared" si="4"/>
        <v>VARCHAR(255),</v>
      </c>
      <c r="N142" s="38" t="str">
        <f t="shared" si="5"/>
        <v>COMMENT ON COLUMN summit_approval_proposal_mobile.test_6_new_device_usage_period IS '試6_新端末利用期間';</v>
      </c>
      <c r="R142" s="34" t="s">
        <v>5684</v>
      </c>
    </row>
    <row r="143" spans="1:18">
      <c r="A143" s="23"/>
      <c r="B143" s="23"/>
      <c r="C143" s="36" t="s">
        <v>5685</v>
      </c>
      <c r="D143" s="37" t="s">
        <v>66</v>
      </c>
      <c r="E143" s="23">
        <v>255</v>
      </c>
      <c r="F143" s="23"/>
      <c r="G143" s="23"/>
      <c r="H143" s="23"/>
      <c r="I143" s="23"/>
      <c r="J143" s="23"/>
      <c r="K143" s="25" t="s">
        <v>5686</v>
      </c>
      <c r="L143" t="str">
        <f t="shared" si="4"/>
        <v>VARCHAR(255),</v>
      </c>
      <c r="N143" s="38" t="str">
        <f t="shared" si="5"/>
        <v>COMMENT ON COLUMN summit_approval_proposal_mobile.test_6_current_device_usage_period IS '試6_現端末利用期間';</v>
      </c>
      <c r="R143" s="34" t="s">
        <v>5687</v>
      </c>
    </row>
    <row r="144" spans="1:18">
      <c r="A144" s="23"/>
      <c r="B144" s="23"/>
      <c r="C144" s="36" t="s">
        <v>5688</v>
      </c>
      <c r="D144" s="37" t="s">
        <v>66</v>
      </c>
      <c r="E144" s="23">
        <v>255</v>
      </c>
      <c r="F144" s="23"/>
      <c r="G144" s="23"/>
      <c r="H144" s="23"/>
      <c r="I144" s="23"/>
      <c r="J144" s="23"/>
      <c r="K144" s="25" t="s">
        <v>5689</v>
      </c>
      <c r="L144" t="str">
        <f t="shared" si="4"/>
        <v>VARCHAR(255),</v>
      </c>
      <c r="N144" s="38" t="str">
        <f t="shared" si="5"/>
        <v>COMMENT ON COLUMN summit_approval_proposal_mobile.test_6_relative_contract_execution IS '試6_相対契約書締結有';</v>
      </c>
      <c r="R144" s="34" t="s">
        <v>5690</v>
      </c>
    </row>
    <row r="145" spans="1:18">
      <c r="A145" s="23"/>
      <c r="B145" s="23"/>
      <c r="C145" s="36" t="s">
        <v>5691</v>
      </c>
      <c r="D145" s="37" t="s">
        <v>66</v>
      </c>
      <c r="E145" s="23">
        <v>255</v>
      </c>
      <c r="F145" s="23"/>
      <c r="G145" s="23"/>
      <c r="H145" s="23"/>
      <c r="I145" s="23"/>
      <c r="J145" s="23"/>
      <c r="K145" s="25" t="s">
        <v>5692</v>
      </c>
      <c r="L145" t="str">
        <f t="shared" si="4"/>
        <v>VARCHAR(255),</v>
      </c>
      <c r="N145" s="38" t="str">
        <f t="shared" si="5"/>
        <v>COMMENT ON COLUMN summit_approval_proposal_mobile.test_6_contract_year IS '試6_契約年数';</v>
      </c>
      <c r="R145" s="34" t="s">
        <v>5693</v>
      </c>
    </row>
    <row r="146" spans="1:18">
      <c r="A146" s="23"/>
      <c r="B146" s="23"/>
      <c r="C146" s="36" t="s">
        <v>5694</v>
      </c>
      <c r="D146" s="37" t="s">
        <v>66</v>
      </c>
      <c r="E146" s="23">
        <v>255</v>
      </c>
      <c r="F146" s="23"/>
      <c r="G146" s="23"/>
      <c r="H146" s="23"/>
      <c r="I146" s="23"/>
      <c r="J146" s="23"/>
      <c r="K146" s="25" t="s">
        <v>5695</v>
      </c>
      <c r="L146" t="str">
        <f t="shared" si="4"/>
        <v>VARCHAR(255),</v>
      </c>
      <c r="N146" s="38" t="str">
        <f t="shared" si="5"/>
        <v>COMMENT ON COLUMN summit_approval_proposal_mobile.test_6_number_of_lines_setting_rules IS '試6_回線数設定ルール';</v>
      </c>
      <c r="R146" s="34" t="s">
        <v>5696</v>
      </c>
    </row>
    <row r="147" spans="1:18">
      <c r="A147" s="23"/>
      <c r="B147" s="23"/>
      <c r="C147" s="36" t="s">
        <v>5697</v>
      </c>
      <c r="D147" s="37" t="s">
        <v>66</v>
      </c>
      <c r="E147" s="23">
        <v>255</v>
      </c>
      <c r="F147" s="23"/>
      <c r="G147" s="23"/>
      <c r="H147" s="23"/>
      <c r="I147" s="23"/>
      <c r="J147" s="23"/>
      <c r="K147" s="25" t="s">
        <v>5698</v>
      </c>
      <c r="L147" t="str">
        <f t="shared" si="4"/>
        <v>VARCHAR(255),</v>
      </c>
      <c r="N147" s="38" t="str">
        <f t="shared" si="5"/>
        <v>COMMENT ON COLUMN summit_approval_proposal_mobile.test_6_cancellation_fee_waiver___5percent_exception IS '試6_解除料免除_5%特例';</v>
      </c>
      <c r="R147" s="34" t="s">
        <v>5699</v>
      </c>
    </row>
    <row r="148" spans="1:18">
      <c r="A148" s="23"/>
      <c r="B148" s="23"/>
      <c r="C148" s="36" t="s">
        <v>5700</v>
      </c>
      <c r="D148" s="37" t="s">
        <v>66</v>
      </c>
      <c r="E148" s="23">
        <v>255</v>
      </c>
      <c r="F148" s="23"/>
      <c r="G148" s="23"/>
      <c r="H148" s="23"/>
      <c r="I148" s="23"/>
      <c r="J148" s="23"/>
      <c r="K148" s="25" t="s">
        <v>5701</v>
      </c>
      <c r="L148" t="str">
        <f t="shared" si="4"/>
        <v>VARCHAR(255),</v>
      </c>
      <c r="N148" s="38" t="str">
        <f t="shared" si="5"/>
        <v>COMMENT ON COLUMN summit_approval_proposal_mobile.test_6_penalty_charges_after_increase_decrease IS '試6_増減額後違約金';</v>
      </c>
      <c r="R148" s="34" t="s">
        <v>5702</v>
      </c>
    </row>
    <row r="149" spans="1:18">
      <c r="A149" s="23"/>
      <c r="B149" s="23"/>
      <c r="C149" s="36" t="s">
        <v>5703</v>
      </c>
      <c r="D149" s="37" t="s">
        <v>66</v>
      </c>
      <c r="E149" s="23">
        <v>255</v>
      </c>
      <c r="F149" s="23"/>
      <c r="G149" s="23"/>
      <c r="H149" s="23"/>
      <c r="I149" s="23"/>
      <c r="J149" s="23"/>
      <c r="K149" s="25" t="s">
        <v>5704</v>
      </c>
      <c r="L149" t="str">
        <f t="shared" si="4"/>
        <v>VARCHAR(255),</v>
      </c>
      <c r="N149" s="38" t="str">
        <f t="shared" si="5"/>
        <v>COMMENT ON COLUMN summit_approval_proposal_mobile.test_6_minute_delivery_plan IS '試6_分納計画';</v>
      </c>
      <c r="R149" s="34" t="s">
        <v>5705</v>
      </c>
    </row>
    <row r="150" spans="1:18">
      <c r="A150" s="23"/>
      <c r="B150" s="23"/>
      <c r="C150" s="36" t="s">
        <v>5706</v>
      </c>
      <c r="D150" s="37" t="s">
        <v>66</v>
      </c>
      <c r="E150" s="23">
        <v>255</v>
      </c>
      <c r="F150" s="23"/>
      <c r="G150" s="23"/>
      <c r="H150" s="23"/>
      <c r="I150" s="23"/>
      <c r="J150" s="23"/>
      <c r="K150" s="25" t="s">
        <v>5707</v>
      </c>
      <c r="L150" t="str">
        <f t="shared" si="4"/>
        <v>VARCHAR(255),</v>
      </c>
      <c r="N150" s="38" t="str">
        <f t="shared" si="5"/>
        <v>COMMENT ON COLUMN summit_approval_proposal_mobile.test_6_white_line_24 IS '試6_ホワイトライン24';</v>
      </c>
      <c r="R150" s="34" t="s">
        <v>5708</v>
      </c>
    </row>
    <row r="151" spans="1:18">
      <c r="A151" s="23"/>
      <c r="B151" s="23"/>
      <c r="C151" s="36" t="s">
        <v>5709</v>
      </c>
      <c r="D151" s="37" t="s">
        <v>66</v>
      </c>
      <c r="E151" s="23">
        <v>255</v>
      </c>
      <c r="F151" s="23"/>
      <c r="G151" s="23"/>
      <c r="H151" s="23"/>
      <c r="I151" s="23"/>
      <c r="J151" s="23"/>
      <c r="K151" s="25" t="s">
        <v>5710</v>
      </c>
      <c r="L151" t="str">
        <f t="shared" si="4"/>
        <v>VARCHAR(255),</v>
      </c>
      <c r="N151" s="38" t="str">
        <f t="shared" si="5"/>
        <v>COMMENT ON COLUMN summit_approval_proposal_mobile.test_6_white_office IS '試6_ホワイトオフィス';</v>
      </c>
      <c r="R151" s="34" t="s">
        <v>5711</v>
      </c>
    </row>
    <row r="152" spans="1:18">
      <c r="A152" s="23"/>
      <c r="B152" s="23"/>
      <c r="C152" s="36" t="s">
        <v>5712</v>
      </c>
      <c r="D152" s="37" t="s">
        <v>66</v>
      </c>
      <c r="E152" s="23">
        <v>255</v>
      </c>
      <c r="F152" s="23"/>
      <c r="G152" s="23"/>
      <c r="H152" s="23"/>
      <c r="I152" s="23"/>
      <c r="J152" s="23"/>
      <c r="K152" s="25" t="s">
        <v>5713</v>
      </c>
      <c r="L152" t="str">
        <f t="shared" si="4"/>
        <v>VARCHAR(255),</v>
      </c>
      <c r="N152" s="38" t="str">
        <f t="shared" si="5"/>
        <v>COMMENT ON COLUMN summit_approval_proposal_mobile.test_6_packet_mobilesharing IS '試6_packet_mobilesharing';</v>
      </c>
      <c r="R152" s="34" t="s">
        <v>5714</v>
      </c>
    </row>
    <row r="153" spans="1:18">
      <c r="A153" s="23"/>
      <c r="B153" s="23"/>
      <c r="C153" s="36" t="s">
        <v>5715</v>
      </c>
      <c r="D153" s="37" t="s">
        <v>66</v>
      </c>
      <c r="E153" s="23">
        <v>255</v>
      </c>
      <c r="F153" s="23"/>
      <c r="G153" s="23"/>
      <c r="H153" s="23"/>
      <c r="I153" s="23"/>
      <c r="J153" s="23"/>
      <c r="K153" s="25" t="s">
        <v>5716</v>
      </c>
      <c r="L153" t="str">
        <f t="shared" si="4"/>
        <v>VARCHAR(255),</v>
      </c>
      <c r="N153" s="38" t="str">
        <f t="shared" si="5"/>
        <v>COMMENT ON COLUMN summit_approval_proposal_mobile.test_7_sales_method IS '試7_販売方法';</v>
      </c>
      <c r="R153" s="34" t="s">
        <v>5717</v>
      </c>
    </row>
    <row r="154" spans="1:18">
      <c r="A154" s="23"/>
      <c r="B154" s="23"/>
      <c r="C154" s="36" t="s">
        <v>5718</v>
      </c>
      <c r="D154" s="37" t="s">
        <v>66</v>
      </c>
      <c r="E154" s="23">
        <v>255</v>
      </c>
      <c r="F154" s="23"/>
      <c r="G154" s="23"/>
      <c r="H154" s="23"/>
      <c r="I154" s="23"/>
      <c r="J154" s="23"/>
      <c r="K154" s="25" t="s">
        <v>5719</v>
      </c>
      <c r="L154" t="str">
        <f t="shared" si="4"/>
        <v>VARCHAR(255),</v>
      </c>
      <c r="N154" s="38" t="str">
        <f t="shared" si="5"/>
        <v>COMMENT ON COLUMN summit_approval_proposal_mobile.test_7_expected_order_month IS '試7_受注予定月';</v>
      </c>
      <c r="R154" s="34" t="s">
        <v>5720</v>
      </c>
    </row>
    <row r="155" spans="1:18">
      <c r="A155" s="23"/>
      <c r="B155" s="23"/>
      <c r="C155" s="36" t="s">
        <v>5721</v>
      </c>
      <c r="D155" s="37" t="s">
        <v>66</v>
      </c>
      <c r="E155" s="23">
        <v>255</v>
      </c>
      <c r="F155" s="23"/>
      <c r="G155" s="23"/>
      <c r="H155" s="23"/>
      <c r="I155" s="23"/>
      <c r="J155" s="23"/>
      <c r="K155" s="25" t="s">
        <v>5722</v>
      </c>
      <c r="L155" t="str">
        <f t="shared" si="4"/>
        <v>VARCHAR(255),</v>
      </c>
      <c r="N155" s="38" t="str">
        <f t="shared" si="5"/>
        <v>COMMENT ON COLUMN summit_approval_proposal_mobile.test_7_model IS '試7_機種';</v>
      </c>
      <c r="R155" s="34" t="s">
        <v>5723</v>
      </c>
    </row>
    <row r="156" spans="1:18">
      <c r="A156" s="23"/>
      <c r="B156" s="23"/>
      <c r="C156" s="36" t="s">
        <v>5724</v>
      </c>
      <c r="D156" s="37" t="s">
        <v>66</v>
      </c>
      <c r="E156" s="23">
        <v>255</v>
      </c>
      <c r="F156" s="23"/>
      <c r="G156" s="23"/>
      <c r="H156" s="23"/>
      <c r="I156" s="23"/>
      <c r="J156" s="23"/>
      <c r="K156" s="25" t="s">
        <v>5725</v>
      </c>
      <c r="L156" t="str">
        <f t="shared" si="4"/>
        <v>VARCHAR(255),</v>
      </c>
      <c r="N156" s="38" t="str">
        <f t="shared" si="5"/>
        <v>COMMENT ON COLUMN summit_approval_proposal_mobile.test_7_new_device_usage_period IS '試7_新端末利用期間';</v>
      </c>
      <c r="R156" s="34" t="s">
        <v>5726</v>
      </c>
    </row>
    <row r="157" spans="1:18">
      <c r="A157" s="23"/>
      <c r="B157" s="23"/>
      <c r="C157" s="36" t="s">
        <v>5727</v>
      </c>
      <c r="D157" s="37" t="s">
        <v>66</v>
      </c>
      <c r="E157" s="23">
        <v>255</v>
      </c>
      <c r="F157" s="23"/>
      <c r="G157" s="23"/>
      <c r="H157" s="23"/>
      <c r="I157" s="23"/>
      <c r="J157" s="23"/>
      <c r="K157" s="25" t="s">
        <v>5728</v>
      </c>
      <c r="L157" t="str">
        <f t="shared" si="4"/>
        <v>VARCHAR(255),</v>
      </c>
      <c r="N157" s="38" t="str">
        <f t="shared" si="5"/>
        <v>COMMENT ON COLUMN summit_approval_proposal_mobile.test_7_current_device_usage_period IS '試7_現端末利用期間';</v>
      </c>
      <c r="R157" s="34" t="s">
        <v>5729</v>
      </c>
    </row>
    <row r="158" spans="1:18">
      <c r="A158" s="23"/>
      <c r="B158" s="23"/>
      <c r="C158" s="36" t="s">
        <v>5730</v>
      </c>
      <c r="D158" s="37" t="s">
        <v>66</v>
      </c>
      <c r="E158" s="23">
        <v>255</v>
      </c>
      <c r="F158" s="23"/>
      <c r="G158" s="23"/>
      <c r="H158" s="23"/>
      <c r="I158" s="23"/>
      <c r="J158" s="23"/>
      <c r="K158" s="25" t="s">
        <v>5731</v>
      </c>
      <c r="L158" t="str">
        <f t="shared" si="4"/>
        <v>VARCHAR(255),</v>
      </c>
      <c r="N158" s="38" t="str">
        <f t="shared" si="5"/>
        <v>COMMENT ON COLUMN summit_approval_proposal_mobile.test_7_relative_contract_established IS '試7_相対契約書締結有';</v>
      </c>
      <c r="R158" s="34" t="s">
        <v>5732</v>
      </c>
    </row>
    <row r="159" spans="1:18">
      <c r="A159" s="23"/>
      <c r="B159" s="23"/>
      <c r="C159" s="36" t="s">
        <v>5733</v>
      </c>
      <c r="D159" s="37" t="s">
        <v>66</v>
      </c>
      <c r="E159" s="23">
        <v>255</v>
      </c>
      <c r="F159" s="23"/>
      <c r="G159" s="23"/>
      <c r="H159" s="23"/>
      <c r="I159" s="23"/>
      <c r="J159" s="23"/>
      <c r="K159" s="25" t="s">
        <v>5734</v>
      </c>
      <c r="L159" t="str">
        <f t="shared" si="4"/>
        <v>VARCHAR(255),</v>
      </c>
      <c r="N159" s="38" t="str">
        <f t="shared" si="5"/>
        <v>COMMENT ON COLUMN summit_approval_proposal_mobile.test_7_contract_year IS '試7_契約年数';</v>
      </c>
      <c r="R159" s="34" t="s">
        <v>5735</v>
      </c>
    </row>
    <row r="160" spans="1:18">
      <c r="A160" s="23"/>
      <c r="B160" s="23"/>
      <c r="C160" s="36" t="s">
        <v>5736</v>
      </c>
      <c r="D160" s="37" t="s">
        <v>66</v>
      </c>
      <c r="E160" s="23">
        <v>255</v>
      </c>
      <c r="F160" s="23"/>
      <c r="G160" s="23"/>
      <c r="H160" s="23"/>
      <c r="I160" s="23"/>
      <c r="J160" s="23"/>
      <c r="K160" s="25" t="s">
        <v>5737</v>
      </c>
      <c r="L160" t="str">
        <f t="shared" si="4"/>
        <v>VARCHAR(255),</v>
      </c>
      <c r="N160" s="38" t="str">
        <f t="shared" si="5"/>
        <v>COMMENT ON COLUMN summit_approval_proposal_mobile.test_7_number_of_lines_setting_rules IS '試7_回線数設定ルール';</v>
      </c>
      <c r="R160" s="34" t="s">
        <v>5738</v>
      </c>
    </row>
    <row r="161" spans="1:18">
      <c r="A161" s="23"/>
      <c r="B161" s="23"/>
      <c r="C161" s="36" t="s">
        <v>5739</v>
      </c>
      <c r="D161" s="37" t="s">
        <v>66</v>
      </c>
      <c r="E161" s="23">
        <v>255</v>
      </c>
      <c r="F161" s="23"/>
      <c r="G161" s="23"/>
      <c r="H161" s="23"/>
      <c r="I161" s="23"/>
      <c r="J161" s="23"/>
      <c r="K161" s="25" t="s">
        <v>5740</v>
      </c>
      <c r="L161" t="str">
        <f t="shared" si="4"/>
        <v>VARCHAR(255),</v>
      </c>
      <c r="N161" s="38" t="str">
        <f t="shared" si="5"/>
        <v>COMMENT ON COLUMN summit_approval_proposal_mobile.test_7_cancellation_fee_waiver_5percent_exception IS '試7_解除料免除_5%特例';</v>
      </c>
      <c r="R161" s="34" t="s">
        <v>5741</v>
      </c>
    </row>
    <row r="162" spans="1:18">
      <c r="A162" s="23"/>
      <c r="B162" s="23"/>
      <c r="C162" s="36" t="s">
        <v>5742</v>
      </c>
      <c r="D162" s="37" t="s">
        <v>66</v>
      </c>
      <c r="E162" s="23">
        <v>255</v>
      </c>
      <c r="F162" s="23"/>
      <c r="G162" s="23"/>
      <c r="H162" s="23"/>
      <c r="I162" s="23"/>
      <c r="J162" s="23"/>
      <c r="K162" s="25" t="s">
        <v>5743</v>
      </c>
      <c r="L162" t="str">
        <f t="shared" si="4"/>
        <v>VARCHAR(255),</v>
      </c>
      <c r="N162" s="38" t="str">
        <f t="shared" si="5"/>
        <v>COMMENT ON COLUMN summit_approval_proposal_mobile.test_7_penalty_charge_after_increase_decrease IS '試7_増減額後違約金';</v>
      </c>
      <c r="R162" s="34" t="s">
        <v>5744</v>
      </c>
    </row>
    <row r="163" spans="1:18">
      <c r="A163" s="23"/>
      <c r="B163" s="23"/>
      <c r="C163" s="36" t="s">
        <v>5745</v>
      </c>
      <c r="D163" s="37" t="s">
        <v>66</v>
      </c>
      <c r="E163" s="23">
        <v>255</v>
      </c>
      <c r="F163" s="23"/>
      <c r="G163" s="23"/>
      <c r="H163" s="23"/>
      <c r="I163" s="23"/>
      <c r="J163" s="23"/>
      <c r="K163" s="25" t="s">
        <v>5746</v>
      </c>
      <c r="L163" t="str">
        <f t="shared" si="4"/>
        <v>VARCHAR(255),</v>
      </c>
      <c r="N163" s="38" t="str">
        <f t="shared" si="5"/>
        <v>COMMENT ON COLUMN summit_approval_proposal_mobile.test_7_installment_plan IS '試7_分納計画';</v>
      </c>
      <c r="R163" s="34" t="s">
        <v>5747</v>
      </c>
    </row>
    <row r="164" spans="1:18">
      <c r="A164" s="23"/>
      <c r="B164" s="23"/>
      <c r="C164" s="36" t="s">
        <v>5748</v>
      </c>
      <c r="D164" s="37" t="s">
        <v>66</v>
      </c>
      <c r="E164" s="23">
        <v>255</v>
      </c>
      <c r="F164" s="23"/>
      <c r="G164" s="23"/>
      <c r="H164" s="23"/>
      <c r="I164" s="23"/>
      <c r="J164" s="23"/>
      <c r="K164" s="25" t="s">
        <v>5749</v>
      </c>
      <c r="L164" t="str">
        <f t="shared" si="4"/>
        <v>VARCHAR(255),</v>
      </c>
      <c r="N164" s="38" t="str">
        <f t="shared" si="5"/>
        <v>COMMENT ON COLUMN summit_approval_proposal_mobile.test_7_white_line_24 IS '試7_ホワイトライン24';</v>
      </c>
      <c r="R164" s="34" t="s">
        <v>5750</v>
      </c>
    </row>
    <row r="165" spans="1:18">
      <c r="A165" s="23"/>
      <c r="B165" s="23"/>
      <c r="C165" s="36" t="s">
        <v>5751</v>
      </c>
      <c r="D165" s="37" t="s">
        <v>66</v>
      </c>
      <c r="E165" s="23">
        <v>255</v>
      </c>
      <c r="F165" s="23"/>
      <c r="G165" s="23"/>
      <c r="H165" s="23"/>
      <c r="I165" s="23"/>
      <c r="J165" s="23"/>
      <c r="K165" s="25" t="s">
        <v>5752</v>
      </c>
      <c r="L165" t="str">
        <f t="shared" si="4"/>
        <v>VARCHAR(255),</v>
      </c>
      <c r="N165" s="38" t="str">
        <f t="shared" si="5"/>
        <v>COMMENT ON COLUMN summit_approval_proposal_mobile.test_7_white_office IS '試7_ホワイトオフィス';</v>
      </c>
      <c r="R165" s="34" t="s">
        <v>5753</v>
      </c>
    </row>
    <row r="166" spans="1:18">
      <c r="A166" s="23"/>
      <c r="B166" s="23"/>
      <c r="C166" s="36" t="s">
        <v>5754</v>
      </c>
      <c r="D166" s="37" t="s">
        <v>66</v>
      </c>
      <c r="E166" s="23">
        <v>255</v>
      </c>
      <c r="F166" s="23"/>
      <c r="G166" s="23"/>
      <c r="H166" s="23"/>
      <c r="I166" s="23"/>
      <c r="J166" s="23"/>
      <c r="K166" s="25" t="s">
        <v>5755</v>
      </c>
      <c r="L166" t="str">
        <f t="shared" si="4"/>
        <v>VARCHAR(255),</v>
      </c>
      <c r="N166" s="38" t="str">
        <f t="shared" si="5"/>
        <v>COMMENT ON COLUMN summit_approval_proposal_mobile.test_7_packet_mobilesharing IS '試7_packet_mobilesharing';</v>
      </c>
      <c r="R166" s="34" t="s">
        <v>5756</v>
      </c>
    </row>
    <row r="167" spans="1:18">
      <c r="A167" s="23"/>
      <c r="B167" s="23"/>
      <c r="C167" s="36" t="s">
        <v>5757</v>
      </c>
      <c r="D167" s="37" t="s">
        <v>66</v>
      </c>
      <c r="E167" s="23">
        <v>255</v>
      </c>
      <c r="F167" s="23"/>
      <c r="G167" s="23"/>
      <c r="H167" s="23"/>
      <c r="I167" s="23"/>
      <c r="J167" s="23"/>
      <c r="K167" s="25" t="s">
        <v>5758</v>
      </c>
      <c r="L167" t="str">
        <f t="shared" si="4"/>
        <v>VARCHAR(255),</v>
      </c>
      <c r="N167" s="38" t="str">
        <f t="shared" si="5"/>
        <v>COMMENT ON COLUMN summit_approval_proposal_mobile.test_8_sales_method IS '試8_販売方法';</v>
      </c>
      <c r="R167" s="34" t="s">
        <v>5759</v>
      </c>
    </row>
    <row r="168" spans="1:18">
      <c r="A168" s="23"/>
      <c r="B168" s="23"/>
      <c r="C168" s="36" t="s">
        <v>5760</v>
      </c>
      <c r="D168" s="37" t="s">
        <v>66</v>
      </c>
      <c r="E168" s="23">
        <v>255</v>
      </c>
      <c r="F168" s="23"/>
      <c r="G168" s="23"/>
      <c r="H168" s="23"/>
      <c r="I168" s="23"/>
      <c r="J168" s="23"/>
      <c r="K168" s="25" t="s">
        <v>5761</v>
      </c>
      <c r="L168" t="str">
        <f t="shared" si="4"/>
        <v>VARCHAR(255),</v>
      </c>
      <c r="N168" s="38" t="str">
        <f t="shared" si="5"/>
        <v>COMMENT ON COLUMN summit_approval_proposal_mobile.test_8_expected_order_month IS '試8_受注予定月';</v>
      </c>
      <c r="R168" s="34" t="s">
        <v>5762</v>
      </c>
    </row>
    <row r="169" spans="1:18">
      <c r="A169" s="23"/>
      <c r="B169" s="23"/>
      <c r="C169" s="36" t="s">
        <v>5763</v>
      </c>
      <c r="D169" s="37" t="s">
        <v>66</v>
      </c>
      <c r="E169" s="23">
        <v>255</v>
      </c>
      <c r="F169" s="23"/>
      <c r="G169" s="23"/>
      <c r="H169" s="23"/>
      <c r="I169" s="23"/>
      <c r="J169" s="23"/>
      <c r="K169" s="25" t="s">
        <v>5764</v>
      </c>
      <c r="L169" t="str">
        <f t="shared" si="4"/>
        <v>VARCHAR(255),</v>
      </c>
      <c r="N169" s="38" t="str">
        <f t="shared" si="5"/>
        <v>COMMENT ON COLUMN summit_approval_proposal_mobile.test_8_model IS '試8_機種';</v>
      </c>
      <c r="R169" s="34" t="s">
        <v>5765</v>
      </c>
    </row>
    <row r="170" spans="1:18">
      <c r="A170" s="23"/>
      <c r="B170" s="23"/>
      <c r="C170" s="36" t="s">
        <v>5766</v>
      </c>
      <c r="D170" s="37" t="s">
        <v>66</v>
      </c>
      <c r="E170" s="23">
        <v>255</v>
      </c>
      <c r="F170" s="23"/>
      <c r="G170" s="23"/>
      <c r="H170" s="23"/>
      <c r="I170" s="23"/>
      <c r="J170" s="23"/>
      <c r="K170" s="25" t="s">
        <v>5767</v>
      </c>
      <c r="L170" t="str">
        <f t="shared" si="4"/>
        <v>VARCHAR(255),</v>
      </c>
      <c r="N170" s="38" t="str">
        <f t="shared" si="5"/>
        <v>COMMENT ON COLUMN summit_approval_proposal_mobile.test_8_new_device_usage_period IS '試8_新端末利用期間';</v>
      </c>
      <c r="R170" s="34" t="s">
        <v>5768</v>
      </c>
    </row>
    <row r="171" spans="1:18">
      <c r="A171" s="23"/>
      <c r="B171" s="23"/>
      <c r="C171" s="36" t="s">
        <v>5769</v>
      </c>
      <c r="D171" s="37" t="s">
        <v>66</v>
      </c>
      <c r="E171" s="23">
        <v>255</v>
      </c>
      <c r="F171" s="23"/>
      <c r="G171" s="23"/>
      <c r="H171" s="23"/>
      <c r="I171" s="23"/>
      <c r="J171" s="23"/>
      <c r="K171" s="25" t="s">
        <v>5770</v>
      </c>
      <c r="L171" t="str">
        <f t="shared" si="4"/>
        <v>VARCHAR(255),</v>
      </c>
      <c r="N171" s="38" t="str">
        <f t="shared" si="5"/>
        <v>COMMENT ON COLUMN summit_approval_proposal_mobile.test_8_current_device_usage_period IS '試8_現端末利用期間';</v>
      </c>
      <c r="R171" s="34" t="s">
        <v>5771</v>
      </c>
    </row>
    <row r="172" spans="1:18">
      <c r="A172" s="23"/>
      <c r="B172" s="23"/>
      <c r="C172" s="36" t="s">
        <v>5772</v>
      </c>
      <c r="D172" s="37" t="s">
        <v>66</v>
      </c>
      <c r="E172" s="23">
        <v>255</v>
      </c>
      <c r="F172" s="23"/>
      <c r="G172" s="23"/>
      <c r="H172" s="23"/>
      <c r="I172" s="23"/>
      <c r="J172" s="23"/>
      <c r="K172" s="25" t="s">
        <v>5773</v>
      </c>
      <c r="L172" t="str">
        <f t="shared" si="4"/>
        <v>VARCHAR(255),</v>
      </c>
      <c r="N172" s="38" t="str">
        <f t="shared" si="5"/>
        <v>COMMENT ON COLUMN summit_approval_proposal_mobile.test_8_relative_contract_established IS '試8_相対契約書締結有';</v>
      </c>
      <c r="R172" s="34" t="s">
        <v>5774</v>
      </c>
    </row>
    <row r="173" spans="1:18">
      <c r="A173" s="23"/>
      <c r="B173" s="23"/>
      <c r="C173" s="36" t="s">
        <v>5775</v>
      </c>
      <c r="D173" s="37" t="s">
        <v>66</v>
      </c>
      <c r="E173" s="23">
        <v>255</v>
      </c>
      <c r="F173" s="23"/>
      <c r="G173" s="23"/>
      <c r="H173" s="23"/>
      <c r="I173" s="23"/>
      <c r="J173" s="23"/>
      <c r="K173" s="25" t="s">
        <v>5776</v>
      </c>
      <c r="L173" t="str">
        <f t="shared" si="4"/>
        <v>VARCHAR(255),</v>
      </c>
      <c r="N173" s="38" t="str">
        <f t="shared" si="5"/>
        <v>COMMENT ON COLUMN summit_approval_proposal_mobile.test_8__contract_year IS '試8_契約年数';</v>
      </c>
      <c r="R173" s="34" t="s">
        <v>5777</v>
      </c>
    </row>
    <row r="174" spans="1:18">
      <c r="A174" s="23"/>
      <c r="B174" s="23"/>
      <c r="C174" s="36" t="s">
        <v>5778</v>
      </c>
      <c r="D174" s="37" t="s">
        <v>66</v>
      </c>
      <c r="E174" s="23">
        <v>255</v>
      </c>
      <c r="F174" s="23"/>
      <c r="G174" s="23"/>
      <c r="H174" s="23"/>
      <c r="I174" s="23"/>
      <c r="J174" s="23"/>
      <c r="K174" s="25" t="s">
        <v>5779</v>
      </c>
      <c r="L174" t="str">
        <f t="shared" si="4"/>
        <v>VARCHAR(255),</v>
      </c>
      <c r="N174" s="38" t="str">
        <f t="shared" si="5"/>
        <v>COMMENT ON COLUMN summit_approval_proposal_mobile.test_8_number_of_lines_setting_rules IS '試8_回線数設定ルール';</v>
      </c>
      <c r="R174" s="34" t="s">
        <v>5780</v>
      </c>
    </row>
    <row r="175" spans="1:18">
      <c r="A175" s="23"/>
      <c r="B175" s="23"/>
      <c r="C175" s="36" t="s">
        <v>5781</v>
      </c>
      <c r="D175" s="37" t="s">
        <v>66</v>
      </c>
      <c r="E175" s="23">
        <v>255</v>
      </c>
      <c r="F175" s="23"/>
      <c r="G175" s="23"/>
      <c r="H175" s="23"/>
      <c r="I175" s="23"/>
      <c r="J175" s="23"/>
      <c r="K175" s="25" t="s">
        <v>5782</v>
      </c>
      <c r="L175" t="str">
        <f t="shared" si="4"/>
        <v>VARCHAR(255),</v>
      </c>
      <c r="N175" s="38" t="str">
        <f t="shared" si="5"/>
        <v>COMMENT ON COLUMN summit_approval_proposal_mobile.test_8_cancellation_fee_waiver_5percent_exception IS '試8_解除料免除_5%特例';</v>
      </c>
      <c r="R175" s="34" t="s">
        <v>5783</v>
      </c>
    </row>
    <row r="176" spans="1:18">
      <c r="A176" s="23"/>
      <c r="B176" s="23"/>
      <c r="C176" s="36" t="s">
        <v>5784</v>
      </c>
      <c r="D176" s="37" t="s">
        <v>66</v>
      </c>
      <c r="E176" s="23">
        <v>255</v>
      </c>
      <c r="F176" s="23"/>
      <c r="G176" s="23"/>
      <c r="H176" s="23"/>
      <c r="I176" s="23"/>
      <c r="J176" s="23"/>
      <c r="K176" s="25" t="s">
        <v>5785</v>
      </c>
      <c r="L176" t="str">
        <f t="shared" si="4"/>
        <v>VARCHAR(255),</v>
      </c>
      <c r="N176" s="38" t="str">
        <f t="shared" si="5"/>
        <v>COMMENT ON COLUMN summit_approval_proposal_mobile.test_8_penalty_charges_after_increase_decrease IS '試8_増減額後違約金';</v>
      </c>
      <c r="R176" s="34" t="s">
        <v>5786</v>
      </c>
    </row>
    <row r="177" spans="1:18">
      <c r="A177" s="23"/>
      <c r="B177" s="23"/>
      <c r="C177" s="36" t="s">
        <v>5787</v>
      </c>
      <c r="D177" s="37" t="s">
        <v>66</v>
      </c>
      <c r="E177" s="23">
        <v>255</v>
      </c>
      <c r="F177" s="23"/>
      <c r="G177" s="23"/>
      <c r="H177" s="23"/>
      <c r="I177" s="23"/>
      <c r="J177" s="23"/>
      <c r="K177" s="25" t="s">
        <v>5788</v>
      </c>
      <c r="L177" t="str">
        <f t="shared" si="4"/>
        <v>VARCHAR(255),</v>
      </c>
      <c r="N177" s="38" t="str">
        <f t="shared" si="5"/>
        <v>COMMENT ON COLUMN summit_approval_proposal_mobile.test_8_installment_plan IS '試8_分納計画';</v>
      </c>
      <c r="R177" s="34" t="s">
        <v>5789</v>
      </c>
    </row>
    <row r="178" spans="1:18">
      <c r="A178" s="23"/>
      <c r="B178" s="23"/>
      <c r="C178" s="36" t="s">
        <v>5790</v>
      </c>
      <c r="D178" s="37" t="s">
        <v>66</v>
      </c>
      <c r="E178" s="23">
        <v>255</v>
      </c>
      <c r="F178" s="23"/>
      <c r="G178" s="23"/>
      <c r="H178" s="23"/>
      <c r="I178" s="23"/>
      <c r="J178" s="23"/>
      <c r="K178" s="25" t="s">
        <v>5791</v>
      </c>
      <c r="L178" t="str">
        <f t="shared" si="4"/>
        <v>VARCHAR(255),</v>
      </c>
      <c r="N178" s="38" t="str">
        <f t="shared" si="5"/>
        <v>COMMENT ON COLUMN summit_approval_proposal_mobile.test_8_white_line_24 IS '試8_ホワイトライン24';</v>
      </c>
      <c r="R178" s="34" t="s">
        <v>5792</v>
      </c>
    </row>
    <row r="179" spans="1:18">
      <c r="A179" s="23"/>
      <c r="B179" s="23"/>
      <c r="C179" s="36" t="s">
        <v>5793</v>
      </c>
      <c r="D179" s="37" t="s">
        <v>66</v>
      </c>
      <c r="E179" s="23">
        <v>255</v>
      </c>
      <c r="F179" s="23"/>
      <c r="G179" s="23"/>
      <c r="H179" s="23"/>
      <c r="I179" s="23"/>
      <c r="J179" s="23"/>
      <c r="K179" s="25" t="s">
        <v>5794</v>
      </c>
      <c r="L179" t="str">
        <f t="shared" si="4"/>
        <v>VARCHAR(255),</v>
      </c>
      <c r="N179" s="38" t="str">
        <f t="shared" si="5"/>
        <v>COMMENT ON COLUMN summit_approval_proposal_mobile.test_8_white_office IS '試8_ホワイトオフィス';</v>
      </c>
      <c r="R179" s="34" t="s">
        <v>5795</v>
      </c>
    </row>
    <row r="180" spans="1:18">
      <c r="A180" s="23"/>
      <c r="B180" s="23"/>
      <c r="C180" s="36" t="s">
        <v>5796</v>
      </c>
      <c r="D180" s="37" t="s">
        <v>66</v>
      </c>
      <c r="E180" s="23">
        <v>255</v>
      </c>
      <c r="F180" s="23"/>
      <c r="G180" s="23"/>
      <c r="H180" s="23"/>
      <c r="I180" s="23"/>
      <c r="J180" s="23"/>
      <c r="K180" s="25" t="s">
        <v>5797</v>
      </c>
      <c r="L180" t="str">
        <f t="shared" si="4"/>
        <v>VARCHAR(255),</v>
      </c>
      <c r="N180" s="38" t="str">
        <f t="shared" si="5"/>
        <v>COMMENT ON COLUMN summit_approval_proposal_mobile.test_8_packet_mobilesharing IS '試8_packet_mobilesharing';</v>
      </c>
      <c r="R180" s="34" t="s">
        <v>5798</v>
      </c>
    </row>
    <row r="181" spans="1:18">
      <c r="A181" s="23"/>
      <c r="B181" s="23"/>
      <c r="C181" s="36" t="s">
        <v>5799</v>
      </c>
      <c r="D181" s="37" t="s">
        <v>66</v>
      </c>
      <c r="E181" s="23">
        <v>255</v>
      </c>
      <c r="F181" s="23"/>
      <c r="G181" s="23"/>
      <c r="H181" s="23"/>
      <c r="I181" s="23"/>
      <c r="J181" s="23"/>
      <c r="K181" s="25" t="s">
        <v>5800</v>
      </c>
      <c r="L181" t="str">
        <f t="shared" si="4"/>
        <v>VARCHAR(255),</v>
      </c>
      <c r="N181" s="38" t="str">
        <f t="shared" si="5"/>
        <v>COMMENT ON COLUMN summit_approval_proposal_mobile.test_9_sales_method IS '試9_販売方法';</v>
      </c>
      <c r="R181" s="34" t="s">
        <v>5801</v>
      </c>
    </row>
    <row r="182" spans="1:18">
      <c r="A182" s="23"/>
      <c r="B182" s="23"/>
      <c r="C182" s="36" t="s">
        <v>5802</v>
      </c>
      <c r="D182" s="37" t="s">
        <v>66</v>
      </c>
      <c r="E182" s="23">
        <v>255</v>
      </c>
      <c r="F182" s="23"/>
      <c r="G182" s="23"/>
      <c r="H182" s="23"/>
      <c r="I182" s="23"/>
      <c r="J182" s="23"/>
      <c r="K182" s="25" t="s">
        <v>5803</v>
      </c>
      <c r="L182" t="str">
        <f t="shared" si="4"/>
        <v>VARCHAR(255),</v>
      </c>
      <c r="N182" s="38" t="str">
        <f t="shared" si="5"/>
        <v>COMMENT ON COLUMN summit_approval_proposal_mobile.test_9_expected_order_month IS '試9_受注予定月';</v>
      </c>
      <c r="R182" s="34" t="s">
        <v>5804</v>
      </c>
    </row>
    <row r="183" spans="1:18">
      <c r="A183" s="23"/>
      <c r="B183" s="23"/>
      <c r="C183" s="36" t="s">
        <v>5805</v>
      </c>
      <c r="D183" s="37" t="s">
        <v>66</v>
      </c>
      <c r="E183" s="23">
        <v>255</v>
      </c>
      <c r="F183" s="23"/>
      <c r="G183" s="23"/>
      <c r="H183" s="23"/>
      <c r="I183" s="23"/>
      <c r="J183" s="23"/>
      <c r="K183" s="25" t="s">
        <v>5806</v>
      </c>
      <c r="L183" t="str">
        <f t="shared" si="4"/>
        <v>VARCHAR(255),</v>
      </c>
      <c r="N183" s="38" t="str">
        <f t="shared" si="5"/>
        <v>COMMENT ON COLUMN summit_approval_proposal_mobile.test_9_model IS '試9_機種';</v>
      </c>
      <c r="R183" s="34" t="s">
        <v>5807</v>
      </c>
    </row>
    <row r="184" spans="1:18">
      <c r="A184" s="23"/>
      <c r="B184" s="23"/>
      <c r="C184" s="36" t="s">
        <v>5808</v>
      </c>
      <c r="D184" s="37" t="s">
        <v>66</v>
      </c>
      <c r="E184" s="23">
        <v>255</v>
      </c>
      <c r="F184" s="23"/>
      <c r="G184" s="23"/>
      <c r="H184" s="23"/>
      <c r="I184" s="23"/>
      <c r="J184" s="23"/>
      <c r="K184" s="25" t="s">
        <v>5809</v>
      </c>
      <c r="L184" t="str">
        <f t="shared" si="4"/>
        <v>VARCHAR(255),</v>
      </c>
      <c r="N184" s="38" t="str">
        <f t="shared" si="5"/>
        <v>COMMENT ON COLUMN summit_approval_proposal_mobile.test_9_new_device_usage_period IS '試9_新端末利用期間';</v>
      </c>
      <c r="R184" s="34" t="s">
        <v>5810</v>
      </c>
    </row>
    <row r="185" spans="1:18">
      <c r="A185" s="23"/>
      <c r="B185" s="23"/>
      <c r="C185" s="36" t="s">
        <v>5811</v>
      </c>
      <c r="D185" s="37" t="s">
        <v>66</v>
      </c>
      <c r="E185" s="23">
        <v>255</v>
      </c>
      <c r="F185" s="23"/>
      <c r="G185" s="23"/>
      <c r="H185" s="23"/>
      <c r="I185" s="23"/>
      <c r="J185" s="23"/>
      <c r="K185" s="25" t="s">
        <v>5812</v>
      </c>
      <c r="L185" t="str">
        <f t="shared" si="4"/>
        <v>VARCHAR(255),</v>
      </c>
      <c r="N185" s="38" t="str">
        <f t="shared" si="5"/>
        <v>COMMENT ON COLUMN summit_approval_proposal_mobile.test_9_current_device_usage_period IS '試9_現端末利用期間';</v>
      </c>
      <c r="R185" s="34" t="s">
        <v>5813</v>
      </c>
    </row>
    <row r="186" spans="1:18">
      <c r="A186" s="23"/>
      <c r="B186" s="23"/>
      <c r="C186" s="36" t="s">
        <v>5814</v>
      </c>
      <c r="D186" s="37" t="s">
        <v>66</v>
      </c>
      <c r="E186" s="23">
        <v>255</v>
      </c>
      <c r="F186" s="23"/>
      <c r="G186" s="23"/>
      <c r="H186" s="23"/>
      <c r="I186" s="23"/>
      <c r="J186" s="23"/>
      <c r="K186" s="25" t="s">
        <v>5815</v>
      </c>
      <c r="L186" t="str">
        <f t="shared" si="4"/>
        <v>VARCHAR(255),</v>
      </c>
      <c r="N186" s="38" t="str">
        <f t="shared" si="5"/>
        <v>COMMENT ON COLUMN summit_approval_proposal_mobile.test_9_relative_contract_execution IS '試9_相対契約書締結有';</v>
      </c>
      <c r="R186" s="34" t="s">
        <v>5816</v>
      </c>
    </row>
    <row r="187" spans="1:18">
      <c r="A187" s="23"/>
      <c r="B187" s="23"/>
      <c r="C187" s="36" t="s">
        <v>5817</v>
      </c>
      <c r="D187" s="37" t="s">
        <v>66</v>
      </c>
      <c r="E187" s="23">
        <v>255</v>
      </c>
      <c r="F187" s="23"/>
      <c r="G187" s="23"/>
      <c r="H187" s="23"/>
      <c r="I187" s="23"/>
      <c r="J187" s="23"/>
      <c r="K187" s="25" t="s">
        <v>5818</v>
      </c>
      <c r="L187" t="str">
        <f t="shared" si="4"/>
        <v>VARCHAR(255),</v>
      </c>
      <c r="N187" s="38" t="str">
        <f t="shared" si="5"/>
        <v>COMMENT ON COLUMN summit_approval_proposal_mobile.test_9_contract_year IS '試9_契約年数';</v>
      </c>
      <c r="R187" s="34" t="s">
        <v>5819</v>
      </c>
    </row>
    <row r="188" spans="1:18">
      <c r="A188" s="23"/>
      <c r="B188" s="23"/>
      <c r="C188" s="36" t="s">
        <v>5820</v>
      </c>
      <c r="D188" s="37" t="s">
        <v>66</v>
      </c>
      <c r="E188" s="23">
        <v>255</v>
      </c>
      <c r="F188" s="23"/>
      <c r="G188" s="23"/>
      <c r="H188" s="23"/>
      <c r="I188" s="23"/>
      <c r="J188" s="23"/>
      <c r="K188" s="25" t="s">
        <v>5821</v>
      </c>
      <c r="L188" t="str">
        <f t="shared" si="4"/>
        <v>VARCHAR(255),</v>
      </c>
      <c r="N188" s="38" t="str">
        <f t="shared" si="5"/>
        <v>COMMENT ON COLUMN summit_approval_proposal_mobile.test_9_number_of_lines_setting_rules IS '試9_回線数設定ルール';</v>
      </c>
      <c r="R188" s="34" t="s">
        <v>5822</v>
      </c>
    </row>
    <row r="189" spans="1:18">
      <c r="A189" s="23"/>
      <c r="B189" s="23"/>
      <c r="C189" s="36" t="s">
        <v>5823</v>
      </c>
      <c r="D189" s="37" t="s">
        <v>66</v>
      </c>
      <c r="E189" s="23">
        <v>255</v>
      </c>
      <c r="F189" s="23"/>
      <c r="G189" s="23"/>
      <c r="H189" s="23"/>
      <c r="I189" s="23"/>
      <c r="J189" s="23"/>
      <c r="K189" s="25" t="s">
        <v>5824</v>
      </c>
      <c r="L189" t="str">
        <f t="shared" si="4"/>
        <v>VARCHAR(255),</v>
      </c>
      <c r="N189" s="38" t="str">
        <f t="shared" si="5"/>
        <v>COMMENT ON COLUMN summit_approval_proposal_mobile.test_9_cancellation_fee_waiver_5percent_exception IS '試9_解除料免除_5%特例';</v>
      </c>
      <c r="R189" s="34" t="s">
        <v>5825</v>
      </c>
    </row>
    <row r="190" spans="1:18">
      <c r="A190" s="23"/>
      <c r="B190" s="23"/>
      <c r="C190" s="36" t="s">
        <v>5826</v>
      </c>
      <c r="D190" s="37" t="s">
        <v>66</v>
      </c>
      <c r="E190" s="23">
        <v>255</v>
      </c>
      <c r="F190" s="23"/>
      <c r="G190" s="23"/>
      <c r="H190" s="23"/>
      <c r="I190" s="23"/>
      <c r="J190" s="23"/>
      <c r="K190" s="25" t="s">
        <v>5827</v>
      </c>
      <c r="L190" t="str">
        <f t="shared" si="4"/>
        <v>VARCHAR(255),</v>
      </c>
      <c r="N190" s="38" t="str">
        <f t="shared" si="5"/>
        <v>COMMENT ON COLUMN summit_approval_proposal_mobile.test_9_penalty_charges_after_increase_decrease IS '試9_増減額後違約金';</v>
      </c>
      <c r="R190" s="34" t="s">
        <v>5828</v>
      </c>
    </row>
    <row r="191" spans="1:18">
      <c r="A191" s="23"/>
      <c r="B191" s="23"/>
      <c r="C191" s="36" t="s">
        <v>5829</v>
      </c>
      <c r="D191" s="37" t="s">
        <v>66</v>
      </c>
      <c r="E191" s="23">
        <v>255</v>
      </c>
      <c r="F191" s="23"/>
      <c r="G191" s="23"/>
      <c r="H191" s="23"/>
      <c r="I191" s="23"/>
      <c r="J191" s="23"/>
      <c r="K191" s="25" t="s">
        <v>5830</v>
      </c>
      <c r="L191" t="str">
        <f t="shared" si="4"/>
        <v>VARCHAR(255),</v>
      </c>
      <c r="N191" s="38" t="str">
        <f t="shared" si="5"/>
        <v>COMMENT ON COLUMN summit_approval_proposal_mobile.test_9_installment_plan IS '試9_分納計画';</v>
      </c>
      <c r="R191" s="34" t="s">
        <v>5831</v>
      </c>
    </row>
    <row r="192" spans="1:18">
      <c r="A192" s="23"/>
      <c r="B192" s="23"/>
      <c r="C192" s="36" t="s">
        <v>5832</v>
      </c>
      <c r="D192" s="37" t="s">
        <v>66</v>
      </c>
      <c r="E192" s="23">
        <v>255</v>
      </c>
      <c r="F192" s="23"/>
      <c r="G192" s="23"/>
      <c r="H192" s="23"/>
      <c r="I192" s="23"/>
      <c r="J192" s="23"/>
      <c r="K192" s="25" t="s">
        <v>5833</v>
      </c>
      <c r="L192" t="str">
        <f t="shared" si="4"/>
        <v>VARCHAR(255),</v>
      </c>
      <c r="N192" s="38" t="str">
        <f t="shared" si="5"/>
        <v>COMMENT ON COLUMN summit_approval_proposal_mobile.test_9_white_line_24 IS '試9_ホワイトライン24';</v>
      </c>
      <c r="R192" s="34" t="s">
        <v>5834</v>
      </c>
    </row>
    <row r="193" spans="1:18">
      <c r="A193" s="23"/>
      <c r="B193" s="23"/>
      <c r="C193" s="36" t="s">
        <v>5835</v>
      </c>
      <c r="D193" s="37" t="s">
        <v>66</v>
      </c>
      <c r="E193" s="23">
        <v>255</v>
      </c>
      <c r="F193" s="23"/>
      <c r="G193" s="23"/>
      <c r="H193" s="23"/>
      <c r="I193" s="23"/>
      <c r="J193" s="23"/>
      <c r="K193" s="25" t="s">
        <v>5836</v>
      </c>
      <c r="L193" t="str">
        <f t="shared" si="4"/>
        <v>VARCHAR(255),</v>
      </c>
      <c r="N193" s="38" t="str">
        <f t="shared" si="5"/>
        <v>COMMENT ON COLUMN summit_approval_proposal_mobile.test_9_white_office IS '試9_ホワイトオフィス';</v>
      </c>
      <c r="R193" s="34" t="s">
        <v>5837</v>
      </c>
    </row>
    <row r="194" spans="1:18">
      <c r="A194" s="23"/>
      <c r="B194" s="23"/>
      <c r="C194" s="36" t="s">
        <v>5838</v>
      </c>
      <c r="D194" s="37" t="s">
        <v>66</v>
      </c>
      <c r="E194" s="23">
        <v>255</v>
      </c>
      <c r="F194" s="23"/>
      <c r="G194" s="23"/>
      <c r="H194" s="23"/>
      <c r="I194" s="23"/>
      <c r="J194" s="23"/>
      <c r="K194" s="25" t="s">
        <v>5839</v>
      </c>
      <c r="L194" t="str">
        <f t="shared" si="4"/>
        <v>VARCHAR(255),</v>
      </c>
      <c r="N194" s="38" t="str">
        <f t="shared" si="5"/>
        <v>COMMENT ON COLUMN summit_approval_proposal_mobile.test_9_packet_mobilesharing IS '試9_packet_mobilesharing';</v>
      </c>
      <c r="R194" s="34" t="s">
        <v>5840</v>
      </c>
    </row>
    <row r="195" spans="1:18">
      <c r="A195" s="23"/>
      <c r="B195" s="23"/>
      <c r="C195" s="36" t="s">
        <v>5841</v>
      </c>
      <c r="D195" s="37" t="s">
        <v>66</v>
      </c>
      <c r="E195" s="23">
        <v>255</v>
      </c>
      <c r="F195" s="23"/>
      <c r="G195" s="23"/>
      <c r="H195" s="23"/>
      <c r="I195" s="23"/>
      <c r="J195" s="23"/>
      <c r="K195" s="25" t="s">
        <v>5842</v>
      </c>
      <c r="L195" t="str">
        <f t="shared" si="4"/>
        <v>VARCHAR(255),</v>
      </c>
      <c r="N195" s="38" t="str">
        <f t="shared" si="5"/>
        <v>COMMENT ON COLUMN summit_approval_proposal_mobile.test_10_sales_method IS '試10_販売方法';</v>
      </c>
      <c r="R195" s="34" t="s">
        <v>5843</v>
      </c>
    </row>
    <row r="196" spans="1:18">
      <c r="A196" s="23"/>
      <c r="B196" s="23"/>
      <c r="C196" s="36" t="s">
        <v>5844</v>
      </c>
      <c r="D196" s="37" t="s">
        <v>66</v>
      </c>
      <c r="E196" s="23">
        <v>255</v>
      </c>
      <c r="F196" s="23"/>
      <c r="G196" s="23"/>
      <c r="H196" s="23"/>
      <c r="I196" s="23"/>
      <c r="J196" s="23"/>
      <c r="K196" s="25" t="s">
        <v>5845</v>
      </c>
      <c r="L196" t="str">
        <f t="shared" si="4"/>
        <v>VARCHAR(255),</v>
      </c>
      <c r="N196" s="38" t="str">
        <f t="shared" si="5"/>
        <v>COMMENT ON COLUMN summit_approval_proposal_mobile.test_10__expected_order_month IS '試10_受注予定月';</v>
      </c>
      <c r="R196" s="34" t="s">
        <v>5846</v>
      </c>
    </row>
    <row r="197" spans="1:18">
      <c r="A197" s="23"/>
      <c r="B197" s="23"/>
      <c r="C197" s="36" t="s">
        <v>5847</v>
      </c>
      <c r="D197" s="37" t="s">
        <v>66</v>
      </c>
      <c r="E197" s="23">
        <v>255</v>
      </c>
      <c r="F197" s="23"/>
      <c r="G197" s="23"/>
      <c r="H197" s="23"/>
      <c r="I197" s="23"/>
      <c r="J197" s="23"/>
      <c r="K197" s="25" t="s">
        <v>5848</v>
      </c>
      <c r="L197" t="str">
        <f t="shared" si="4"/>
        <v>VARCHAR(255),</v>
      </c>
      <c r="N197" s="38" t="str">
        <f t="shared" si="5"/>
        <v>COMMENT ON COLUMN summit_approval_proposal_mobile.test_10_model IS '試10_機種';</v>
      </c>
      <c r="R197" s="34" t="s">
        <v>5849</v>
      </c>
    </row>
    <row r="198" spans="1:18">
      <c r="A198" s="23"/>
      <c r="B198" s="23"/>
      <c r="C198" s="36" t="s">
        <v>5850</v>
      </c>
      <c r="D198" s="37" t="s">
        <v>66</v>
      </c>
      <c r="E198" s="23">
        <v>255</v>
      </c>
      <c r="F198" s="23"/>
      <c r="G198" s="23"/>
      <c r="H198" s="23"/>
      <c r="I198" s="23"/>
      <c r="J198" s="23"/>
      <c r="K198" s="25" t="s">
        <v>5851</v>
      </c>
      <c r="L198" t="str">
        <f t="shared" si="4"/>
        <v>VARCHAR(255),</v>
      </c>
      <c r="N198" s="38" t="str">
        <f t="shared" si="5"/>
        <v>COMMENT ON COLUMN summit_approval_proposal_mobile.test_10_new_device_usage_period IS '試10_新端末利用期間';</v>
      </c>
      <c r="R198" s="34" t="s">
        <v>5852</v>
      </c>
    </row>
    <row r="199" spans="1:18">
      <c r="A199" s="23"/>
      <c r="B199" s="23"/>
      <c r="C199" s="36" t="s">
        <v>5853</v>
      </c>
      <c r="D199" s="37" t="s">
        <v>66</v>
      </c>
      <c r="E199" s="23">
        <v>255</v>
      </c>
      <c r="F199" s="23"/>
      <c r="G199" s="23"/>
      <c r="H199" s="23"/>
      <c r="I199" s="23"/>
      <c r="J199" s="23"/>
      <c r="K199" s="25" t="s">
        <v>5854</v>
      </c>
      <c r="L199" t="str">
        <f t="shared" si="4"/>
        <v>VARCHAR(255),</v>
      </c>
      <c r="N199" s="38" t="str">
        <f t="shared" si="5"/>
        <v>COMMENT ON COLUMN summit_approval_proposal_mobile.test_10_current_device_usage_period IS '試10_現端末利用期間';</v>
      </c>
      <c r="R199" s="34" t="s">
        <v>5855</v>
      </c>
    </row>
    <row r="200" spans="1:18">
      <c r="A200" s="23"/>
      <c r="B200" s="23"/>
      <c r="C200" s="36" t="s">
        <v>5856</v>
      </c>
      <c r="D200" s="37" t="s">
        <v>66</v>
      </c>
      <c r="E200" s="23">
        <v>255</v>
      </c>
      <c r="F200" s="23"/>
      <c r="G200" s="23"/>
      <c r="H200" s="23"/>
      <c r="I200" s="23"/>
      <c r="J200" s="23"/>
      <c r="K200" s="25" t="s">
        <v>5857</v>
      </c>
      <c r="L200" t="str">
        <f t="shared" si="4"/>
        <v>VARCHAR(255),</v>
      </c>
      <c r="N200" s="38" t="str">
        <f t="shared" si="5"/>
        <v>COMMENT ON COLUMN summit_approval_proposal_mobile.test_10_relative_contract_execution IS '試10_相対契約書締結有';</v>
      </c>
      <c r="R200" s="34" t="s">
        <v>5858</v>
      </c>
    </row>
    <row r="201" spans="1:18">
      <c r="A201" s="23"/>
      <c r="B201" s="23"/>
      <c r="C201" s="36" t="s">
        <v>5859</v>
      </c>
      <c r="D201" s="37" t="s">
        <v>66</v>
      </c>
      <c r="E201" s="23">
        <v>255</v>
      </c>
      <c r="F201" s="23"/>
      <c r="G201" s="23"/>
      <c r="H201" s="23"/>
      <c r="I201" s="23"/>
      <c r="J201" s="23"/>
      <c r="K201" s="25" t="s">
        <v>5860</v>
      </c>
      <c r="L201" t="str">
        <f t="shared" si="4"/>
        <v>VARCHAR(255),</v>
      </c>
      <c r="N201" s="38" t="str">
        <f t="shared" si="5"/>
        <v>COMMENT ON COLUMN summit_approval_proposal_mobile.test_10_contract_year IS '試10_契約年数';</v>
      </c>
      <c r="R201" s="34" t="s">
        <v>5861</v>
      </c>
    </row>
    <row r="202" spans="1:18">
      <c r="A202" s="23"/>
      <c r="B202" s="23"/>
      <c r="C202" s="36" t="s">
        <v>5862</v>
      </c>
      <c r="D202" s="37" t="s">
        <v>66</v>
      </c>
      <c r="E202" s="23">
        <v>255</v>
      </c>
      <c r="F202" s="23"/>
      <c r="G202" s="23"/>
      <c r="H202" s="23"/>
      <c r="I202" s="23"/>
      <c r="J202" s="23"/>
      <c r="K202" s="25" t="s">
        <v>5863</v>
      </c>
      <c r="L202" t="str">
        <f t="shared" si="4"/>
        <v>VARCHAR(255),</v>
      </c>
      <c r="N202" s="38" t="str">
        <f t="shared" si="5"/>
        <v>COMMENT ON COLUMN summit_approval_proposal_mobile.test_10_number_of_lines_setting_rules IS '試10_回線数設定ルール';</v>
      </c>
      <c r="R202" s="34" t="s">
        <v>5864</v>
      </c>
    </row>
    <row r="203" spans="1:18">
      <c r="A203" s="23"/>
      <c r="B203" s="23"/>
      <c r="C203" s="36" t="s">
        <v>5865</v>
      </c>
      <c r="D203" s="37" t="s">
        <v>66</v>
      </c>
      <c r="E203" s="23">
        <v>255</v>
      </c>
      <c r="F203" s="23"/>
      <c r="G203" s="23"/>
      <c r="H203" s="23"/>
      <c r="I203" s="23"/>
      <c r="J203" s="23"/>
      <c r="K203" s="25" t="s">
        <v>5866</v>
      </c>
      <c r="L203" t="str">
        <f t="shared" ref="L203:L220" si="6">D203&amp;"("&amp;E203&amp;"),"</f>
        <v>VARCHAR(255),</v>
      </c>
      <c r="N203" s="38" t="str">
        <f t="shared" ref="N203:N220" si="7">"COMMENT ON COLUMN "&amp;$K$3&amp;"."&amp;$K203&amp;" IS '"&amp;C203&amp;"';"</f>
        <v>COMMENT ON COLUMN summit_approval_proposal_mobile.test_10_cancellation_fee_waiver_5_exception IS '試10_解除料免除_5%特例';</v>
      </c>
      <c r="R203" s="34" t="s">
        <v>5867</v>
      </c>
    </row>
    <row r="204" spans="1:18">
      <c r="A204" s="23"/>
      <c r="B204" s="23"/>
      <c r="C204" s="36" t="s">
        <v>5868</v>
      </c>
      <c r="D204" s="37" t="s">
        <v>66</v>
      </c>
      <c r="E204" s="23">
        <v>255</v>
      </c>
      <c r="F204" s="23"/>
      <c r="G204" s="23"/>
      <c r="H204" s="23"/>
      <c r="I204" s="23"/>
      <c r="J204" s="23"/>
      <c r="K204" s="25" t="s">
        <v>5869</v>
      </c>
      <c r="L204" t="str">
        <f t="shared" si="6"/>
        <v>VARCHAR(255),</v>
      </c>
      <c r="N204" s="38" t="str">
        <f t="shared" si="7"/>
        <v>COMMENT ON COLUMN summit_approval_proposal_mobile.test_10_penalty_charge_after_increase_decrease IS '試10_増減額後違約金';</v>
      </c>
      <c r="R204" s="34" t="s">
        <v>5870</v>
      </c>
    </row>
    <row r="205" spans="1:18">
      <c r="A205" s="23"/>
      <c r="B205" s="23"/>
      <c r="C205" s="36" t="s">
        <v>5871</v>
      </c>
      <c r="D205" s="37" t="s">
        <v>66</v>
      </c>
      <c r="E205" s="23">
        <v>255</v>
      </c>
      <c r="F205" s="23"/>
      <c r="G205" s="23"/>
      <c r="H205" s="23"/>
      <c r="I205" s="23"/>
      <c r="J205" s="23"/>
      <c r="K205" s="25" t="s">
        <v>5872</v>
      </c>
      <c r="L205" t="str">
        <f t="shared" si="6"/>
        <v>VARCHAR(255),</v>
      </c>
      <c r="N205" s="38" t="str">
        <f t="shared" si="7"/>
        <v>COMMENT ON COLUMN summit_approval_proposal_mobile.test_10_installment_plan IS '試10_分納計画';</v>
      </c>
      <c r="R205" s="34" t="s">
        <v>5873</v>
      </c>
    </row>
    <row r="206" spans="1:18">
      <c r="A206" s="23"/>
      <c r="B206" s="23"/>
      <c r="C206" s="36" t="s">
        <v>5874</v>
      </c>
      <c r="D206" s="37" t="s">
        <v>66</v>
      </c>
      <c r="E206" s="23">
        <v>255</v>
      </c>
      <c r="F206" s="23"/>
      <c r="G206" s="23"/>
      <c r="H206" s="23"/>
      <c r="I206" s="23"/>
      <c r="J206" s="23"/>
      <c r="K206" s="25" t="s">
        <v>5875</v>
      </c>
      <c r="L206" t="str">
        <f t="shared" si="6"/>
        <v>VARCHAR(255),</v>
      </c>
      <c r="N206" s="38" t="str">
        <f t="shared" si="7"/>
        <v>COMMENT ON COLUMN summit_approval_proposal_mobile.test_10_white_line_24 IS '試10_ホワイトライン24';</v>
      </c>
      <c r="R206" s="34" t="s">
        <v>5876</v>
      </c>
    </row>
    <row r="207" spans="1:18">
      <c r="A207" s="23"/>
      <c r="B207" s="23"/>
      <c r="C207" s="36" t="s">
        <v>5877</v>
      </c>
      <c r="D207" s="37" t="s">
        <v>66</v>
      </c>
      <c r="E207" s="23">
        <v>255</v>
      </c>
      <c r="F207" s="23"/>
      <c r="G207" s="23"/>
      <c r="H207" s="23"/>
      <c r="I207" s="23"/>
      <c r="J207" s="23"/>
      <c r="K207" s="25" t="s">
        <v>5878</v>
      </c>
      <c r="L207" t="str">
        <f t="shared" si="6"/>
        <v>VARCHAR(255),</v>
      </c>
      <c r="N207" s="38" t="str">
        <f t="shared" si="7"/>
        <v>COMMENT ON COLUMN summit_approval_proposal_mobile.test_10_white_office IS '試10_ホワイトオフィス';</v>
      </c>
      <c r="R207" s="34" t="s">
        <v>5879</v>
      </c>
    </row>
    <row r="208" spans="1:18">
      <c r="A208" s="23"/>
      <c r="B208" s="23"/>
      <c r="C208" s="36" t="s">
        <v>5880</v>
      </c>
      <c r="D208" s="37" t="s">
        <v>66</v>
      </c>
      <c r="E208" s="23">
        <v>255</v>
      </c>
      <c r="F208" s="23"/>
      <c r="G208" s="23"/>
      <c r="H208" s="23"/>
      <c r="I208" s="23"/>
      <c r="J208" s="23"/>
      <c r="K208" s="25" t="s">
        <v>5881</v>
      </c>
      <c r="L208" t="str">
        <f t="shared" si="6"/>
        <v>VARCHAR(255),</v>
      </c>
      <c r="N208" s="38" t="str">
        <f t="shared" si="7"/>
        <v>COMMENT ON COLUMN summit_approval_proposal_mobile.test_10_packet_mobilesharing IS '試10_packet_mobilesharing';</v>
      </c>
      <c r="R208" s="34" t="s">
        <v>5882</v>
      </c>
    </row>
    <row r="209" spans="1:18">
      <c r="A209" s="23"/>
      <c r="B209" s="23"/>
      <c r="C209" s="36" t="s">
        <v>5273</v>
      </c>
      <c r="D209" s="37" t="s">
        <v>66</v>
      </c>
      <c r="E209" s="23">
        <v>255</v>
      </c>
      <c r="F209" s="23"/>
      <c r="G209" s="23"/>
      <c r="H209" s="23"/>
      <c r="I209" s="23"/>
      <c r="J209" s="23"/>
      <c r="K209" s="25" t="s">
        <v>5274</v>
      </c>
      <c r="L209" t="str">
        <f t="shared" si="6"/>
        <v>VARCHAR(255),</v>
      </c>
      <c r="N209" s="38" t="str">
        <f t="shared" si="7"/>
        <v>COMMENT ON COLUMN summit_approval_proposal_mobile.form_id IS 'フォームid';</v>
      </c>
      <c r="R209" s="34" t="s">
        <v>5883</v>
      </c>
    </row>
    <row r="210" spans="1:18">
      <c r="A210" s="23"/>
      <c r="B210" s="23"/>
      <c r="C210" s="36" t="s">
        <v>5276</v>
      </c>
      <c r="D210" s="37" t="s">
        <v>66</v>
      </c>
      <c r="E210" s="23">
        <v>255</v>
      </c>
      <c r="F210" s="23"/>
      <c r="G210" s="23"/>
      <c r="H210" s="23"/>
      <c r="I210" s="23"/>
      <c r="J210" s="23"/>
      <c r="K210" s="25" t="s">
        <v>5277</v>
      </c>
      <c r="L210" t="str">
        <f t="shared" si="6"/>
        <v>VARCHAR(255),</v>
      </c>
      <c r="N210" s="38" t="str">
        <f t="shared" si="7"/>
        <v>COMMENT ON COLUMN summit_approval_proposal_mobile.root_id IS 'ルートid';</v>
      </c>
      <c r="R210" s="34" t="s">
        <v>5884</v>
      </c>
    </row>
    <row r="211" spans="1:18">
      <c r="A211" s="23"/>
      <c r="B211" s="23"/>
      <c r="C211" s="36" t="s">
        <v>5279</v>
      </c>
      <c r="D211" s="37" t="s">
        <v>66</v>
      </c>
      <c r="E211" s="23">
        <v>255</v>
      </c>
      <c r="F211" s="23"/>
      <c r="G211" s="23"/>
      <c r="H211" s="23"/>
      <c r="I211" s="23"/>
      <c r="J211" s="23"/>
      <c r="K211" s="25" t="s">
        <v>5280</v>
      </c>
      <c r="L211" t="str">
        <f t="shared" si="6"/>
        <v>VARCHAR(255),</v>
      </c>
      <c r="N211" s="38" t="str">
        <f t="shared" si="7"/>
        <v>COMMENT ON COLUMN summit_approval_proposal_mobile.status_id IS 'ステータスid';</v>
      </c>
      <c r="R211" s="34" t="s">
        <v>5885</v>
      </c>
    </row>
    <row r="212" spans="1:18">
      <c r="A212" s="23"/>
      <c r="B212" s="23"/>
      <c r="C212" s="36" t="s">
        <v>5886</v>
      </c>
      <c r="D212" s="37" t="s">
        <v>66</v>
      </c>
      <c r="E212" s="23">
        <v>255</v>
      </c>
      <c r="F212" s="23"/>
      <c r="G212" s="23"/>
      <c r="H212" s="23"/>
      <c r="I212" s="23"/>
      <c r="J212" s="23"/>
      <c r="K212" s="25" t="s">
        <v>5887</v>
      </c>
      <c r="L212" t="str">
        <f t="shared" si="6"/>
        <v>VARCHAR(255),</v>
      </c>
      <c r="N212" s="38" t="str">
        <f t="shared" si="7"/>
        <v>COMMENT ON COLUMN summit_approval_proposal_mobile.purpose_reason_effect_1 IS '目的_理由_効果1';</v>
      </c>
      <c r="R212" s="34" t="s">
        <v>5888</v>
      </c>
    </row>
    <row r="213" spans="1:18">
      <c r="A213" s="23"/>
      <c r="B213" s="23"/>
      <c r="C213" s="36" t="s">
        <v>5889</v>
      </c>
      <c r="D213" s="37" t="s">
        <v>66</v>
      </c>
      <c r="E213" s="23">
        <v>255</v>
      </c>
      <c r="F213" s="23"/>
      <c r="G213" s="23"/>
      <c r="H213" s="23"/>
      <c r="I213" s="23"/>
      <c r="J213" s="23"/>
      <c r="K213" s="25" t="s">
        <v>5890</v>
      </c>
      <c r="L213" t="str">
        <f t="shared" si="6"/>
        <v>VARCHAR(255),</v>
      </c>
      <c r="N213" s="38" t="str">
        <f t="shared" si="7"/>
        <v>COMMENT ON COLUMN summit_approval_proposal_mobile.purpose_reason_effect_2 IS '目的_理由_効果2';</v>
      </c>
      <c r="R213" s="34" t="s">
        <v>5891</v>
      </c>
    </row>
    <row r="214" spans="1:18">
      <c r="A214" s="23"/>
      <c r="B214" s="23"/>
      <c r="C214" s="36" t="s">
        <v>5892</v>
      </c>
      <c r="D214" s="37" t="s">
        <v>66</v>
      </c>
      <c r="E214" s="23">
        <v>255</v>
      </c>
      <c r="F214" s="23"/>
      <c r="G214" s="23"/>
      <c r="H214" s="23"/>
      <c r="I214" s="23"/>
      <c r="J214" s="23"/>
      <c r="K214" s="25" t="s">
        <v>5893</v>
      </c>
      <c r="L214" t="str">
        <f t="shared" si="6"/>
        <v>VARCHAR(255),</v>
      </c>
      <c r="N214" s="38" t="str">
        <f t="shared" si="7"/>
        <v>COMMENT ON COLUMN summit_approval_proposal_mobile.purpose_reason_effect_3 IS '目的_理由_効果3';</v>
      </c>
      <c r="R214" s="34" t="s">
        <v>5894</v>
      </c>
    </row>
    <row r="215" spans="1:18">
      <c r="A215" s="23"/>
      <c r="B215" s="23"/>
      <c r="C215" s="36" t="s">
        <v>5895</v>
      </c>
      <c r="D215" s="37" t="s">
        <v>66</v>
      </c>
      <c r="E215" s="23">
        <v>255</v>
      </c>
      <c r="F215" s="23"/>
      <c r="G215" s="23"/>
      <c r="H215" s="23"/>
      <c r="I215" s="23"/>
      <c r="J215" s="23"/>
      <c r="K215" s="25" t="s">
        <v>5896</v>
      </c>
      <c r="L215" t="str">
        <f t="shared" si="6"/>
        <v>VARCHAR(255),</v>
      </c>
      <c r="N215" s="38" t="str">
        <f t="shared" si="7"/>
        <v>COMMENT ON COLUMN summit_approval_proposal_mobile.purpose_reason_effect_4 IS '目的_理由_効果4';</v>
      </c>
      <c r="R215" s="34" t="s">
        <v>5897</v>
      </c>
    </row>
    <row r="216" spans="1:18">
      <c r="A216" s="23"/>
      <c r="B216" s="23"/>
      <c r="C216" s="36" t="s">
        <v>5898</v>
      </c>
      <c r="D216" s="37" t="s">
        <v>66</v>
      </c>
      <c r="E216" s="23">
        <v>255</v>
      </c>
      <c r="F216" s="23"/>
      <c r="G216" s="23"/>
      <c r="H216" s="23"/>
      <c r="I216" s="23"/>
      <c r="J216" s="23"/>
      <c r="K216" s="25" t="s">
        <v>5899</v>
      </c>
      <c r="L216" t="str">
        <f t="shared" si="6"/>
        <v>VARCHAR(255),</v>
      </c>
      <c r="N216" s="38" t="str">
        <f t="shared" si="7"/>
        <v>COMMENT ON COLUMN summit_approval_proposal_mobile.purpose_reason_effect_5 IS '目的_理由_効果5';</v>
      </c>
      <c r="R216" s="34" t="s">
        <v>5900</v>
      </c>
    </row>
    <row r="217" spans="1:18">
      <c r="A217" s="23"/>
      <c r="B217" s="23"/>
      <c r="C217" s="36" t="s">
        <v>5901</v>
      </c>
      <c r="D217" s="37" t="s">
        <v>66</v>
      </c>
      <c r="E217" s="23">
        <v>255</v>
      </c>
      <c r="F217" s="23"/>
      <c r="G217" s="23"/>
      <c r="H217" s="23"/>
      <c r="I217" s="23"/>
      <c r="J217" s="23"/>
      <c r="K217" s="25" t="s">
        <v>5902</v>
      </c>
      <c r="L217" t="str">
        <f t="shared" si="6"/>
        <v>VARCHAR(255),</v>
      </c>
      <c r="N217" s="38" t="str">
        <f t="shared" si="7"/>
        <v>COMMENT ON COLUMN summit_approval_proposal_mobile.purpose_reason_effect_6 IS '目的_理由_効果6';</v>
      </c>
      <c r="R217" s="34" t="s">
        <v>5903</v>
      </c>
    </row>
    <row r="218" spans="1:18">
      <c r="A218" s="23"/>
      <c r="B218" s="23"/>
      <c r="C218" s="36" t="s">
        <v>5904</v>
      </c>
      <c r="D218" s="37" t="s">
        <v>66</v>
      </c>
      <c r="E218" s="23">
        <v>255</v>
      </c>
      <c r="F218" s="23"/>
      <c r="G218" s="23"/>
      <c r="H218" s="23"/>
      <c r="I218" s="23"/>
      <c r="J218" s="23"/>
      <c r="K218" s="25" t="s">
        <v>5905</v>
      </c>
      <c r="L218" t="str">
        <f t="shared" si="6"/>
        <v>VARCHAR(255),</v>
      </c>
      <c r="N218" s="38" t="str">
        <f t="shared" si="7"/>
        <v>COMMENT ON COLUMN summit_approval_proposal_mobile.purpose_reason_effect_7 IS '目的_理由_効果7';</v>
      </c>
      <c r="R218" s="34" t="s">
        <v>5906</v>
      </c>
    </row>
    <row r="219" spans="1:18">
      <c r="A219" s="23"/>
      <c r="B219" s="23"/>
      <c r="C219" s="36" t="s">
        <v>5907</v>
      </c>
      <c r="D219" s="37" t="s">
        <v>66</v>
      </c>
      <c r="E219" s="23">
        <v>255</v>
      </c>
      <c r="F219" s="23"/>
      <c r="G219" s="23"/>
      <c r="H219" s="23"/>
      <c r="I219" s="23"/>
      <c r="J219" s="23"/>
      <c r="K219" s="25" t="s">
        <v>5908</v>
      </c>
      <c r="L219" t="str">
        <f t="shared" si="6"/>
        <v>VARCHAR(255),</v>
      </c>
      <c r="N219" s="38" t="str">
        <f t="shared" si="7"/>
        <v>COMMENT ON COLUMN summit_approval_proposal_mobile.purpose_reason_effect_8 IS '目的_理由_効果8';</v>
      </c>
      <c r="R219" s="34" t="s">
        <v>5909</v>
      </c>
    </row>
    <row r="220" spans="1:18">
      <c r="A220" s="23"/>
      <c r="B220" s="23"/>
      <c r="C220" s="36" t="s">
        <v>5910</v>
      </c>
      <c r="D220" s="37" t="s">
        <v>66</v>
      </c>
      <c r="E220" s="23">
        <v>255</v>
      </c>
      <c r="F220" s="23"/>
      <c r="G220" s="23"/>
      <c r="H220" s="23"/>
      <c r="I220" s="23"/>
      <c r="J220" s="23"/>
      <c r="K220" s="25" t="s">
        <v>5911</v>
      </c>
      <c r="L220" t="str">
        <f t="shared" si="6"/>
        <v>VARCHAR(255),</v>
      </c>
      <c r="N220" s="38" t="str">
        <f t="shared" si="7"/>
        <v>COMMENT ON COLUMN summit_approval_proposal_mobile.purpose_reason_effect_9 IS '目的_理由_効果9';</v>
      </c>
      <c r="R220" s="34" t="s">
        <v>5912</v>
      </c>
    </row>
    <row r="221" spans="1:18">
      <c r="A221" s="23"/>
      <c r="B221" s="23"/>
      <c r="C221" s="23"/>
      <c r="D221" s="23"/>
      <c r="E221" s="23"/>
      <c r="F221" s="23"/>
      <c r="G221" s="23"/>
      <c r="H221" s="23"/>
      <c r="I221" s="23"/>
      <c r="J221" s="23"/>
      <c r="K221" t="str">
        <f>"CONSTRAINT pk_"&amp;K3&amp;" PRIMARY KEY (id));"</f>
        <v>CONSTRAINT pk_summit_approval_proposal_mobile PRIMARY KEY (id));</v>
      </c>
      <c r="R221" s="33" t="s">
        <v>5913</v>
      </c>
    </row>
    <row r="222" spans="1:18">
      <c r="R222" s="29" t="s">
        <v>5914</v>
      </c>
    </row>
    <row r="223" spans="1:18">
      <c r="R223" s="29" t="s">
        <v>5915</v>
      </c>
    </row>
    <row r="224" spans="1:18">
      <c r="R224" s="29" t="s">
        <v>5916</v>
      </c>
    </row>
    <row r="225" spans="18:18">
      <c r="R225" s="29" t="s">
        <v>5917</v>
      </c>
    </row>
    <row r="226" spans="18:18">
      <c r="R226" s="29" t="s">
        <v>5918</v>
      </c>
    </row>
    <row r="227" spans="18:18">
      <c r="R227" s="29" t="s">
        <v>5919</v>
      </c>
    </row>
    <row r="228" spans="18:18">
      <c r="R228" s="29" t="s">
        <v>5920</v>
      </c>
    </row>
    <row r="229" spans="18:18">
      <c r="R229" s="29" t="s">
        <v>5921</v>
      </c>
    </row>
    <row r="230" spans="18:18">
      <c r="R230" s="29" t="s">
        <v>5922</v>
      </c>
    </row>
    <row r="231" spans="18:18">
      <c r="R231" s="29" t="s">
        <v>5923</v>
      </c>
    </row>
    <row r="232" spans="18:18">
      <c r="R232" s="29" t="s">
        <v>5924</v>
      </c>
    </row>
    <row r="233" spans="18:18">
      <c r="R233" s="29" t="s">
        <v>5925</v>
      </c>
    </row>
    <row r="234" spans="18:18">
      <c r="R234" s="29" t="s">
        <v>5926</v>
      </c>
    </row>
    <row r="235" spans="18:18">
      <c r="R235" s="29" t="s">
        <v>5927</v>
      </c>
    </row>
    <row r="236" spans="18:18">
      <c r="R236" s="29" t="s">
        <v>5928</v>
      </c>
    </row>
    <row r="237" spans="18:18">
      <c r="R237" s="29" t="s">
        <v>5929</v>
      </c>
    </row>
    <row r="238" spans="18:18">
      <c r="R238" s="29" t="s">
        <v>5930</v>
      </c>
    </row>
    <row r="239" spans="18:18">
      <c r="R239" s="29" t="s">
        <v>5931</v>
      </c>
    </row>
    <row r="240" spans="18:18">
      <c r="R240" s="29" t="s">
        <v>5932</v>
      </c>
    </row>
    <row r="241" spans="18:18">
      <c r="R241" s="29" t="s">
        <v>5933</v>
      </c>
    </row>
    <row r="242" spans="18:18">
      <c r="R242" s="29" t="s">
        <v>5934</v>
      </c>
    </row>
    <row r="243" spans="18:18">
      <c r="R243" s="29" t="s">
        <v>5935</v>
      </c>
    </row>
    <row r="244" spans="18:18">
      <c r="R244" s="29" t="s">
        <v>5936</v>
      </c>
    </row>
    <row r="245" spans="18:18">
      <c r="R245" s="29" t="s">
        <v>5937</v>
      </c>
    </row>
    <row r="246" spans="18:18">
      <c r="R246" s="29" t="s">
        <v>5938</v>
      </c>
    </row>
    <row r="247" spans="18:18">
      <c r="R247" s="29" t="s">
        <v>5939</v>
      </c>
    </row>
    <row r="248" spans="18:18">
      <c r="R248" s="29" t="s">
        <v>5940</v>
      </c>
    </row>
    <row r="249" spans="18:18">
      <c r="R249" s="29" t="s">
        <v>5941</v>
      </c>
    </row>
    <row r="250" spans="18:18">
      <c r="R250" s="29" t="s">
        <v>5942</v>
      </c>
    </row>
    <row r="251" spans="18:18">
      <c r="R251" s="29" t="s">
        <v>5943</v>
      </c>
    </row>
    <row r="252" spans="18:18">
      <c r="R252" s="29" t="s">
        <v>5944</v>
      </c>
    </row>
    <row r="253" spans="18:18">
      <c r="R253" s="29" t="s">
        <v>5945</v>
      </c>
    </row>
    <row r="254" spans="18:18">
      <c r="R254" s="29" t="s">
        <v>5946</v>
      </c>
    </row>
    <row r="255" spans="18:18">
      <c r="R255" s="29" t="s">
        <v>5947</v>
      </c>
    </row>
    <row r="256" spans="18:18">
      <c r="R256" s="29" t="s">
        <v>5948</v>
      </c>
    </row>
    <row r="257" spans="18:18">
      <c r="R257" s="29" t="s">
        <v>5949</v>
      </c>
    </row>
    <row r="258" spans="18:18">
      <c r="R258" s="29" t="s">
        <v>5950</v>
      </c>
    </row>
    <row r="259" spans="18:18">
      <c r="R259" s="29" t="s">
        <v>5951</v>
      </c>
    </row>
    <row r="260" spans="18:18">
      <c r="R260" s="29" t="s">
        <v>5952</v>
      </c>
    </row>
    <row r="261" spans="18:18">
      <c r="R261" s="29" t="s">
        <v>5953</v>
      </c>
    </row>
    <row r="262" spans="18:18">
      <c r="R262" s="29" t="s">
        <v>5954</v>
      </c>
    </row>
    <row r="263" spans="18:18">
      <c r="R263" s="29" t="s">
        <v>5955</v>
      </c>
    </row>
    <row r="264" spans="18:18">
      <c r="R264" s="29" t="s">
        <v>5956</v>
      </c>
    </row>
    <row r="265" spans="18:18">
      <c r="R265" s="29" t="s">
        <v>5957</v>
      </c>
    </row>
    <row r="266" spans="18:18">
      <c r="R266" s="29" t="s">
        <v>5958</v>
      </c>
    </row>
    <row r="267" spans="18:18">
      <c r="R267" s="29" t="s">
        <v>5959</v>
      </c>
    </row>
    <row r="268" spans="18:18">
      <c r="R268" s="29" t="s">
        <v>5960</v>
      </c>
    </row>
    <row r="269" spans="18:18">
      <c r="R269" s="29" t="s">
        <v>5961</v>
      </c>
    </row>
    <row r="270" spans="18:18">
      <c r="R270" s="29" t="s">
        <v>5962</v>
      </c>
    </row>
    <row r="271" spans="18:18">
      <c r="R271" s="29" t="s">
        <v>5963</v>
      </c>
    </row>
    <row r="272" spans="18:18">
      <c r="R272" s="29" t="s">
        <v>5964</v>
      </c>
    </row>
    <row r="273" spans="18:18">
      <c r="R273" s="29" t="s">
        <v>5965</v>
      </c>
    </row>
    <row r="274" spans="18:18">
      <c r="R274" s="29" t="s">
        <v>5966</v>
      </c>
    </row>
    <row r="275" spans="18:18">
      <c r="R275" s="29" t="s">
        <v>5967</v>
      </c>
    </row>
    <row r="276" spans="18:18">
      <c r="R276" s="29" t="s">
        <v>5968</v>
      </c>
    </row>
    <row r="277" spans="18:18">
      <c r="R277" s="29" t="s">
        <v>5969</v>
      </c>
    </row>
    <row r="278" spans="18:18">
      <c r="R278" s="29" t="s">
        <v>5970</v>
      </c>
    </row>
    <row r="279" spans="18:18">
      <c r="R279" s="29" t="s">
        <v>5971</v>
      </c>
    </row>
    <row r="280" spans="18:18">
      <c r="R280" s="29" t="s">
        <v>5972</v>
      </c>
    </row>
    <row r="281" spans="18:18">
      <c r="R281" s="29" t="s">
        <v>5973</v>
      </c>
    </row>
    <row r="282" spans="18:18">
      <c r="R282" s="29" t="s">
        <v>5974</v>
      </c>
    </row>
    <row r="283" spans="18:18">
      <c r="R283" s="29" t="s">
        <v>5975</v>
      </c>
    </row>
    <row r="284" spans="18:18">
      <c r="R284" s="29" t="s">
        <v>5976</v>
      </c>
    </row>
    <row r="285" spans="18:18">
      <c r="R285" s="29" t="s">
        <v>5977</v>
      </c>
    </row>
    <row r="286" spans="18:18">
      <c r="R286" s="29" t="s">
        <v>5978</v>
      </c>
    </row>
    <row r="287" spans="18:18">
      <c r="R287" s="29" t="s">
        <v>5979</v>
      </c>
    </row>
    <row r="288" spans="18:18">
      <c r="R288" s="29" t="s">
        <v>5980</v>
      </c>
    </row>
    <row r="289" spans="18:18">
      <c r="R289" s="29" t="s">
        <v>5981</v>
      </c>
    </row>
    <row r="290" spans="18:18">
      <c r="R290" s="29" t="s">
        <v>5982</v>
      </c>
    </row>
    <row r="291" spans="18:18">
      <c r="R291" s="29" t="s">
        <v>5983</v>
      </c>
    </row>
    <row r="292" spans="18:18">
      <c r="R292" s="29" t="s">
        <v>5984</v>
      </c>
    </row>
    <row r="293" spans="18:18">
      <c r="R293" s="29" t="s">
        <v>5985</v>
      </c>
    </row>
    <row r="294" spans="18:18">
      <c r="R294" s="29" t="s">
        <v>5986</v>
      </c>
    </row>
    <row r="295" spans="18:18">
      <c r="R295" s="29" t="s">
        <v>5987</v>
      </c>
    </row>
    <row r="296" spans="18:18">
      <c r="R296" s="29" t="s">
        <v>5988</v>
      </c>
    </row>
    <row r="297" spans="18:18">
      <c r="R297" s="29" t="s">
        <v>5989</v>
      </c>
    </row>
    <row r="298" spans="18:18">
      <c r="R298" s="29" t="s">
        <v>5990</v>
      </c>
    </row>
    <row r="299" spans="18:18">
      <c r="R299" s="29" t="s">
        <v>5991</v>
      </c>
    </row>
    <row r="300" spans="18:18">
      <c r="R300" s="29" t="s">
        <v>5992</v>
      </c>
    </row>
    <row r="301" spans="18:18">
      <c r="R301" s="29" t="s">
        <v>5993</v>
      </c>
    </row>
    <row r="302" spans="18:18">
      <c r="R302" s="29" t="s">
        <v>5994</v>
      </c>
    </row>
    <row r="303" spans="18:18">
      <c r="R303" s="29" t="s">
        <v>5995</v>
      </c>
    </row>
    <row r="304" spans="18:18">
      <c r="R304" s="29" t="s">
        <v>5996</v>
      </c>
    </row>
    <row r="305" spans="18:18">
      <c r="R305" s="29" t="s">
        <v>5997</v>
      </c>
    </row>
    <row r="306" spans="18:18">
      <c r="R306" s="29" t="s">
        <v>5998</v>
      </c>
    </row>
    <row r="307" spans="18:18">
      <c r="R307" s="29" t="s">
        <v>5999</v>
      </c>
    </row>
    <row r="308" spans="18:18">
      <c r="R308" s="29" t="s">
        <v>6000</v>
      </c>
    </row>
    <row r="309" spans="18:18">
      <c r="R309" s="29" t="s">
        <v>6001</v>
      </c>
    </row>
    <row r="310" spans="18:18">
      <c r="R310" s="29" t="s">
        <v>6002</v>
      </c>
    </row>
    <row r="311" spans="18:18">
      <c r="R311" s="29" t="s">
        <v>6003</v>
      </c>
    </row>
    <row r="312" spans="18:18">
      <c r="R312" s="29" t="s">
        <v>6004</v>
      </c>
    </row>
    <row r="313" spans="18:18">
      <c r="R313" s="29" t="s">
        <v>6005</v>
      </c>
    </row>
    <row r="314" spans="18:18">
      <c r="R314" s="29" t="s">
        <v>6006</v>
      </c>
    </row>
    <row r="315" spans="18:18">
      <c r="R315" s="29" t="s">
        <v>6007</v>
      </c>
    </row>
    <row r="316" spans="18:18">
      <c r="R316" s="29" t="s">
        <v>6008</v>
      </c>
    </row>
    <row r="317" spans="18:18">
      <c r="R317" s="29" t="s">
        <v>6009</v>
      </c>
    </row>
    <row r="318" spans="18:18">
      <c r="R318" s="29" t="s">
        <v>6010</v>
      </c>
    </row>
    <row r="319" spans="18:18">
      <c r="R319" s="29" t="s">
        <v>6011</v>
      </c>
    </row>
    <row r="320" spans="18:18">
      <c r="R320" s="29" t="s">
        <v>6012</v>
      </c>
    </row>
    <row r="321" spans="18:18">
      <c r="R321" s="29" t="s">
        <v>6013</v>
      </c>
    </row>
    <row r="322" spans="18:18">
      <c r="R322" s="29" t="s">
        <v>6014</v>
      </c>
    </row>
    <row r="323" spans="18:18">
      <c r="R323" s="29" t="s">
        <v>6015</v>
      </c>
    </row>
    <row r="324" spans="18:18">
      <c r="R324" s="29" t="s">
        <v>6016</v>
      </c>
    </row>
    <row r="325" spans="18:18">
      <c r="R325" s="29" t="s">
        <v>6017</v>
      </c>
    </row>
    <row r="326" spans="18:18">
      <c r="R326" s="29" t="s">
        <v>6018</v>
      </c>
    </row>
    <row r="327" spans="18:18">
      <c r="R327" s="29" t="s">
        <v>6019</v>
      </c>
    </row>
    <row r="328" spans="18:18">
      <c r="R328" s="29" t="s">
        <v>6020</v>
      </c>
    </row>
    <row r="329" spans="18:18">
      <c r="R329" s="29" t="s">
        <v>6021</v>
      </c>
    </row>
    <row r="330" spans="18:18">
      <c r="R330" s="29" t="s">
        <v>6022</v>
      </c>
    </row>
    <row r="331" spans="18:18">
      <c r="R331" s="29" t="s">
        <v>6023</v>
      </c>
    </row>
    <row r="332" spans="18:18">
      <c r="R332" s="29" t="s">
        <v>6024</v>
      </c>
    </row>
    <row r="333" spans="18:18">
      <c r="R333" s="29" t="s">
        <v>6025</v>
      </c>
    </row>
    <row r="334" spans="18:18">
      <c r="R334" s="29" t="s">
        <v>6026</v>
      </c>
    </row>
    <row r="335" spans="18:18">
      <c r="R335" s="29" t="s">
        <v>6027</v>
      </c>
    </row>
    <row r="336" spans="18:18">
      <c r="R336" s="29" t="s">
        <v>6028</v>
      </c>
    </row>
    <row r="337" spans="18:18">
      <c r="R337" s="29" t="s">
        <v>6029</v>
      </c>
    </row>
    <row r="338" spans="18:18">
      <c r="R338" s="29" t="s">
        <v>6030</v>
      </c>
    </row>
    <row r="339" spans="18:18">
      <c r="R339" s="29" t="s">
        <v>6031</v>
      </c>
    </row>
    <row r="340" spans="18:18">
      <c r="R340" s="29" t="s">
        <v>6032</v>
      </c>
    </row>
    <row r="341" spans="18:18">
      <c r="R341" s="29" t="s">
        <v>6033</v>
      </c>
    </row>
    <row r="342" spans="18:18">
      <c r="R342" s="29" t="s">
        <v>6034</v>
      </c>
    </row>
    <row r="343" spans="18:18">
      <c r="R343" s="29" t="s">
        <v>6035</v>
      </c>
    </row>
    <row r="344" spans="18:18">
      <c r="R344" s="29" t="s">
        <v>6036</v>
      </c>
    </row>
    <row r="345" spans="18:18">
      <c r="R345" s="29" t="s">
        <v>6037</v>
      </c>
    </row>
    <row r="346" spans="18:18">
      <c r="R346" s="29" t="s">
        <v>6038</v>
      </c>
    </row>
    <row r="347" spans="18:18">
      <c r="R347" s="29" t="s">
        <v>6039</v>
      </c>
    </row>
    <row r="348" spans="18:18">
      <c r="R348" s="29" t="s">
        <v>6040</v>
      </c>
    </row>
    <row r="349" spans="18:18">
      <c r="R349" s="29" t="s">
        <v>6041</v>
      </c>
    </row>
    <row r="350" spans="18:18">
      <c r="R350" s="29" t="s">
        <v>6042</v>
      </c>
    </row>
    <row r="351" spans="18:18">
      <c r="R351" s="29" t="s">
        <v>6043</v>
      </c>
    </row>
    <row r="352" spans="18:18">
      <c r="R352" s="29" t="s">
        <v>6044</v>
      </c>
    </row>
    <row r="353" spans="18:18">
      <c r="R353" s="29" t="s">
        <v>6045</v>
      </c>
    </row>
    <row r="354" spans="18:18">
      <c r="R354" s="29" t="s">
        <v>6046</v>
      </c>
    </row>
    <row r="355" spans="18:18">
      <c r="R355" s="29" t="s">
        <v>6047</v>
      </c>
    </row>
    <row r="356" spans="18:18">
      <c r="R356" s="29" t="s">
        <v>6048</v>
      </c>
    </row>
    <row r="357" spans="18:18">
      <c r="R357" s="29" t="s">
        <v>6049</v>
      </c>
    </row>
    <row r="358" spans="18:18">
      <c r="R358" s="29" t="s">
        <v>6050</v>
      </c>
    </row>
    <row r="359" spans="18:18">
      <c r="R359" s="29" t="s">
        <v>6051</v>
      </c>
    </row>
    <row r="360" spans="18:18">
      <c r="R360" s="29" t="s">
        <v>6052</v>
      </c>
    </row>
    <row r="361" spans="18:18">
      <c r="R361" s="29" t="s">
        <v>6053</v>
      </c>
    </row>
    <row r="362" spans="18:18">
      <c r="R362" s="29" t="s">
        <v>6054</v>
      </c>
    </row>
    <row r="363" spans="18:18">
      <c r="R363" s="29" t="s">
        <v>6055</v>
      </c>
    </row>
    <row r="364" spans="18:18">
      <c r="R364" s="29" t="s">
        <v>6056</v>
      </c>
    </row>
    <row r="365" spans="18:18">
      <c r="R365" s="29" t="s">
        <v>6057</v>
      </c>
    </row>
    <row r="366" spans="18:18">
      <c r="R366" s="29" t="s">
        <v>6058</v>
      </c>
    </row>
    <row r="367" spans="18:18">
      <c r="R367" s="29" t="s">
        <v>6059</v>
      </c>
    </row>
    <row r="368" spans="18:18">
      <c r="R368" s="29" t="s">
        <v>6060</v>
      </c>
    </row>
    <row r="369" spans="18:18">
      <c r="R369" s="29" t="s">
        <v>6061</v>
      </c>
    </row>
    <row r="370" spans="18:18">
      <c r="R370" s="29" t="s">
        <v>6062</v>
      </c>
    </row>
    <row r="371" spans="18:18">
      <c r="R371" s="29" t="s">
        <v>6063</v>
      </c>
    </row>
    <row r="372" spans="18:18">
      <c r="R372" s="29" t="s">
        <v>6064</v>
      </c>
    </row>
    <row r="373" spans="18:18">
      <c r="R373" s="29" t="s">
        <v>6065</v>
      </c>
    </row>
    <row r="374" spans="18:18">
      <c r="R374" s="29" t="s">
        <v>6066</v>
      </c>
    </row>
    <row r="375" spans="18:18">
      <c r="R375" s="29" t="s">
        <v>6067</v>
      </c>
    </row>
    <row r="376" spans="18:18">
      <c r="R376" s="29" t="s">
        <v>6068</v>
      </c>
    </row>
    <row r="377" spans="18:18">
      <c r="R377" s="29" t="s">
        <v>6069</v>
      </c>
    </row>
    <row r="378" spans="18:18">
      <c r="R378" s="29" t="s">
        <v>6070</v>
      </c>
    </row>
    <row r="379" spans="18:18">
      <c r="R379" s="29" t="s">
        <v>6071</v>
      </c>
    </row>
    <row r="380" spans="18:18">
      <c r="R380" s="29" t="s">
        <v>6072</v>
      </c>
    </row>
    <row r="381" spans="18:18">
      <c r="R381" s="29" t="s">
        <v>6073</v>
      </c>
    </row>
    <row r="382" spans="18:18">
      <c r="R382" s="29" t="s">
        <v>6074</v>
      </c>
    </row>
    <row r="383" spans="18:18">
      <c r="R383" s="29" t="s">
        <v>6075</v>
      </c>
    </row>
    <row r="384" spans="18:18">
      <c r="R384" s="29" t="s">
        <v>6076</v>
      </c>
    </row>
    <row r="385" spans="18:18">
      <c r="R385" s="29" t="s">
        <v>6077</v>
      </c>
    </row>
    <row r="386" spans="18:18">
      <c r="R386" s="29" t="s">
        <v>6078</v>
      </c>
    </row>
    <row r="387" spans="18:18">
      <c r="R387" s="29" t="s">
        <v>6079</v>
      </c>
    </row>
    <row r="388" spans="18:18">
      <c r="R388" s="29" t="s">
        <v>6080</v>
      </c>
    </row>
    <row r="389" spans="18:18">
      <c r="R389" s="29" t="s">
        <v>6081</v>
      </c>
    </row>
    <row r="390" spans="18:18">
      <c r="R390" s="29" t="s">
        <v>6082</v>
      </c>
    </row>
    <row r="391" spans="18:18">
      <c r="R391" s="29" t="s">
        <v>6083</v>
      </c>
    </row>
    <row r="392" spans="18:18">
      <c r="R392" s="29" t="s">
        <v>6084</v>
      </c>
    </row>
    <row r="393" spans="18:18">
      <c r="R393" s="29" t="s">
        <v>6085</v>
      </c>
    </row>
    <row r="394" spans="18:18">
      <c r="R394" s="29" t="s">
        <v>6086</v>
      </c>
    </row>
    <row r="395" spans="18:18">
      <c r="R395" s="29" t="s">
        <v>6087</v>
      </c>
    </row>
    <row r="396" spans="18:18">
      <c r="R396" s="29" t="s">
        <v>6088</v>
      </c>
    </row>
    <row r="397" spans="18:18">
      <c r="R397" s="29" t="s">
        <v>6089</v>
      </c>
    </row>
    <row r="398" spans="18:18">
      <c r="R398" s="29" t="s">
        <v>6090</v>
      </c>
    </row>
    <row r="399" spans="18:18">
      <c r="R399" s="29" t="s">
        <v>6091</v>
      </c>
    </row>
    <row r="400" spans="18:18">
      <c r="R400" s="29" t="s">
        <v>6092</v>
      </c>
    </row>
    <row r="401" spans="18:18">
      <c r="R401" s="29" t="s">
        <v>6093</v>
      </c>
    </row>
    <row r="402" spans="18:18">
      <c r="R402" s="29" t="s">
        <v>6094</v>
      </c>
    </row>
    <row r="403" spans="18:18">
      <c r="R403" s="29" t="s">
        <v>6095</v>
      </c>
    </row>
    <row r="404" spans="18:18">
      <c r="R404" s="29" t="s">
        <v>6096</v>
      </c>
    </row>
    <row r="405" spans="18:18">
      <c r="R405" s="29" t="s">
        <v>6097</v>
      </c>
    </row>
    <row r="406" spans="18:18">
      <c r="R406" s="29" t="s">
        <v>6098</v>
      </c>
    </row>
    <row r="407" spans="18:18">
      <c r="R407" s="29" t="s">
        <v>6099</v>
      </c>
    </row>
    <row r="408" spans="18:18">
      <c r="R408" s="29" t="s">
        <v>6100</v>
      </c>
    </row>
    <row r="409" spans="18:18">
      <c r="R409" s="29" t="s">
        <v>6101</v>
      </c>
    </row>
    <row r="410" spans="18:18">
      <c r="R410" s="29" t="s">
        <v>6102</v>
      </c>
    </row>
    <row r="411" spans="18:18">
      <c r="R411" s="29" t="s">
        <v>6103</v>
      </c>
    </row>
    <row r="412" spans="18:18">
      <c r="R412" s="29" t="s">
        <v>6104</v>
      </c>
    </row>
    <row r="413" spans="18:18">
      <c r="R413" s="29" t="s">
        <v>6105</v>
      </c>
    </row>
    <row r="414" spans="18:18">
      <c r="R414" s="29" t="s">
        <v>6106</v>
      </c>
    </row>
    <row r="415" spans="18:18">
      <c r="R415" s="29" t="s">
        <v>6107</v>
      </c>
    </row>
    <row r="416" spans="18:18">
      <c r="R416" s="29" t="s">
        <v>6108</v>
      </c>
    </row>
    <row r="417" spans="18:18">
      <c r="R417" s="29" t="s">
        <v>6109</v>
      </c>
    </row>
    <row r="418" spans="18:18">
      <c r="R418" s="29" t="s">
        <v>6110</v>
      </c>
    </row>
    <row r="419" spans="18:18">
      <c r="R419" s="29" t="s">
        <v>6111</v>
      </c>
    </row>
    <row r="420" spans="18:18">
      <c r="R420" s="29" t="s">
        <v>6112</v>
      </c>
    </row>
    <row r="421" spans="18:18">
      <c r="R421" s="29" t="s">
        <v>6113</v>
      </c>
    </row>
    <row r="422" spans="18:18">
      <c r="R422" s="29" t="s">
        <v>6114</v>
      </c>
    </row>
    <row r="423" spans="18:18">
      <c r="R423" s="29" t="s">
        <v>6115</v>
      </c>
    </row>
    <row r="424" spans="18:18">
      <c r="R424" s="29" t="s">
        <v>6116</v>
      </c>
    </row>
    <row r="425" spans="18:18">
      <c r="R425" s="29" t="s">
        <v>6117</v>
      </c>
    </row>
    <row r="426" spans="18:18">
      <c r="R426" s="29" t="s">
        <v>6118</v>
      </c>
    </row>
    <row r="427" spans="18:18">
      <c r="R427" s="29" t="s">
        <v>6119</v>
      </c>
    </row>
    <row r="428" spans="18:18">
      <c r="R428" s="29" t="s">
        <v>6120</v>
      </c>
    </row>
    <row r="429" spans="18:18">
      <c r="R429" s="29" t="s">
        <v>6121</v>
      </c>
    </row>
    <row r="430" spans="18:18">
      <c r="R430" s="29" t="s">
        <v>6122</v>
      </c>
    </row>
    <row r="431" spans="18:18">
      <c r="R431" s="29" t="s">
        <v>6123</v>
      </c>
    </row>
    <row r="432" spans="18:18">
      <c r="R432" s="29" t="s">
        <v>6124</v>
      </c>
    </row>
    <row r="433" spans="18:18">
      <c r="R433" s="29" t="s">
        <v>6125</v>
      </c>
    </row>
    <row r="434" spans="18:18">
      <c r="R434" s="29" t="s">
        <v>6126</v>
      </c>
    </row>
    <row r="435" spans="18:18">
      <c r="R435" s="33"/>
    </row>
    <row r="436" spans="18:18">
      <c r="R436" s="33"/>
    </row>
    <row r="437" spans="18:18">
      <c r="R437" s="33"/>
    </row>
    <row r="438" spans="18:18">
      <c r="R438" s="33"/>
    </row>
    <row r="439" spans="18:18">
      <c r="R439" s="33"/>
    </row>
    <row r="440" spans="18:18">
      <c r="R440" s="33"/>
    </row>
    <row r="441" spans="18:18">
      <c r="R441" s="33"/>
    </row>
    <row r="442" spans="18:18">
      <c r="R442" s="33"/>
    </row>
    <row r="443" spans="18:18">
      <c r="R443" s="33"/>
    </row>
    <row r="444" spans="18:18">
      <c r="R444" s="33"/>
    </row>
    <row r="445" spans="18:18">
      <c r="R445" s="33"/>
    </row>
    <row r="446" spans="18:18">
      <c r="R446" s="33"/>
    </row>
    <row r="447" spans="18:18">
      <c r="R447" s="33"/>
    </row>
    <row r="448" spans="18:18">
      <c r="R448" s="33"/>
    </row>
    <row r="449" spans="18:18">
      <c r="R449" s="33"/>
    </row>
    <row r="450" spans="18:18">
      <c r="R450" s="33"/>
    </row>
    <row r="451" spans="18:18">
      <c r="R451" s="33"/>
    </row>
    <row r="452" spans="18:18">
      <c r="R452" s="33"/>
    </row>
    <row r="453" spans="18:18">
      <c r="R453" s="33"/>
    </row>
    <row r="454" spans="18:18">
      <c r="R454" s="33"/>
    </row>
    <row r="455" spans="18:18">
      <c r="R455" s="33"/>
    </row>
    <row r="456" spans="18:18">
      <c r="R456" s="33"/>
    </row>
    <row r="457" spans="18:18">
      <c r="R457" s="33"/>
    </row>
    <row r="458" spans="18:18">
      <c r="R458" s="33"/>
    </row>
    <row r="459" spans="18:18">
      <c r="R459" s="33"/>
    </row>
    <row r="460" spans="18:18">
      <c r="R460" s="33"/>
    </row>
    <row r="461" spans="18:18">
      <c r="R461" s="33"/>
    </row>
    <row r="462" spans="18:18">
      <c r="R462" s="33"/>
    </row>
    <row r="463" spans="18:18">
      <c r="R463" s="33"/>
    </row>
    <row r="464" spans="18:18">
      <c r="R464" s="33"/>
    </row>
    <row r="465" spans="18:18">
      <c r="R465" s="33"/>
    </row>
    <row r="466" spans="18:18">
      <c r="R466" s="33"/>
    </row>
    <row r="467" spans="18:18">
      <c r="R467" s="33"/>
    </row>
    <row r="468" spans="18:18">
      <c r="R468" s="33"/>
    </row>
    <row r="469" spans="18:18">
      <c r="R469" s="33"/>
    </row>
    <row r="470" spans="18:18">
      <c r="R470" s="33"/>
    </row>
    <row r="471" spans="18:18">
      <c r="R471" s="33"/>
    </row>
    <row r="472" spans="18:18">
      <c r="R472" s="33"/>
    </row>
    <row r="473" spans="18:18">
      <c r="R473" s="33"/>
    </row>
    <row r="474" spans="18:18">
      <c r="R474" s="33"/>
    </row>
    <row r="475" spans="18:18">
      <c r="R475" s="33"/>
    </row>
    <row r="476" spans="18:18">
      <c r="R476" s="33"/>
    </row>
    <row r="477" spans="18:18">
      <c r="R477" s="33"/>
    </row>
    <row r="478" spans="18:18">
      <c r="R478" s="33"/>
    </row>
    <row r="479" spans="18:18">
      <c r="R479" s="33"/>
    </row>
    <row r="480" spans="18:18">
      <c r="R480" s="33"/>
    </row>
    <row r="481" spans="18:18">
      <c r="R481" s="33"/>
    </row>
    <row r="482" spans="18:18">
      <c r="R482" s="33"/>
    </row>
    <row r="483" spans="18:18">
      <c r="R483" s="33"/>
    </row>
    <row r="484" spans="18:18">
      <c r="R484" s="33"/>
    </row>
    <row r="485" spans="18:18">
      <c r="R485" s="33"/>
    </row>
    <row r="486" spans="18:18">
      <c r="R486" s="33"/>
    </row>
    <row r="487" spans="18:18">
      <c r="R487" s="33"/>
    </row>
    <row r="488" spans="18:18">
      <c r="R488" s="33"/>
    </row>
    <row r="489" spans="18:18">
      <c r="R489" s="33"/>
    </row>
    <row r="490" spans="18:18">
      <c r="R490" s="33"/>
    </row>
    <row r="491" spans="18:18">
      <c r="R491" s="33"/>
    </row>
    <row r="492" spans="18:18">
      <c r="R492" s="33"/>
    </row>
    <row r="493" spans="18:18">
      <c r="R493" s="33"/>
    </row>
    <row r="494" spans="18:18">
      <c r="R494" s="33"/>
    </row>
    <row r="495" spans="18:18">
      <c r="R495" s="33"/>
    </row>
    <row r="496" spans="18:18">
      <c r="R496" s="33"/>
    </row>
    <row r="497" spans="18:18">
      <c r="R497" s="33"/>
    </row>
    <row r="498" spans="18:18">
      <c r="R498" s="33"/>
    </row>
    <row r="499" spans="18:18">
      <c r="R499" s="33"/>
    </row>
    <row r="500" spans="18:18">
      <c r="R500" s="33"/>
    </row>
    <row r="501" spans="18:18">
      <c r="R501" s="33"/>
    </row>
    <row r="502" spans="18:18">
      <c r="R502" s="33"/>
    </row>
    <row r="503" spans="18:18">
      <c r="R503" s="33"/>
    </row>
    <row r="504" spans="18:18">
      <c r="R504" s="33"/>
    </row>
    <row r="505" spans="18:18">
      <c r="R505" s="33"/>
    </row>
    <row r="506" spans="18:18">
      <c r="R506" s="33"/>
    </row>
    <row r="507" spans="18:18">
      <c r="R507" s="33"/>
    </row>
    <row r="508" spans="18:18">
      <c r="R508" s="33"/>
    </row>
    <row r="509" spans="18:18">
      <c r="R509" s="33"/>
    </row>
    <row r="510" spans="18:18">
      <c r="R510" s="33"/>
    </row>
    <row r="511" spans="18:18">
      <c r="R511" s="33"/>
    </row>
    <row r="512" spans="18:18">
      <c r="R512" s="33"/>
    </row>
    <row r="513" spans="18:18">
      <c r="R513" s="33"/>
    </row>
    <row r="514" spans="18:18">
      <c r="R514" s="33"/>
    </row>
    <row r="515" spans="18:18">
      <c r="R515" s="33"/>
    </row>
    <row r="516" spans="18:18">
      <c r="R516" s="33"/>
    </row>
    <row r="517" spans="18:18">
      <c r="R517" s="33"/>
    </row>
    <row r="518" spans="18:18">
      <c r="R518" s="33"/>
    </row>
    <row r="519" spans="18:18">
      <c r="R519" s="33"/>
    </row>
    <row r="520" spans="18:18">
      <c r="R520" s="33"/>
    </row>
    <row r="521" spans="18:18">
      <c r="R521" s="33"/>
    </row>
    <row r="522" spans="18:18">
      <c r="R522" s="33"/>
    </row>
    <row r="523" spans="18:18">
      <c r="R523" s="33"/>
    </row>
    <row r="524" spans="18:18">
      <c r="R524" s="33"/>
    </row>
    <row r="525" spans="18:18">
      <c r="R525" s="33"/>
    </row>
    <row r="526" spans="18:18">
      <c r="R526" s="33"/>
    </row>
    <row r="527" spans="18:18">
      <c r="R527" s="33"/>
    </row>
    <row r="528" spans="18:18">
      <c r="R528" s="33"/>
    </row>
    <row r="529" spans="18:18">
      <c r="R529" s="33"/>
    </row>
    <row r="530" spans="18:18">
      <c r="R530" s="33"/>
    </row>
    <row r="531" spans="18:18">
      <c r="R531" s="33"/>
    </row>
    <row r="532" spans="18:18">
      <c r="R532" s="33"/>
    </row>
    <row r="533" spans="18:18">
      <c r="R533" s="33"/>
    </row>
    <row r="534" spans="18:18">
      <c r="R534" s="33"/>
    </row>
    <row r="535" spans="18:18">
      <c r="R535" s="33"/>
    </row>
    <row r="536" spans="18:18">
      <c r="R536" s="33"/>
    </row>
    <row r="537" spans="18:18">
      <c r="R537" s="33"/>
    </row>
    <row r="538" spans="18:18">
      <c r="R538" s="33"/>
    </row>
    <row r="539" spans="18:18">
      <c r="R539" s="33"/>
    </row>
    <row r="540" spans="18:18">
      <c r="R540" s="33"/>
    </row>
    <row r="541" spans="18:18">
      <c r="R541" s="33"/>
    </row>
    <row r="542" spans="18:18">
      <c r="R542" s="33"/>
    </row>
    <row r="543" spans="18:18">
      <c r="R543" s="33"/>
    </row>
    <row r="544" spans="18:18">
      <c r="R544" s="33"/>
    </row>
    <row r="545" spans="18:18">
      <c r="R545" s="33"/>
    </row>
    <row r="546" spans="18:18">
      <c r="R546" s="33"/>
    </row>
    <row r="547" spans="18:18">
      <c r="R547" s="33"/>
    </row>
    <row r="548" spans="18:18">
      <c r="R548" s="33"/>
    </row>
    <row r="549" spans="18:18">
      <c r="R549" s="33"/>
    </row>
    <row r="550" spans="18:18">
      <c r="R550" s="33"/>
    </row>
    <row r="551" spans="18:18">
      <c r="R551" s="33"/>
    </row>
    <row r="552" spans="18:18">
      <c r="R552" s="33"/>
    </row>
    <row r="553" spans="18:18">
      <c r="R553" s="33"/>
    </row>
    <row r="554" spans="18:18">
      <c r="R554" s="33"/>
    </row>
    <row r="555" spans="18:18">
      <c r="R555" s="33"/>
    </row>
    <row r="556" spans="18:18">
      <c r="R556" s="33"/>
    </row>
    <row r="557" spans="18:18">
      <c r="R557" s="33"/>
    </row>
    <row r="558" spans="18:18">
      <c r="R558" s="33"/>
    </row>
    <row r="559" spans="18:18">
      <c r="R559" s="33"/>
    </row>
    <row r="560" spans="18:18">
      <c r="R560" s="33"/>
    </row>
    <row r="561" spans="18:18">
      <c r="R561" s="33"/>
    </row>
    <row r="562" spans="18:18">
      <c r="R562" s="33"/>
    </row>
    <row r="563" spans="18:18">
      <c r="R563" s="33"/>
    </row>
    <row r="564" spans="18:18">
      <c r="R564" s="33"/>
    </row>
    <row r="565" spans="18:18">
      <c r="R565" s="33"/>
    </row>
    <row r="566" spans="18:18">
      <c r="R566" s="33"/>
    </row>
    <row r="567" spans="18:18">
      <c r="R567" s="33"/>
    </row>
    <row r="568" spans="18:18">
      <c r="R568" s="33"/>
    </row>
    <row r="569" spans="18:18">
      <c r="R569" s="33"/>
    </row>
    <row r="570" spans="18:18">
      <c r="R570" s="33"/>
    </row>
    <row r="571" spans="18:18">
      <c r="R571" s="33"/>
    </row>
    <row r="572" spans="18:18">
      <c r="R572" s="33"/>
    </row>
    <row r="573" spans="18:18">
      <c r="R573" s="33"/>
    </row>
    <row r="574" spans="18:18">
      <c r="R574" s="33"/>
    </row>
    <row r="575" spans="18:18">
      <c r="R575" s="33"/>
    </row>
    <row r="576" spans="18:18">
      <c r="R576" s="33"/>
    </row>
    <row r="577" spans="18:18">
      <c r="R577" s="33"/>
    </row>
    <row r="578" spans="18:18">
      <c r="R578" s="33"/>
    </row>
    <row r="579" spans="18:18">
      <c r="R579" s="33"/>
    </row>
    <row r="580" spans="18:18">
      <c r="R580" s="33"/>
    </row>
    <row r="581" spans="18:18">
      <c r="R581" s="33"/>
    </row>
    <row r="582" spans="18:18">
      <c r="R582" s="33"/>
    </row>
    <row r="583" spans="18:18">
      <c r="R583" s="33"/>
    </row>
    <row r="584" spans="18:18">
      <c r="R584" s="33"/>
    </row>
    <row r="585" spans="18:18">
      <c r="R585" s="33"/>
    </row>
    <row r="586" spans="18:18">
      <c r="R586" s="33"/>
    </row>
    <row r="587" spans="18:18">
      <c r="R587" s="33"/>
    </row>
    <row r="588" spans="18:18">
      <c r="R588" s="33"/>
    </row>
    <row r="589" spans="18:18">
      <c r="R589" s="33"/>
    </row>
    <row r="590" spans="18:18">
      <c r="R590" s="33"/>
    </row>
    <row r="591" spans="18:18">
      <c r="R591" s="33"/>
    </row>
    <row r="592" spans="18:18">
      <c r="R592" s="33"/>
    </row>
    <row r="593" spans="18:18">
      <c r="R593" s="33"/>
    </row>
    <row r="594" spans="18:18">
      <c r="R594" s="33"/>
    </row>
    <row r="595" spans="18:18">
      <c r="R595" s="33"/>
    </row>
    <row r="596" spans="18:18">
      <c r="R596" s="33"/>
    </row>
    <row r="597" spans="18:18">
      <c r="R597" s="33"/>
    </row>
    <row r="598" spans="18:18">
      <c r="R598" s="33"/>
    </row>
    <row r="599" spans="18:18">
      <c r="R599" s="33"/>
    </row>
    <row r="600" spans="18:18">
      <c r="R600" s="33"/>
    </row>
    <row r="601" spans="18:18">
      <c r="R601" s="33"/>
    </row>
    <row r="602" spans="18:18">
      <c r="R602" s="33"/>
    </row>
    <row r="603" spans="18:18">
      <c r="R603" s="33"/>
    </row>
    <row r="604" spans="18:18">
      <c r="R604" s="33"/>
    </row>
    <row r="605" spans="18:18">
      <c r="R605" s="33"/>
    </row>
    <row r="606" spans="18:18">
      <c r="R606" s="33"/>
    </row>
    <row r="607" spans="18:18">
      <c r="R607" s="33"/>
    </row>
    <row r="608" spans="18:18">
      <c r="R608" s="33"/>
    </row>
    <row r="609" spans="18:18">
      <c r="R609" s="33"/>
    </row>
    <row r="610" spans="18:18">
      <c r="R610" s="33"/>
    </row>
    <row r="611" spans="18:18">
      <c r="R611" s="33"/>
    </row>
    <row r="612" spans="18:18">
      <c r="R612" s="33"/>
    </row>
    <row r="613" spans="18:18">
      <c r="R613" s="33"/>
    </row>
    <row r="614" spans="18:18">
      <c r="R614" s="33"/>
    </row>
    <row r="615" spans="18:18">
      <c r="R615" s="33"/>
    </row>
    <row r="616" spans="18:18">
      <c r="R616" s="33"/>
    </row>
    <row r="617" spans="18:18">
      <c r="R617" s="33"/>
    </row>
    <row r="618" spans="18:18">
      <c r="R618" s="33"/>
    </row>
    <row r="619" spans="18:18">
      <c r="R619" s="33"/>
    </row>
    <row r="620" spans="18:18">
      <c r="R620" s="33"/>
    </row>
    <row r="621" spans="18:18">
      <c r="R621" s="33"/>
    </row>
    <row r="622" spans="18:18">
      <c r="R622" s="33"/>
    </row>
    <row r="623" spans="18:18">
      <c r="R623" s="33"/>
    </row>
    <row r="624" spans="18:18">
      <c r="R624" s="33"/>
    </row>
    <row r="625" spans="18:18">
      <c r="R625" s="33"/>
    </row>
    <row r="626" spans="18:18">
      <c r="R626" s="33"/>
    </row>
    <row r="627" spans="18:18">
      <c r="R627" s="33"/>
    </row>
    <row r="628" spans="18:18">
      <c r="R628" s="33"/>
    </row>
    <row r="629" spans="18:18">
      <c r="R629" s="33"/>
    </row>
    <row r="630" spans="18:18">
      <c r="R630" s="33"/>
    </row>
    <row r="631" spans="18:18">
      <c r="R631" s="33"/>
    </row>
    <row r="632" spans="18:18">
      <c r="R632" s="33"/>
    </row>
    <row r="633" spans="18:18">
      <c r="R633" s="33"/>
    </row>
    <row r="634" spans="18:18">
      <c r="R634" s="33"/>
    </row>
    <row r="635" spans="18:18">
      <c r="R635" s="33"/>
    </row>
    <row r="636" spans="18:18">
      <c r="R636" s="33"/>
    </row>
    <row r="637" spans="18:18">
      <c r="R637" s="33"/>
    </row>
    <row r="638" spans="18:18">
      <c r="R638" s="33"/>
    </row>
    <row r="639" spans="18:18">
      <c r="R639" s="33"/>
    </row>
    <row r="640" spans="18:18">
      <c r="R640" s="33"/>
    </row>
    <row r="641" spans="18:18">
      <c r="R641" s="33"/>
    </row>
    <row r="642" spans="18:18">
      <c r="R642" s="33"/>
    </row>
    <row r="643" spans="18:18">
      <c r="R643" s="33"/>
    </row>
    <row r="644" spans="18:18">
      <c r="R644" s="33"/>
    </row>
    <row r="645" spans="18:18">
      <c r="R645" s="33"/>
    </row>
    <row r="646" spans="18:18">
      <c r="R646" s="33"/>
    </row>
    <row r="647" spans="18:18">
      <c r="R647" s="33"/>
    </row>
  </sheetData>
  <phoneticPr fontId="2"/>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DE5F5-3373-40A7-BE8B-10D03079A2AA}">
  <sheetPr>
    <tabColor theme="9"/>
  </sheetPr>
  <dimension ref="A1:R65"/>
  <sheetViews>
    <sheetView topLeftCell="A9" zoomScale="70" zoomScaleNormal="70" workbookViewId="0">
      <selection activeCell="K19" sqref="K19"/>
    </sheetView>
  </sheetViews>
  <sheetFormatPr defaultRowHeight="18.75"/>
  <cols>
    <col min="1" max="1" width="2.75" bestFit="1" customWidth="1"/>
    <col min="2" max="2" width="3.5" bestFit="1" customWidth="1"/>
    <col min="3" max="3" width="10.25" bestFit="1" customWidth="1"/>
    <col min="4" max="4" width="6.5" bestFit="1" customWidth="1"/>
    <col min="5" max="5" width="3.875" bestFit="1" customWidth="1"/>
    <col min="6" max="6" width="4.5" bestFit="1" customWidth="1"/>
    <col min="7" max="7" width="12.75" bestFit="1" customWidth="1"/>
    <col min="8" max="8" width="13.875" bestFit="1" customWidth="1"/>
    <col min="9" max="9" width="3.5" bestFit="1" customWidth="1"/>
    <col min="10" max="10" width="4.5" bestFit="1" customWidth="1"/>
    <col min="11" max="11" width="27.125" customWidth="1"/>
    <col min="14" max="14" width="27.25" customWidth="1"/>
  </cols>
  <sheetData>
    <row r="1" spans="1:18" ht="19.5" thickBot="1"/>
    <row r="2" spans="1:18" ht="39.75" thickBot="1">
      <c r="F2" s="9" t="s">
        <v>41</v>
      </c>
      <c r="G2" s="9" t="s">
        <v>42</v>
      </c>
      <c r="H2" s="9" t="s">
        <v>43</v>
      </c>
      <c r="I2" s="9" t="s">
        <v>44</v>
      </c>
      <c r="J2" s="9" t="s">
        <v>45</v>
      </c>
    </row>
    <row r="3" spans="1:18" ht="20.25" thickBot="1">
      <c r="F3" s="10" t="s">
        <v>46</v>
      </c>
      <c r="G3" s="11" t="s">
        <v>6127</v>
      </c>
      <c r="H3" s="11"/>
      <c r="I3" s="11" t="s">
        <v>6128</v>
      </c>
      <c r="J3" s="11" t="s">
        <v>49</v>
      </c>
      <c r="K3" t="s">
        <v>6129</v>
      </c>
    </row>
    <row r="4" spans="1:18">
      <c r="F4" s="62" t="s">
        <v>51</v>
      </c>
      <c r="G4" s="63"/>
      <c r="H4" s="63"/>
      <c r="I4" s="63"/>
      <c r="J4" s="64"/>
    </row>
    <row r="5" spans="1:18" ht="19.5" thickBot="1">
      <c r="F5" s="65" t="s">
        <v>5203</v>
      </c>
      <c r="G5" s="66"/>
      <c r="H5" s="66"/>
      <c r="I5" s="66"/>
      <c r="J5" s="67"/>
    </row>
    <row r="6" spans="1:18" ht="19.5" thickBot="1">
      <c r="K6" t="str">
        <f>"DROP TABLE IF EXISTS "&amp;K3&amp;" CASCADE;"</f>
        <v>DROP TABLE IF EXISTS summit_common_approval CASCADE;</v>
      </c>
      <c r="R6" s="33" t="s">
        <v>6130</v>
      </c>
    </row>
    <row r="7" spans="1:18" ht="19.5" thickBot="1">
      <c r="K7" t="str">
        <f>"CREATE TABLE IF NOT EXISTS "&amp;K3&amp;" ("</f>
        <v>CREATE TABLE IF NOT EXISTS summit_common_approval (</v>
      </c>
      <c r="N7" s="40" t="str">
        <f>"COMMENT ON TABLE "&amp;K3&amp;" IS '"&amp;G3&amp;"';"</f>
        <v>COMMENT ON TABLE summit_common_approval IS 'b_hjn_smt_問い合わせツール_決裁_共通決裁';</v>
      </c>
      <c r="R7" s="33" t="s">
        <v>6131</v>
      </c>
    </row>
    <row r="8" spans="1:18" ht="19.5" thickBot="1">
      <c r="A8" s="12" t="s">
        <v>54</v>
      </c>
      <c r="B8" s="12" t="s">
        <v>55</v>
      </c>
      <c r="C8" s="12" t="s">
        <v>56</v>
      </c>
      <c r="D8" s="12" t="s">
        <v>57</v>
      </c>
      <c r="E8" s="12" t="s">
        <v>58</v>
      </c>
      <c r="F8" s="12" t="s">
        <v>59</v>
      </c>
      <c r="G8" s="12" t="s">
        <v>60</v>
      </c>
      <c r="H8" s="12" t="s">
        <v>61</v>
      </c>
      <c r="I8" s="12" t="s">
        <v>62</v>
      </c>
      <c r="J8" s="12" t="s">
        <v>63</v>
      </c>
      <c r="K8" t="s">
        <v>64</v>
      </c>
      <c r="N8" s="38" t="str">
        <f>"COMMENT ON COLUMN "&amp;$K$3&amp;".id IS 'id';"</f>
        <v>COMMENT ON COLUMN summit_common_approval.id IS 'id';</v>
      </c>
      <c r="R8" s="34" t="s">
        <v>65</v>
      </c>
    </row>
    <row r="9" spans="1:18" ht="19.5" thickBot="1">
      <c r="A9" s="11"/>
      <c r="B9" s="11">
        <v>1</v>
      </c>
      <c r="C9" s="11" t="s">
        <v>3437</v>
      </c>
      <c r="D9" s="11" t="s">
        <v>66</v>
      </c>
      <c r="E9" s="11">
        <v>10</v>
      </c>
      <c r="F9" s="10" t="s">
        <v>67</v>
      </c>
      <c r="G9" s="11"/>
      <c r="H9" s="5"/>
      <c r="I9" s="11"/>
      <c r="J9" s="11"/>
      <c r="K9" s="25" t="s">
        <v>3439</v>
      </c>
      <c r="L9" t="str">
        <f>D9&amp;"("&amp;E9&amp;"),"</f>
        <v>VARCHAR(10),</v>
      </c>
      <c r="N9" s="38" t="str">
        <f>"COMMENT ON COLUMN "&amp;$K$3&amp;"."&amp;$K9&amp;" IS '"&amp;C9&amp;"';"</f>
        <v>COMMENT ON COLUMN summit_common_approval.approval_number IS '決裁番号';</v>
      </c>
      <c r="R9" s="34" t="s">
        <v>6132</v>
      </c>
    </row>
    <row r="10" spans="1:18" ht="19.5" thickBot="1">
      <c r="A10" s="13"/>
      <c r="B10" s="13">
        <v>2</v>
      </c>
      <c r="C10" s="13" t="s">
        <v>5207</v>
      </c>
      <c r="D10" s="13" t="s">
        <v>66</v>
      </c>
      <c r="E10" s="13">
        <v>255</v>
      </c>
      <c r="F10" s="14" t="s">
        <v>67</v>
      </c>
      <c r="G10" s="13"/>
      <c r="H10" s="8"/>
      <c r="I10" s="13"/>
      <c r="J10" s="13"/>
      <c r="K10" s="25" t="s">
        <v>5208</v>
      </c>
      <c r="L10" t="str">
        <f t="shared" ref="L10:L35" si="0">D10&amp;"("&amp;E10&amp;"),"</f>
        <v>VARCHAR(255),</v>
      </c>
      <c r="N10" s="38" t="str">
        <f t="shared" ref="N10:N35" si="1">"COMMENT ON COLUMN "&amp;$K$3&amp;"."&amp;$K10&amp;" IS '"&amp;C10&amp;"';"</f>
        <v>COMMENT ON COLUMN summit_common_approval.status_name IS 'ステータス名';</v>
      </c>
      <c r="R10" s="34" t="s">
        <v>5318</v>
      </c>
    </row>
    <row r="11" spans="1:18" ht="19.5" thickBot="1">
      <c r="A11" s="11"/>
      <c r="B11" s="11">
        <v>3</v>
      </c>
      <c r="C11" s="11" t="s">
        <v>5210</v>
      </c>
      <c r="D11" s="11" t="s">
        <v>66</v>
      </c>
      <c r="E11" s="11">
        <v>255</v>
      </c>
      <c r="F11" s="10" t="s">
        <v>67</v>
      </c>
      <c r="G11" s="11"/>
      <c r="H11" s="5"/>
      <c r="I11" s="11"/>
      <c r="J11" s="11"/>
      <c r="K11" s="25" t="s">
        <v>5211</v>
      </c>
      <c r="L11" t="str">
        <f t="shared" si="0"/>
        <v>VARCHAR(255),</v>
      </c>
      <c r="N11" s="38" t="str">
        <f t="shared" si="1"/>
        <v>COMMENT ON COLUMN summit_common_approval.node_name IS 'ノード名';</v>
      </c>
      <c r="R11" s="34" t="s">
        <v>5319</v>
      </c>
    </row>
    <row r="12" spans="1:18" ht="19.5" thickBot="1">
      <c r="A12" s="13"/>
      <c r="B12" s="13">
        <v>4</v>
      </c>
      <c r="C12" s="13" t="s">
        <v>5213</v>
      </c>
      <c r="D12" s="13" t="s">
        <v>66</v>
      </c>
      <c r="E12" s="13">
        <v>255</v>
      </c>
      <c r="F12" s="14" t="s">
        <v>67</v>
      </c>
      <c r="G12" s="13"/>
      <c r="H12" s="8"/>
      <c r="I12" s="13"/>
      <c r="J12" s="13"/>
      <c r="K12" s="25" t="s">
        <v>5214</v>
      </c>
      <c r="L12" t="str">
        <f t="shared" si="0"/>
        <v>VARCHAR(255),</v>
      </c>
      <c r="N12" s="38" t="str">
        <f t="shared" si="1"/>
        <v>COMMENT ON COLUMN summit_common_approval.date_and_time_of_proposal IS '起案日時';</v>
      </c>
      <c r="R12" s="34" t="s">
        <v>5320</v>
      </c>
    </row>
    <row r="13" spans="1:18" ht="19.5" thickBot="1">
      <c r="A13" s="11"/>
      <c r="B13" s="11">
        <v>5</v>
      </c>
      <c r="C13" s="11" t="s">
        <v>5216</v>
      </c>
      <c r="D13" s="11" t="s">
        <v>66</v>
      </c>
      <c r="E13" s="11">
        <v>69</v>
      </c>
      <c r="F13" s="10" t="s">
        <v>67</v>
      </c>
      <c r="G13" s="11"/>
      <c r="H13" s="5"/>
      <c r="I13" s="11"/>
      <c r="J13" s="11"/>
      <c r="K13" s="25" t="s">
        <v>5217</v>
      </c>
      <c r="L13" t="str">
        <f t="shared" si="0"/>
        <v>VARCHAR(69),</v>
      </c>
      <c r="N13" s="38" t="str">
        <f t="shared" si="1"/>
        <v>COMMENT ON COLUMN summit_common_approval.date_and_time_of_final_processing IS '最終処理日時';</v>
      </c>
      <c r="R13" s="34" t="s">
        <v>5218</v>
      </c>
    </row>
    <row r="14" spans="1:18" ht="19.5" thickBot="1">
      <c r="A14" s="13"/>
      <c r="B14" s="13">
        <v>6</v>
      </c>
      <c r="C14" s="13" t="s">
        <v>5219</v>
      </c>
      <c r="D14" s="13" t="s">
        <v>66</v>
      </c>
      <c r="E14" s="13">
        <v>69</v>
      </c>
      <c r="F14" s="14" t="s">
        <v>67</v>
      </c>
      <c r="G14" s="13"/>
      <c r="H14" s="8"/>
      <c r="I14" s="13"/>
      <c r="J14" s="13"/>
      <c r="K14" s="25" t="s">
        <v>2607</v>
      </c>
      <c r="L14" t="str">
        <f t="shared" si="0"/>
        <v>VARCHAR(69),</v>
      </c>
      <c r="N14" s="38" t="str">
        <f t="shared" si="1"/>
        <v>COMMENT ON COLUMN summit_common_approval.approval_date IS '決裁日';</v>
      </c>
      <c r="R14" s="34" t="s">
        <v>5220</v>
      </c>
    </row>
    <row r="15" spans="1:18" ht="19.5" thickBot="1">
      <c r="A15" s="11"/>
      <c r="B15" s="11">
        <v>7</v>
      </c>
      <c r="C15" s="11" t="s">
        <v>5221</v>
      </c>
      <c r="D15" s="11" t="s">
        <v>66</v>
      </c>
      <c r="E15" s="11">
        <v>2304</v>
      </c>
      <c r="F15" s="10" t="s">
        <v>67</v>
      </c>
      <c r="G15" s="11"/>
      <c r="H15" s="5"/>
      <c r="I15" s="11"/>
      <c r="J15" s="11"/>
      <c r="K15" s="25" t="s">
        <v>5222</v>
      </c>
      <c r="L15" t="str">
        <f t="shared" si="0"/>
        <v>VARCHAR(2304),</v>
      </c>
      <c r="N15" s="38" t="str">
        <f t="shared" si="1"/>
        <v>COMMENT ON COLUMN summit_common_approval.approval_type IS '決裁種別';</v>
      </c>
      <c r="R15" s="34" t="s">
        <v>5223</v>
      </c>
    </row>
    <row r="16" spans="1:18" ht="19.5" thickBot="1">
      <c r="A16" s="13"/>
      <c r="B16" s="13">
        <v>8</v>
      </c>
      <c r="C16" s="13" t="s">
        <v>5224</v>
      </c>
      <c r="D16" s="13" t="s">
        <v>66</v>
      </c>
      <c r="E16" s="13">
        <v>2304</v>
      </c>
      <c r="F16" s="14" t="s">
        <v>67</v>
      </c>
      <c r="G16" s="13"/>
      <c r="H16" s="8"/>
      <c r="I16" s="13"/>
      <c r="J16" s="13"/>
      <c r="K16" s="25" t="s">
        <v>5225</v>
      </c>
      <c r="L16" t="str">
        <f t="shared" si="0"/>
        <v>VARCHAR(2304),</v>
      </c>
      <c r="N16" s="38" t="str">
        <f t="shared" si="1"/>
        <v>COMMENT ON COLUMN summit_common_approval.business_category IS '事業区分';</v>
      </c>
      <c r="R16" s="34" t="s">
        <v>5226</v>
      </c>
    </row>
    <row r="17" spans="1:18" ht="19.5" thickBot="1">
      <c r="A17" s="11"/>
      <c r="B17" s="11">
        <v>9</v>
      </c>
      <c r="C17" s="11" t="s">
        <v>5227</v>
      </c>
      <c r="D17" s="11" t="s">
        <v>66</v>
      </c>
      <c r="E17" s="11">
        <v>2304</v>
      </c>
      <c r="F17" s="10" t="s">
        <v>67</v>
      </c>
      <c r="G17" s="11"/>
      <c r="H17" s="5"/>
      <c r="I17" s="11"/>
      <c r="J17" s="11"/>
      <c r="K17" s="25" t="s">
        <v>5326</v>
      </c>
      <c r="L17" t="str">
        <f t="shared" si="0"/>
        <v>VARCHAR(2304),</v>
      </c>
      <c r="N17" s="38" t="str">
        <f t="shared" si="1"/>
        <v>COMMENT ON COLUMN summit_common_approval.approval_content IS '決裁内容';</v>
      </c>
      <c r="R17" s="34" t="s">
        <v>6133</v>
      </c>
    </row>
    <row r="18" spans="1:18" ht="19.5" thickBot="1">
      <c r="A18" s="13"/>
      <c r="B18" s="13">
        <v>10</v>
      </c>
      <c r="C18" s="13" t="s">
        <v>5230</v>
      </c>
      <c r="D18" s="13" t="s">
        <v>66</v>
      </c>
      <c r="E18" s="13">
        <v>768</v>
      </c>
      <c r="F18" s="14" t="s">
        <v>67</v>
      </c>
      <c r="G18" s="13"/>
      <c r="H18" s="8"/>
      <c r="I18" s="13"/>
      <c r="J18" s="13"/>
      <c r="K18" s="25" t="s">
        <v>5231</v>
      </c>
      <c r="L18" t="str">
        <f t="shared" si="0"/>
        <v>VARCHAR(768),</v>
      </c>
      <c r="N18" s="38" t="str">
        <f t="shared" si="1"/>
        <v>COMMENT ON COLUMN summit_common_approval.approval_subject IS '決裁件名';</v>
      </c>
      <c r="R18" s="34" t="s">
        <v>5232</v>
      </c>
    </row>
    <row r="19" spans="1:18" ht="19.5" thickBot="1">
      <c r="A19" s="11"/>
      <c r="B19" s="11">
        <v>11</v>
      </c>
      <c r="C19" s="11" t="s">
        <v>5338</v>
      </c>
      <c r="D19" s="11" t="s">
        <v>66</v>
      </c>
      <c r="E19" s="11">
        <v>12000</v>
      </c>
      <c r="F19" s="10" t="s">
        <v>67</v>
      </c>
      <c r="G19" s="11"/>
      <c r="H19" s="5"/>
      <c r="I19" s="11"/>
      <c r="J19" s="11"/>
      <c r="K19" s="25" t="s">
        <v>5339</v>
      </c>
      <c r="L19" t="str">
        <f t="shared" si="0"/>
        <v>VARCHAR(12000),</v>
      </c>
      <c r="N19" s="38" t="str">
        <f t="shared" si="1"/>
        <v>COMMENT ON COLUMN summit_common_approval.project_summary_summary_1 IS '案件概要_要旨記述1';</v>
      </c>
      <c r="R19" s="34" t="s">
        <v>6134</v>
      </c>
    </row>
    <row r="20" spans="1:18" ht="19.5" thickBot="1">
      <c r="A20" s="13"/>
      <c r="B20" s="13">
        <v>12</v>
      </c>
      <c r="C20" s="13" t="s">
        <v>5341</v>
      </c>
      <c r="D20" s="13" t="s">
        <v>66</v>
      </c>
      <c r="E20" s="13">
        <v>12000</v>
      </c>
      <c r="F20" s="14" t="s">
        <v>67</v>
      </c>
      <c r="G20" s="13"/>
      <c r="H20" s="8"/>
      <c r="I20" s="13"/>
      <c r="J20" s="13"/>
      <c r="K20" s="25" t="s">
        <v>5342</v>
      </c>
      <c r="L20" t="str">
        <f t="shared" si="0"/>
        <v>VARCHAR(12000),</v>
      </c>
      <c r="N20" s="38" t="str">
        <f t="shared" si="1"/>
        <v>COMMENT ON COLUMN summit_common_approval.project_summary_summary_2 IS '案件概要_要旨記述2';</v>
      </c>
      <c r="R20" s="34" t="s">
        <v>6135</v>
      </c>
    </row>
    <row r="21" spans="1:18" ht="19.5" thickBot="1">
      <c r="A21" s="11"/>
      <c r="B21" s="11">
        <v>13</v>
      </c>
      <c r="C21" s="11" t="s">
        <v>5239</v>
      </c>
      <c r="D21" s="11" t="s">
        <v>66</v>
      </c>
      <c r="E21" s="11">
        <v>12000</v>
      </c>
      <c r="F21" s="10" t="s">
        <v>67</v>
      </c>
      <c r="G21" s="11"/>
      <c r="H21" s="5"/>
      <c r="I21" s="11"/>
      <c r="J21" s="11"/>
      <c r="K21" s="25" t="s">
        <v>5344</v>
      </c>
      <c r="L21" t="str">
        <f t="shared" si="0"/>
        <v>VARCHAR(12000),</v>
      </c>
      <c r="N21" s="38" t="str">
        <f t="shared" si="1"/>
        <v>COMMENT ON COLUMN summit_common_approval.project_summary_summary_3 IS '案件概要_要旨記述3';</v>
      </c>
      <c r="R21" s="34" t="s">
        <v>6136</v>
      </c>
    </row>
    <row r="22" spans="1:18" ht="19.5" thickBot="1">
      <c r="A22" s="13"/>
      <c r="B22" s="13">
        <v>14</v>
      </c>
      <c r="C22" s="13" t="s">
        <v>5242</v>
      </c>
      <c r="D22" s="13" t="s">
        <v>66</v>
      </c>
      <c r="E22" s="13">
        <v>12000</v>
      </c>
      <c r="F22" s="14" t="s">
        <v>67</v>
      </c>
      <c r="G22" s="13"/>
      <c r="H22" s="8"/>
      <c r="I22" s="13"/>
      <c r="J22" s="13"/>
      <c r="K22" s="25" t="s">
        <v>5346</v>
      </c>
      <c r="L22" t="str">
        <f t="shared" si="0"/>
        <v>VARCHAR(12000),</v>
      </c>
      <c r="N22" s="38" t="str">
        <f t="shared" si="1"/>
        <v>COMMENT ON COLUMN summit_common_approval.project_summary_summary_4 IS '案件概要_要旨記述4';</v>
      </c>
      <c r="R22" s="34" t="s">
        <v>6137</v>
      </c>
    </row>
    <row r="23" spans="1:18" ht="19.5" thickBot="1">
      <c r="A23" s="11"/>
      <c r="B23" s="11">
        <v>15</v>
      </c>
      <c r="C23" s="11" t="s">
        <v>5348</v>
      </c>
      <c r="D23" s="11" t="s">
        <v>66</v>
      </c>
      <c r="E23" s="11">
        <v>12000</v>
      </c>
      <c r="F23" s="10" t="s">
        <v>67</v>
      </c>
      <c r="G23" s="11"/>
      <c r="H23" s="5"/>
      <c r="I23" s="11"/>
      <c r="J23" s="11"/>
      <c r="K23" s="25" t="s">
        <v>5349</v>
      </c>
      <c r="L23" t="str">
        <f t="shared" si="0"/>
        <v>VARCHAR(12000),</v>
      </c>
      <c r="N23" s="38" t="str">
        <f t="shared" si="1"/>
        <v>COMMENT ON COLUMN summit_common_approval.purpose_reason_effect IS '目的_理由_効果';</v>
      </c>
      <c r="R23" s="34" t="s">
        <v>6138</v>
      </c>
    </row>
    <row r="24" spans="1:18" ht="19.5" thickBot="1">
      <c r="A24" s="13"/>
      <c r="B24" s="13">
        <v>16</v>
      </c>
      <c r="C24" s="13" t="s">
        <v>5273</v>
      </c>
      <c r="D24" s="13" t="s">
        <v>66</v>
      </c>
      <c r="E24" s="13">
        <v>48</v>
      </c>
      <c r="F24" s="14" t="s">
        <v>67</v>
      </c>
      <c r="G24" s="13"/>
      <c r="H24" s="8"/>
      <c r="I24" s="13"/>
      <c r="J24" s="13"/>
      <c r="K24" s="25" t="s">
        <v>5274</v>
      </c>
      <c r="L24" t="str">
        <f t="shared" si="0"/>
        <v>VARCHAR(48),</v>
      </c>
      <c r="N24" s="38" t="str">
        <f t="shared" si="1"/>
        <v>COMMENT ON COLUMN summit_common_approval.form_id IS 'フォームid';</v>
      </c>
      <c r="R24" s="34" t="s">
        <v>5275</v>
      </c>
    </row>
    <row r="25" spans="1:18" ht="19.5" thickBot="1">
      <c r="A25" s="11"/>
      <c r="B25" s="11">
        <v>17</v>
      </c>
      <c r="C25" s="11" t="s">
        <v>5276</v>
      </c>
      <c r="D25" s="11" t="s">
        <v>66</v>
      </c>
      <c r="E25" s="11">
        <v>48</v>
      </c>
      <c r="F25" s="10" t="s">
        <v>67</v>
      </c>
      <c r="G25" s="11"/>
      <c r="H25" s="5"/>
      <c r="I25" s="11"/>
      <c r="J25" s="11"/>
      <c r="K25" s="25" t="s">
        <v>5277</v>
      </c>
      <c r="L25" t="str">
        <f t="shared" si="0"/>
        <v>VARCHAR(48),</v>
      </c>
      <c r="N25" s="38" t="str">
        <f t="shared" si="1"/>
        <v>COMMENT ON COLUMN summit_common_approval.root_id IS 'ルートid';</v>
      </c>
      <c r="R25" s="34" t="s">
        <v>5278</v>
      </c>
    </row>
    <row r="26" spans="1:18" ht="19.5" thickBot="1">
      <c r="A26" s="13"/>
      <c r="B26" s="13">
        <v>18</v>
      </c>
      <c r="C26" s="13" t="s">
        <v>5279</v>
      </c>
      <c r="D26" s="13" t="s">
        <v>66</v>
      </c>
      <c r="E26" s="13">
        <v>48</v>
      </c>
      <c r="F26" s="14" t="s">
        <v>67</v>
      </c>
      <c r="G26" s="13"/>
      <c r="H26" s="8"/>
      <c r="I26" s="13"/>
      <c r="J26" s="13"/>
      <c r="K26" s="25" t="s">
        <v>5280</v>
      </c>
      <c r="L26" t="str">
        <f t="shared" si="0"/>
        <v>VARCHAR(48),</v>
      </c>
      <c r="N26" s="38" t="str">
        <f t="shared" si="1"/>
        <v>COMMENT ON COLUMN summit_common_approval.status_id IS 'ステータスid';</v>
      </c>
      <c r="R26" s="34" t="s">
        <v>5281</v>
      </c>
    </row>
    <row r="27" spans="1:18" ht="19.5" thickBot="1">
      <c r="A27" s="11"/>
      <c r="B27" s="11">
        <v>19</v>
      </c>
      <c r="C27" s="11" t="s">
        <v>5886</v>
      </c>
      <c r="D27" s="11" t="s">
        <v>66</v>
      </c>
      <c r="E27" s="11">
        <v>255</v>
      </c>
      <c r="F27" s="10" t="s">
        <v>67</v>
      </c>
      <c r="G27" s="11" t="s">
        <v>6139</v>
      </c>
      <c r="H27" s="5"/>
      <c r="I27" s="11"/>
      <c r="J27" s="11"/>
      <c r="K27" s="25" t="s">
        <v>5887</v>
      </c>
      <c r="L27" t="str">
        <f t="shared" si="0"/>
        <v>VARCHAR(255),</v>
      </c>
      <c r="N27" s="38" t="str">
        <f t="shared" si="1"/>
        <v>COMMENT ON COLUMN summit_common_approval.purpose_reason_effect_1 IS '目的_理由_効果1';</v>
      </c>
      <c r="R27" s="34" t="s">
        <v>5888</v>
      </c>
    </row>
    <row r="28" spans="1:18" ht="19.5" thickBot="1">
      <c r="A28" s="13"/>
      <c r="B28" s="13">
        <v>20</v>
      </c>
      <c r="C28" s="13" t="s">
        <v>5889</v>
      </c>
      <c r="D28" s="13" t="s">
        <v>66</v>
      </c>
      <c r="E28" s="11">
        <v>255</v>
      </c>
      <c r="F28" s="14" t="s">
        <v>67</v>
      </c>
      <c r="G28" s="13" t="s">
        <v>6139</v>
      </c>
      <c r="H28" s="8"/>
      <c r="I28" s="13"/>
      <c r="J28" s="13"/>
      <c r="K28" s="25" t="s">
        <v>5890</v>
      </c>
      <c r="L28" t="str">
        <f t="shared" si="0"/>
        <v>VARCHAR(255),</v>
      </c>
      <c r="N28" s="38" t="str">
        <f t="shared" si="1"/>
        <v>COMMENT ON COLUMN summit_common_approval.purpose_reason_effect_2 IS '目的_理由_効果2';</v>
      </c>
      <c r="R28" s="34" t="s">
        <v>5891</v>
      </c>
    </row>
    <row r="29" spans="1:18" ht="19.5" thickBot="1">
      <c r="A29" s="11"/>
      <c r="B29" s="11">
        <v>21</v>
      </c>
      <c r="C29" s="11" t="s">
        <v>5892</v>
      </c>
      <c r="D29" s="11" t="s">
        <v>66</v>
      </c>
      <c r="E29" s="11">
        <v>255</v>
      </c>
      <c r="F29" s="10" t="s">
        <v>67</v>
      </c>
      <c r="G29" s="11" t="s">
        <v>6139</v>
      </c>
      <c r="H29" s="5"/>
      <c r="I29" s="11"/>
      <c r="J29" s="11"/>
      <c r="K29" s="25" t="s">
        <v>5893</v>
      </c>
      <c r="L29" t="str">
        <f t="shared" si="0"/>
        <v>VARCHAR(255),</v>
      </c>
      <c r="N29" s="38" t="str">
        <f t="shared" si="1"/>
        <v>COMMENT ON COLUMN summit_common_approval.purpose_reason_effect_3 IS '目的_理由_効果3';</v>
      </c>
      <c r="R29" s="34" t="s">
        <v>5894</v>
      </c>
    </row>
    <row r="30" spans="1:18" ht="19.5" thickBot="1">
      <c r="A30" s="13"/>
      <c r="B30" s="13">
        <v>22</v>
      </c>
      <c r="C30" s="13" t="s">
        <v>5895</v>
      </c>
      <c r="D30" s="13" t="s">
        <v>66</v>
      </c>
      <c r="E30" s="11">
        <v>255</v>
      </c>
      <c r="F30" s="14" t="s">
        <v>67</v>
      </c>
      <c r="G30" s="13" t="s">
        <v>6139</v>
      </c>
      <c r="H30" s="8"/>
      <c r="I30" s="13"/>
      <c r="J30" s="13"/>
      <c r="K30" s="25" t="s">
        <v>5896</v>
      </c>
      <c r="L30" t="str">
        <f t="shared" si="0"/>
        <v>VARCHAR(255),</v>
      </c>
      <c r="N30" s="38" t="str">
        <f t="shared" si="1"/>
        <v>COMMENT ON COLUMN summit_common_approval.purpose_reason_effect_4 IS '目的_理由_効果4';</v>
      </c>
      <c r="R30" s="34" t="s">
        <v>5897</v>
      </c>
    </row>
    <row r="31" spans="1:18" ht="19.5" thickBot="1">
      <c r="A31" s="11"/>
      <c r="B31" s="11">
        <v>23</v>
      </c>
      <c r="C31" s="11" t="s">
        <v>5898</v>
      </c>
      <c r="D31" s="11" t="s">
        <v>66</v>
      </c>
      <c r="E31" s="11">
        <v>255</v>
      </c>
      <c r="F31" s="10" t="s">
        <v>67</v>
      </c>
      <c r="G31" s="11" t="s">
        <v>6139</v>
      </c>
      <c r="H31" s="5"/>
      <c r="I31" s="11"/>
      <c r="J31" s="11"/>
      <c r="K31" s="25" t="s">
        <v>5899</v>
      </c>
      <c r="L31" t="str">
        <f t="shared" si="0"/>
        <v>VARCHAR(255),</v>
      </c>
      <c r="N31" s="38" t="str">
        <f t="shared" si="1"/>
        <v>COMMENT ON COLUMN summit_common_approval.purpose_reason_effect_5 IS '目的_理由_効果5';</v>
      </c>
      <c r="R31" s="34" t="s">
        <v>5900</v>
      </c>
    </row>
    <row r="32" spans="1:18" ht="19.5" thickBot="1">
      <c r="A32" s="13"/>
      <c r="B32" s="13">
        <v>24</v>
      </c>
      <c r="C32" s="13" t="s">
        <v>5901</v>
      </c>
      <c r="D32" s="13" t="s">
        <v>66</v>
      </c>
      <c r="E32" s="11">
        <v>255</v>
      </c>
      <c r="F32" s="14" t="s">
        <v>67</v>
      </c>
      <c r="G32" s="13" t="s">
        <v>6139</v>
      </c>
      <c r="H32" s="8"/>
      <c r="I32" s="13"/>
      <c r="J32" s="13"/>
      <c r="K32" s="25" t="s">
        <v>5902</v>
      </c>
      <c r="L32" t="str">
        <f t="shared" si="0"/>
        <v>VARCHAR(255),</v>
      </c>
      <c r="N32" s="38" t="str">
        <f t="shared" si="1"/>
        <v>COMMENT ON COLUMN summit_common_approval.purpose_reason_effect_6 IS '目的_理由_効果6';</v>
      </c>
      <c r="R32" s="34" t="s">
        <v>5903</v>
      </c>
    </row>
    <row r="33" spans="1:18" ht="19.5" thickBot="1">
      <c r="A33" s="11"/>
      <c r="B33" s="11">
        <v>25</v>
      </c>
      <c r="C33" s="11" t="s">
        <v>5904</v>
      </c>
      <c r="D33" s="11" t="s">
        <v>66</v>
      </c>
      <c r="E33" s="11">
        <v>255</v>
      </c>
      <c r="F33" s="10" t="s">
        <v>67</v>
      </c>
      <c r="G33" s="11" t="s">
        <v>6139</v>
      </c>
      <c r="H33" s="5"/>
      <c r="I33" s="11"/>
      <c r="J33" s="11"/>
      <c r="K33" s="25" t="s">
        <v>5905</v>
      </c>
      <c r="L33" t="str">
        <f t="shared" si="0"/>
        <v>VARCHAR(255),</v>
      </c>
      <c r="N33" s="38" t="str">
        <f t="shared" si="1"/>
        <v>COMMENT ON COLUMN summit_common_approval.purpose_reason_effect_7 IS '目的_理由_効果7';</v>
      </c>
      <c r="R33" s="34" t="s">
        <v>5906</v>
      </c>
    </row>
    <row r="34" spans="1:18" ht="19.5" thickBot="1">
      <c r="A34" s="13"/>
      <c r="B34" s="13">
        <v>26</v>
      </c>
      <c r="C34" s="13" t="s">
        <v>5907</v>
      </c>
      <c r="D34" s="13" t="s">
        <v>66</v>
      </c>
      <c r="E34" s="11">
        <v>255</v>
      </c>
      <c r="F34" s="14" t="s">
        <v>67</v>
      </c>
      <c r="G34" s="13" t="s">
        <v>6139</v>
      </c>
      <c r="H34" s="8"/>
      <c r="I34" s="13"/>
      <c r="J34" s="13"/>
      <c r="K34" s="25" t="s">
        <v>5908</v>
      </c>
      <c r="L34" t="str">
        <f t="shared" si="0"/>
        <v>VARCHAR(255),</v>
      </c>
      <c r="N34" s="38" t="str">
        <f t="shared" si="1"/>
        <v>COMMENT ON COLUMN summit_common_approval.purpose_reason_effect_8 IS '目的_理由_効果8';</v>
      </c>
      <c r="R34" s="34" t="s">
        <v>5909</v>
      </c>
    </row>
    <row r="35" spans="1:18" ht="19.5" thickBot="1">
      <c r="A35" s="11"/>
      <c r="B35" s="11">
        <v>27</v>
      </c>
      <c r="C35" s="11" t="s">
        <v>5910</v>
      </c>
      <c r="D35" s="11" t="s">
        <v>66</v>
      </c>
      <c r="E35" s="11">
        <v>255</v>
      </c>
      <c r="F35" s="10" t="s">
        <v>67</v>
      </c>
      <c r="G35" s="11" t="s">
        <v>6139</v>
      </c>
      <c r="H35" s="5"/>
      <c r="I35" s="11"/>
      <c r="J35" s="11"/>
      <c r="K35" s="25" t="s">
        <v>5911</v>
      </c>
      <c r="L35" t="str">
        <f t="shared" si="0"/>
        <v>VARCHAR(255),</v>
      </c>
      <c r="N35" s="38" t="str">
        <f t="shared" si="1"/>
        <v>COMMENT ON COLUMN summit_common_approval.purpose_reason_effect_9 IS '目的_理由_効果9';</v>
      </c>
      <c r="R35" s="34" t="s">
        <v>5912</v>
      </c>
    </row>
    <row r="36" spans="1:18">
      <c r="K36" t="str">
        <f>"CONSTRAINT pk_"&amp;K3&amp;" PRIMARY KEY (id));"</f>
        <v>CONSTRAINT pk_summit_common_approval PRIMARY KEY (id));</v>
      </c>
      <c r="R36" s="33" t="s">
        <v>6140</v>
      </c>
    </row>
    <row r="37" spans="1:18">
      <c r="R37" s="33" t="s">
        <v>6141</v>
      </c>
    </row>
    <row r="38" spans="1:18">
      <c r="R38" s="33" t="s">
        <v>6142</v>
      </c>
    </row>
    <row r="39" spans="1:18">
      <c r="R39" s="33" t="s">
        <v>6143</v>
      </c>
    </row>
    <row r="40" spans="1:18">
      <c r="R40" s="33" t="s">
        <v>6144</v>
      </c>
    </row>
    <row r="41" spans="1:18">
      <c r="R41" s="33" t="s">
        <v>6145</v>
      </c>
    </row>
    <row r="42" spans="1:18">
      <c r="R42" s="33" t="s">
        <v>6146</v>
      </c>
    </row>
    <row r="43" spans="1:18">
      <c r="R43" s="33" t="s">
        <v>6147</v>
      </c>
    </row>
    <row r="44" spans="1:18">
      <c r="R44" s="33" t="s">
        <v>6148</v>
      </c>
    </row>
    <row r="45" spans="1:18">
      <c r="R45" s="33" t="s">
        <v>6149</v>
      </c>
    </row>
    <row r="46" spans="1:18">
      <c r="R46" s="33" t="s">
        <v>6150</v>
      </c>
    </row>
    <row r="47" spans="1:18">
      <c r="R47" s="33" t="s">
        <v>6151</v>
      </c>
    </row>
    <row r="48" spans="1:18">
      <c r="R48" s="33" t="s">
        <v>6152</v>
      </c>
    </row>
    <row r="49" spans="18:18">
      <c r="R49" s="33" t="s">
        <v>6153</v>
      </c>
    </row>
    <row r="50" spans="18:18">
      <c r="R50" s="33" t="s">
        <v>6154</v>
      </c>
    </row>
    <row r="51" spans="18:18">
      <c r="R51" s="33" t="s">
        <v>6155</v>
      </c>
    </row>
    <row r="52" spans="18:18">
      <c r="R52" s="33" t="s">
        <v>6156</v>
      </c>
    </row>
    <row r="53" spans="18:18">
      <c r="R53" s="33" t="s">
        <v>6157</v>
      </c>
    </row>
    <row r="54" spans="18:18">
      <c r="R54" s="33" t="s">
        <v>6158</v>
      </c>
    </row>
    <row r="55" spans="18:18">
      <c r="R55" s="33" t="s">
        <v>6159</v>
      </c>
    </row>
    <row r="56" spans="18:18">
      <c r="R56" s="33" t="s">
        <v>6160</v>
      </c>
    </row>
    <row r="57" spans="18:18">
      <c r="R57" s="33" t="s">
        <v>6161</v>
      </c>
    </row>
    <row r="58" spans="18:18">
      <c r="R58" s="33" t="s">
        <v>6162</v>
      </c>
    </row>
    <row r="59" spans="18:18">
      <c r="R59" s="33" t="s">
        <v>6163</v>
      </c>
    </row>
    <row r="60" spans="18:18">
      <c r="R60" s="33" t="s">
        <v>6164</v>
      </c>
    </row>
    <row r="61" spans="18:18">
      <c r="R61" s="33" t="s">
        <v>6165</v>
      </c>
    </row>
    <row r="62" spans="18:18">
      <c r="R62" s="33" t="s">
        <v>6166</v>
      </c>
    </row>
    <row r="63" spans="18:18">
      <c r="R63" s="33" t="s">
        <v>6167</v>
      </c>
    </row>
    <row r="64" spans="18:18">
      <c r="R64" s="33" t="s">
        <v>6168</v>
      </c>
    </row>
    <row r="65" spans="18:18">
      <c r="R65" s="33" t="s">
        <v>6169</v>
      </c>
    </row>
  </sheetData>
  <mergeCells count="2">
    <mergeCell ref="F4:J4"/>
    <mergeCell ref="F5:J5"/>
  </mergeCells>
  <phoneticPr fontId="2"/>
  <hyperlinks>
    <hyperlink ref="H9" r:id="rId1" display="https://tools.l2.dwh.sb-sys.info/userhelp/data/komoku" xr:uid="{34F9732D-4F9A-410D-9D70-980D4D5F226F}"/>
    <hyperlink ref="H10" r:id="rId2" display="https://tools.l2.dwh.sb-sys.info/userhelp/data/komoku" xr:uid="{0F212744-0276-4BE5-81ED-15B73EE6EFF1}"/>
    <hyperlink ref="H11" r:id="rId3" display="https://tools.l2.dwh.sb-sys.info/userhelp/data/komoku" xr:uid="{A3DC56BE-AD86-4E5E-9A3F-584F09E615ED}"/>
    <hyperlink ref="H12" r:id="rId4" display="https://tools.l2.dwh.sb-sys.info/userhelp/data/komoku" xr:uid="{F59CABD3-7D2A-49B8-9A9D-16248098E71F}"/>
    <hyperlink ref="H13" r:id="rId5" display="https://tools.l2.dwh.sb-sys.info/userhelp/data/komoku" xr:uid="{00BBBEC4-725B-4B45-87B0-73D2BD255E29}"/>
    <hyperlink ref="H14" r:id="rId6" display="https://tools.l2.dwh.sb-sys.info/userhelp/data/komoku" xr:uid="{A8ABF8D8-9990-4950-920A-8D7459D3AC9F}"/>
    <hyperlink ref="H15" r:id="rId7" display="https://tools.l2.dwh.sb-sys.info/userhelp/data/komoku" xr:uid="{82D8D016-CB18-4DDC-9FD0-2BA15E30706B}"/>
    <hyperlink ref="H16" r:id="rId8" display="https://tools.l2.dwh.sb-sys.info/userhelp/data/komoku" xr:uid="{07434A83-3D6A-4B97-B175-A522818A9F81}"/>
    <hyperlink ref="H17" r:id="rId9" display="https://tools.l2.dwh.sb-sys.info/userhelp/data/komoku" xr:uid="{185B1F29-A2AC-4A3E-B39F-BF3C64351E7D}"/>
    <hyperlink ref="H18" r:id="rId10" display="https://tools.l2.dwh.sb-sys.info/userhelp/data/komoku" xr:uid="{07FB1C17-4244-4BAF-AC35-95D3E1CDEC76}"/>
    <hyperlink ref="H19" r:id="rId11" display="https://tools.l2.dwh.sb-sys.info/userhelp/data/komoku" xr:uid="{77A32290-D56C-4648-B0C3-26EA4C1302DE}"/>
    <hyperlink ref="H20" r:id="rId12" display="https://tools.l2.dwh.sb-sys.info/userhelp/data/komoku" xr:uid="{9BBE71D4-021D-415F-B163-969D356BD945}"/>
    <hyperlink ref="H21" r:id="rId13" display="https://tools.l2.dwh.sb-sys.info/userhelp/data/komoku" xr:uid="{277EE797-43D2-4C62-A699-A71F266C0675}"/>
    <hyperlink ref="H22" r:id="rId14" display="https://tools.l2.dwh.sb-sys.info/userhelp/data/komoku" xr:uid="{7A541034-4D48-4F43-BEB8-C98C5A5AA331}"/>
    <hyperlink ref="H23" r:id="rId15" display="https://tools.l2.dwh.sb-sys.info/userhelp/data/komoku" xr:uid="{2968F165-7FCC-4D28-A37B-4B3A94F497AD}"/>
    <hyperlink ref="H24" r:id="rId16" display="https://tools.l2.dwh.sb-sys.info/userhelp/data/komoku" xr:uid="{E056FD43-CAF1-48B2-ABD7-CF675D5D5B08}"/>
    <hyperlink ref="H25" r:id="rId17" display="https://tools.l2.dwh.sb-sys.info/userhelp/data/komoku" xr:uid="{074113EE-D59A-414A-BF1D-74C356E31762}"/>
    <hyperlink ref="H26" r:id="rId18" display="https://tools.l2.dwh.sb-sys.info/userhelp/data/komoku" xr:uid="{208883BA-0F9F-49C5-B4E4-DDA612AF500D}"/>
    <hyperlink ref="H27" r:id="rId19" display="https://tools.l2.dwh.sb-sys.info/userhelp/data/komoku" xr:uid="{408E1E24-DA2E-4096-8580-14AABA78197C}"/>
    <hyperlink ref="H28" r:id="rId20" display="https://tools.l2.dwh.sb-sys.info/userhelp/data/komoku" xr:uid="{764BBC23-14AC-430C-B356-8C7278028D22}"/>
    <hyperlink ref="H29" r:id="rId21" display="https://tools.l2.dwh.sb-sys.info/userhelp/data/komoku" xr:uid="{02191691-20BC-4295-B9D9-2E31687F3115}"/>
    <hyperlink ref="H30" r:id="rId22" display="https://tools.l2.dwh.sb-sys.info/userhelp/data/komoku" xr:uid="{EBBE4539-AA87-4BBF-8FAD-CC11F074DB3F}"/>
    <hyperlink ref="H31" r:id="rId23" display="https://tools.l2.dwh.sb-sys.info/userhelp/data/komoku" xr:uid="{24C47AA7-9AD6-48BF-87D9-3BAD3EE5D8C8}"/>
    <hyperlink ref="H32" r:id="rId24" display="https://tools.l2.dwh.sb-sys.info/userhelp/data/komoku" xr:uid="{9BA4288E-D03A-4591-8DEE-8F5741B4501D}"/>
    <hyperlink ref="H33" r:id="rId25" display="https://tools.l2.dwh.sb-sys.info/userhelp/data/komoku" xr:uid="{176F6317-5935-45DB-9210-EF1F5B01E578}"/>
    <hyperlink ref="H34" r:id="rId26" display="https://tools.l2.dwh.sb-sys.info/userhelp/data/komoku" xr:uid="{C132A50F-23BA-46B9-80CC-DB08D7DC2B91}"/>
    <hyperlink ref="H35" r:id="rId27" display="https://tools.l2.dwh.sb-sys.info/userhelp/data/komoku" xr:uid="{ED7D4069-C4F4-4E11-9D4B-FFA92959EF12}"/>
  </hyperlinks>
  <pageMargins left="0.7" right="0.7" top="0.75" bottom="0.75" header="0.3" footer="0.3"/>
  <pageSetup paperSize="9" orientation="portrait" r:id="rId28"/>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9E8CB-4B8B-49A8-AC98-447983C032FA}">
  <sheetPr>
    <tabColor theme="9"/>
  </sheetPr>
  <dimension ref="A1:R207"/>
  <sheetViews>
    <sheetView zoomScale="70" zoomScaleNormal="70" workbookViewId="0"/>
  </sheetViews>
  <sheetFormatPr defaultRowHeight="18.75"/>
  <cols>
    <col min="1" max="1" width="3.375" bestFit="1" customWidth="1"/>
    <col min="2" max="2" width="4.375" bestFit="1" customWidth="1"/>
    <col min="3" max="3" width="22.5" bestFit="1" customWidth="1"/>
    <col min="4" max="4" width="9.375" bestFit="1" customWidth="1"/>
    <col min="5" max="5" width="5.875" bestFit="1" customWidth="1"/>
    <col min="6" max="6" width="6" bestFit="1" customWidth="1"/>
    <col min="7" max="7" width="18.875" bestFit="1" customWidth="1"/>
    <col min="8" max="8" width="20.5" bestFit="1" customWidth="1"/>
    <col min="9" max="9" width="4.5" bestFit="1" customWidth="1"/>
    <col min="10" max="10" width="6" bestFit="1" customWidth="1"/>
    <col min="11" max="11" width="26.5" customWidth="1"/>
    <col min="14" max="14" width="28.75" customWidth="1"/>
  </cols>
  <sheetData>
    <row r="1" spans="1:18" ht="19.5" thickBot="1"/>
    <row r="2" spans="1:18" ht="60.75" thickBot="1">
      <c r="G2" s="1" t="s">
        <v>41</v>
      </c>
      <c r="H2" s="1" t="s">
        <v>42</v>
      </c>
      <c r="I2" s="1" t="s">
        <v>43</v>
      </c>
      <c r="J2" s="1" t="s">
        <v>44</v>
      </c>
      <c r="K2" s="1" t="s">
        <v>45</v>
      </c>
    </row>
    <row r="3" spans="1:18" ht="45.75" thickBot="1">
      <c r="G3" s="2" t="s">
        <v>46</v>
      </c>
      <c r="H3" s="3" t="s">
        <v>6170</v>
      </c>
      <c r="I3" s="3"/>
      <c r="J3" s="3" t="s">
        <v>6171</v>
      </c>
      <c r="K3" s="3" t="s">
        <v>49</v>
      </c>
      <c r="L3" s="28" t="s">
        <v>6172</v>
      </c>
    </row>
    <row r="4" spans="1:18">
      <c r="G4" s="41" t="s">
        <v>51</v>
      </c>
      <c r="H4" s="42"/>
      <c r="I4" s="42"/>
      <c r="J4" s="42"/>
      <c r="K4" s="43"/>
    </row>
    <row r="5" spans="1:18" ht="19.5" thickBot="1">
      <c r="G5" s="44" t="s">
        <v>5203</v>
      </c>
      <c r="H5" s="45"/>
      <c r="I5" s="45"/>
      <c r="J5" s="45"/>
      <c r="K5" s="46"/>
    </row>
    <row r="6" spans="1:18" ht="19.5" thickBot="1">
      <c r="K6" t="str">
        <f>"DROP TABLE IF EXISTS "&amp;L3&amp;" CASCADE;"</f>
        <v>DROP TABLE IF EXISTS summit_approval_basic CASCADE;</v>
      </c>
      <c r="R6" s="33" t="s">
        <v>6173</v>
      </c>
    </row>
    <row r="7" spans="1:18" ht="19.5" thickBot="1">
      <c r="K7" t="str">
        <f>"CREATE TABLE IF NOT EXISTS "&amp;L3&amp;" ("</f>
        <v>CREATE TABLE IF NOT EXISTS summit_approval_basic (</v>
      </c>
      <c r="N7" s="40" t="str">
        <f>"COMMENT ON TABLE "&amp;L3&amp;" IS '"&amp;H3&amp;"';"</f>
        <v>COMMENT ON TABLE summit_approval_basic IS 'b_hjn_smt_問い合わせツール_決裁_基本_補足';</v>
      </c>
      <c r="R7" s="33" t="s">
        <v>6174</v>
      </c>
    </row>
    <row r="8" spans="1:18" ht="19.5" thickBot="1">
      <c r="A8" s="4" t="s">
        <v>54</v>
      </c>
      <c r="B8" s="4" t="s">
        <v>55</v>
      </c>
      <c r="C8" s="4" t="s">
        <v>56</v>
      </c>
      <c r="D8" s="4" t="s">
        <v>57</v>
      </c>
      <c r="E8" s="4" t="s">
        <v>58</v>
      </c>
      <c r="F8" s="4" t="s">
        <v>59</v>
      </c>
      <c r="G8" s="4" t="s">
        <v>60</v>
      </c>
      <c r="H8" s="4" t="s">
        <v>61</v>
      </c>
      <c r="I8" s="4" t="s">
        <v>62</v>
      </c>
      <c r="J8" s="4" t="s">
        <v>63</v>
      </c>
      <c r="K8" t="s">
        <v>64</v>
      </c>
      <c r="N8" s="38" t="str">
        <f>"COMMENT ON COLUMN "&amp;$L$3&amp;".id IS 'id';"</f>
        <v>COMMENT ON COLUMN summit_approval_basic.id IS 'id';</v>
      </c>
      <c r="R8" s="34" t="s">
        <v>65</v>
      </c>
    </row>
    <row r="9" spans="1:18" ht="19.5" thickBot="1">
      <c r="A9" s="3"/>
      <c r="B9" s="3">
        <v>1</v>
      </c>
      <c r="C9" s="3" t="s">
        <v>3437</v>
      </c>
      <c r="D9" s="3" t="s">
        <v>66</v>
      </c>
      <c r="E9" s="3">
        <v>48</v>
      </c>
      <c r="F9" s="2" t="s">
        <v>67</v>
      </c>
      <c r="G9" s="3"/>
      <c r="H9" s="5"/>
      <c r="I9" s="3"/>
      <c r="J9" s="3"/>
      <c r="K9" s="25" t="s">
        <v>3439</v>
      </c>
      <c r="L9" t="str">
        <f t="shared" ref="L9:L72" si="0">D9&amp;"("&amp;E9&amp;"),"</f>
        <v>VARCHAR(48),</v>
      </c>
      <c r="N9" s="38" t="str">
        <f>"COMMENT ON COLUMN "&amp;$L$3&amp;"."&amp;$K9&amp;" IS '"&amp;C9&amp;"';"</f>
        <v>COMMENT ON COLUMN summit_approval_basic.approval_number IS '決裁番号';</v>
      </c>
      <c r="R9" s="34" t="s">
        <v>5206</v>
      </c>
    </row>
    <row r="10" spans="1:18" ht="19.5" thickBot="1">
      <c r="A10" s="6"/>
      <c r="B10" s="6">
        <v>2</v>
      </c>
      <c r="C10" s="6" t="s">
        <v>5207</v>
      </c>
      <c r="D10" s="6" t="s">
        <v>66</v>
      </c>
      <c r="E10" s="6">
        <v>270</v>
      </c>
      <c r="F10" s="7" t="s">
        <v>67</v>
      </c>
      <c r="G10" s="6"/>
      <c r="H10" s="8"/>
      <c r="I10" s="6"/>
      <c r="J10" s="6"/>
      <c r="K10" s="25" t="s">
        <v>5208</v>
      </c>
      <c r="L10" t="str">
        <f t="shared" si="0"/>
        <v>VARCHAR(270),</v>
      </c>
      <c r="N10" s="38" t="str">
        <f t="shared" ref="N10:N73" si="1">"COMMENT ON COLUMN "&amp;$L$3&amp;"."&amp;$K10&amp;" IS '"&amp;C10&amp;"';"</f>
        <v>COMMENT ON COLUMN summit_approval_basic.status_name IS 'ステータス名';</v>
      </c>
      <c r="R10" s="34" t="s">
        <v>5209</v>
      </c>
    </row>
    <row r="11" spans="1:18" ht="19.5" thickBot="1">
      <c r="A11" s="3"/>
      <c r="B11" s="3">
        <v>3</v>
      </c>
      <c r="C11" s="3" t="s">
        <v>5210</v>
      </c>
      <c r="D11" s="3" t="s">
        <v>66</v>
      </c>
      <c r="E11" s="3">
        <v>270</v>
      </c>
      <c r="F11" s="2" t="s">
        <v>67</v>
      </c>
      <c r="G11" s="3"/>
      <c r="H11" s="5"/>
      <c r="I11" s="3"/>
      <c r="J11" s="3"/>
      <c r="K11" s="25" t="s">
        <v>5211</v>
      </c>
      <c r="L11" t="str">
        <f t="shared" si="0"/>
        <v>VARCHAR(270),</v>
      </c>
      <c r="N11" s="38" t="str">
        <f t="shared" si="1"/>
        <v>COMMENT ON COLUMN summit_approval_basic.node_name IS 'ノード名';</v>
      </c>
      <c r="R11" s="34" t="s">
        <v>5212</v>
      </c>
    </row>
    <row r="12" spans="1:18" ht="19.5" thickBot="1">
      <c r="A12" s="6"/>
      <c r="B12" s="6">
        <v>4</v>
      </c>
      <c r="C12" s="6" t="s">
        <v>5213</v>
      </c>
      <c r="D12" s="6" t="s">
        <v>66</v>
      </c>
      <c r="E12" s="6">
        <v>69</v>
      </c>
      <c r="F12" s="7" t="s">
        <v>67</v>
      </c>
      <c r="G12" s="6"/>
      <c r="H12" s="8"/>
      <c r="I12" s="6"/>
      <c r="J12" s="6"/>
      <c r="K12" s="25" t="s">
        <v>5214</v>
      </c>
      <c r="L12" t="str">
        <f t="shared" si="0"/>
        <v>VARCHAR(69),</v>
      </c>
      <c r="N12" s="38" t="str">
        <f t="shared" si="1"/>
        <v>COMMENT ON COLUMN summit_approval_basic.date_and_time_of_proposal IS '起案日時';</v>
      </c>
      <c r="R12" s="34" t="s">
        <v>5215</v>
      </c>
    </row>
    <row r="13" spans="1:18" ht="19.5" thickBot="1">
      <c r="A13" s="3"/>
      <c r="B13" s="3">
        <v>5</v>
      </c>
      <c r="C13" s="3" t="s">
        <v>6175</v>
      </c>
      <c r="D13" s="3" t="s">
        <v>66</v>
      </c>
      <c r="E13" s="3">
        <v>69</v>
      </c>
      <c r="F13" s="2" t="s">
        <v>67</v>
      </c>
      <c r="G13" s="3"/>
      <c r="H13" s="5"/>
      <c r="I13" s="3"/>
      <c r="J13" s="3"/>
      <c r="K13" s="25" t="s">
        <v>6176</v>
      </c>
      <c r="L13" t="str">
        <f t="shared" si="0"/>
        <v>VARCHAR(69),</v>
      </c>
      <c r="N13" s="38" t="str">
        <f t="shared" si="1"/>
        <v>COMMENT ON COLUMN summit_approval_basic.date_and_time_of_application IS '申請日時';</v>
      </c>
      <c r="R13" s="34" t="s">
        <v>6177</v>
      </c>
    </row>
    <row r="14" spans="1:18" ht="19.5" thickBot="1">
      <c r="A14" s="6"/>
      <c r="B14" s="6">
        <v>6</v>
      </c>
      <c r="C14" s="6" t="s">
        <v>5216</v>
      </c>
      <c r="D14" s="6" t="s">
        <v>66</v>
      </c>
      <c r="E14" s="6">
        <v>69</v>
      </c>
      <c r="F14" s="7" t="s">
        <v>67</v>
      </c>
      <c r="G14" s="6"/>
      <c r="H14" s="8"/>
      <c r="I14" s="6"/>
      <c r="J14" s="6"/>
      <c r="K14" s="25" t="s">
        <v>5217</v>
      </c>
      <c r="L14" t="str">
        <f t="shared" si="0"/>
        <v>VARCHAR(69),</v>
      </c>
      <c r="N14" s="38" t="str">
        <f t="shared" si="1"/>
        <v>COMMENT ON COLUMN summit_approval_basic.date_and_time_of_final_processing IS '最終処理日時';</v>
      </c>
      <c r="R14" s="34" t="s">
        <v>5218</v>
      </c>
    </row>
    <row r="15" spans="1:18" ht="19.5" thickBot="1">
      <c r="A15" s="3"/>
      <c r="B15" s="3">
        <v>7</v>
      </c>
      <c r="C15" s="3" t="s">
        <v>5219</v>
      </c>
      <c r="D15" s="3" t="s">
        <v>66</v>
      </c>
      <c r="E15" s="3">
        <v>69</v>
      </c>
      <c r="F15" s="2" t="s">
        <v>67</v>
      </c>
      <c r="G15" s="3"/>
      <c r="H15" s="5"/>
      <c r="I15" s="3"/>
      <c r="J15" s="3"/>
      <c r="K15" s="25" t="s">
        <v>6178</v>
      </c>
      <c r="L15" t="str">
        <f t="shared" si="0"/>
        <v>VARCHAR(69),</v>
      </c>
      <c r="N15" s="38" t="str">
        <f t="shared" si="1"/>
        <v>COMMENT ON COLUMN summit_approval_basic.approval_date IS '決裁日';</v>
      </c>
      <c r="R15" s="34" t="s">
        <v>5220</v>
      </c>
    </row>
    <row r="16" spans="1:18" ht="19.5" thickBot="1">
      <c r="A16" s="6"/>
      <c r="B16" s="6">
        <v>8</v>
      </c>
      <c r="C16" s="6" t="s">
        <v>5221</v>
      </c>
      <c r="D16" s="6" t="s">
        <v>66</v>
      </c>
      <c r="E16" s="6">
        <v>2304</v>
      </c>
      <c r="F16" s="7" t="s">
        <v>67</v>
      </c>
      <c r="G16" s="6"/>
      <c r="H16" s="8"/>
      <c r="I16" s="6"/>
      <c r="J16" s="6"/>
      <c r="K16" s="25" t="s">
        <v>5222</v>
      </c>
      <c r="L16" t="str">
        <f t="shared" si="0"/>
        <v>VARCHAR(2304),</v>
      </c>
      <c r="N16" s="38" t="str">
        <f t="shared" si="1"/>
        <v>COMMENT ON COLUMN summit_approval_basic.approval_type IS '決裁種別';</v>
      </c>
      <c r="R16" s="34" t="s">
        <v>5223</v>
      </c>
    </row>
    <row r="17" spans="1:18" ht="19.5" thickBot="1">
      <c r="A17" s="3"/>
      <c r="B17" s="3">
        <v>9</v>
      </c>
      <c r="C17" s="3" t="s">
        <v>5224</v>
      </c>
      <c r="D17" s="3" t="s">
        <v>66</v>
      </c>
      <c r="E17" s="3">
        <v>2304</v>
      </c>
      <c r="F17" s="2" t="s">
        <v>67</v>
      </c>
      <c r="G17" s="3"/>
      <c r="H17" s="5"/>
      <c r="I17" s="3"/>
      <c r="J17" s="3"/>
      <c r="K17" s="25" t="s">
        <v>5225</v>
      </c>
      <c r="L17" t="str">
        <f t="shared" si="0"/>
        <v>VARCHAR(2304),</v>
      </c>
      <c r="N17" s="38" t="str">
        <f t="shared" si="1"/>
        <v>COMMENT ON COLUMN summit_approval_basic.business_category IS '事業区分';</v>
      </c>
      <c r="R17" s="34" t="s">
        <v>5226</v>
      </c>
    </row>
    <row r="18" spans="1:18" ht="19.5" thickBot="1">
      <c r="A18" s="6"/>
      <c r="B18" s="6">
        <v>10</v>
      </c>
      <c r="C18" s="6" t="s">
        <v>5227</v>
      </c>
      <c r="D18" s="6" t="s">
        <v>66</v>
      </c>
      <c r="E18" s="6">
        <v>2304</v>
      </c>
      <c r="F18" s="7" t="s">
        <v>67</v>
      </c>
      <c r="G18" s="6"/>
      <c r="H18" s="8"/>
      <c r="I18" s="6"/>
      <c r="J18" s="6"/>
      <c r="K18" s="25" t="s">
        <v>5326</v>
      </c>
      <c r="L18" t="str">
        <f t="shared" si="0"/>
        <v>VARCHAR(2304),</v>
      </c>
      <c r="N18" s="38" t="str">
        <f t="shared" si="1"/>
        <v>COMMENT ON COLUMN summit_approval_basic.approval_content IS '決裁内容';</v>
      </c>
      <c r="R18" s="34" t="s">
        <v>6133</v>
      </c>
    </row>
    <row r="19" spans="1:18" ht="19.5" thickBot="1">
      <c r="A19" s="3"/>
      <c r="B19" s="3">
        <v>11</v>
      </c>
      <c r="C19" s="3" t="s">
        <v>5230</v>
      </c>
      <c r="D19" s="3" t="s">
        <v>66</v>
      </c>
      <c r="E19" s="3">
        <v>768</v>
      </c>
      <c r="F19" s="2" t="s">
        <v>67</v>
      </c>
      <c r="G19" s="3"/>
      <c r="H19" s="5"/>
      <c r="I19" s="3"/>
      <c r="J19" s="3"/>
      <c r="K19" s="25" t="s">
        <v>5231</v>
      </c>
      <c r="L19" t="str">
        <f t="shared" si="0"/>
        <v>VARCHAR(768),</v>
      </c>
      <c r="N19" s="38" t="str">
        <f t="shared" si="1"/>
        <v>COMMENT ON COLUMN summit_approval_basic.approval_subject IS '決裁件名';</v>
      </c>
      <c r="R19" s="34" t="s">
        <v>5232</v>
      </c>
    </row>
    <row r="20" spans="1:18" ht="19.5" thickBot="1">
      <c r="A20" s="6"/>
      <c r="B20" s="6">
        <v>12</v>
      </c>
      <c r="C20" s="6" t="s">
        <v>6179</v>
      </c>
      <c r="D20" s="6" t="s">
        <v>66</v>
      </c>
      <c r="E20" s="6">
        <v>768</v>
      </c>
      <c r="F20" s="7" t="s">
        <v>67</v>
      </c>
      <c r="G20" s="6"/>
      <c r="H20" s="8"/>
      <c r="I20" s="6"/>
      <c r="J20" s="6"/>
      <c r="K20" s="25" t="s">
        <v>6180</v>
      </c>
      <c r="L20" t="str">
        <f t="shared" si="0"/>
        <v>VARCHAR(768),</v>
      </c>
      <c r="N20" s="38" t="str">
        <f t="shared" si="1"/>
        <v>COMMENT ON COLUMN summit_approval_basic.name_of_proposer IS '起案者名';</v>
      </c>
      <c r="R20" s="34" t="s">
        <v>6181</v>
      </c>
    </row>
    <row r="21" spans="1:18" ht="19.5" thickBot="1">
      <c r="A21" s="3"/>
      <c r="B21" s="3">
        <v>13</v>
      </c>
      <c r="C21" s="3" t="s">
        <v>6182</v>
      </c>
      <c r="D21" s="3" t="s">
        <v>66</v>
      </c>
      <c r="E21" s="3">
        <v>768</v>
      </c>
      <c r="F21" s="2" t="s">
        <v>67</v>
      </c>
      <c r="G21" s="3"/>
      <c r="H21" s="5"/>
      <c r="I21" s="3"/>
      <c r="J21" s="3"/>
      <c r="K21" s="25" t="s">
        <v>6183</v>
      </c>
      <c r="L21" t="str">
        <f t="shared" si="0"/>
        <v>VARCHAR(768),</v>
      </c>
      <c r="N21" s="38" t="str">
        <f t="shared" si="1"/>
        <v>COMMENT ON COLUMN summit_approval_basic.name_of_proposer_department IS '起案者_所属部署';</v>
      </c>
      <c r="R21" s="34" t="s">
        <v>6184</v>
      </c>
    </row>
    <row r="22" spans="1:18" ht="19.5" thickBot="1">
      <c r="A22" s="6"/>
      <c r="B22" s="6">
        <v>14</v>
      </c>
      <c r="C22" s="6" t="s">
        <v>6185</v>
      </c>
      <c r="D22" s="6" t="s">
        <v>66</v>
      </c>
      <c r="E22" s="6">
        <v>900</v>
      </c>
      <c r="F22" s="7" t="s">
        <v>67</v>
      </c>
      <c r="G22" s="6"/>
      <c r="H22" s="8"/>
      <c r="I22" s="6"/>
      <c r="J22" s="6"/>
      <c r="K22" s="25" t="s">
        <v>6186</v>
      </c>
      <c r="L22" t="str">
        <f t="shared" si="0"/>
        <v>VARCHAR(900),</v>
      </c>
      <c r="N22" s="38" t="str">
        <f t="shared" si="1"/>
        <v>COMMENT ON COLUMN summit_approval_basic.name_of_proposer_phone_number IS '起案者_電話番号';</v>
      </c>
      <c r="R22" s="34" t="s">
        <v>6187</v>
      </c>
    </row>
    <row r="23" spans="1:18" ht="19.5" thickBot="1">
      <c r="A23" s="3"/>
      <c r="B23" s="3">
        <v>15</v>
      </c>
      <c r="C23" s="3" t="s">
        <v>2398</v>
      </c>
      <c r="D23" s="3" t="s">
        <v>66</v>
      </c>
      <c r="E23" s="3">
        <v>768</v>
      </c>
      <c r="F23" s="2" t="s">
        <v>67</v>
      </c>
      <c r="G23" s="3"/>
      <c r="H23" s="5"/>
      <c r="I23" s="3"/>
      <c r="J23" s="3"/>
      <c r="K23" s="25" t="s">
        <v>4205</v>
      </c>
      <c r="L23" t="str">
        <f t="shared" si="0"/>
        <v>VARCHAR(768),</v>
      </c>
      <c r="N23" s="38" t="str">
        <f t="shared" si="1"/>
        <v>COMMENT ON COLUMN summit_approval_basic.name_of_person_in_charge IS '担当者名';</v>
      </c>
      <c r="R23" s="34" t="s">
        <v>6188</v>
      </c>
    </row>
    <row r="24" spans="1:18" ht="19.5" thickBot="1">
      <c r="A24" s="6"/>
      <c r="B24" s="6">
        <v>16</v>
      </c>
      <c r="C24" s="6" t="s">
        <v>6189</v>
      </c>
      <c r="D24" s="6" t="s">
        <v>66</v>
      </c>
      <c r="E24" s="6">
        <v>768</v>
      </c>
      <c r="F24" s="7" t="s">
        <v>67</v>
      </c>
      <c r="G24" s="6"/>
      <c r="H24" s="8"/>
      <c r="I24" s="6"/>
      <c r="J24" s="6"/>
      <c r="K24" s="25" t="s">
        <v>6190</v>
      </c>
      <c r="L24" t="str">
        <f t="shared" si="0"/>
        <v>VARCHAR(768),</v>
      </c>
      <c r="N24" s="38" t="str">
        <f t="shared" si="1"/>
        <v>COMMENT ON COLUMN summit_approval_basic.name_of_person_in_charge_department IS '担当者_所属部署';</v>
      </c>
      <c r="R24" s="34" t="s">
        <v>6191</v>
      </c>
    </row>
    <row r="25" spans="1:18" ht="19.5" thickBot="1">
      <c r="A25" s="3"/>
      <c r="B25" s="3">
        <v>17</v>
      </c>
      <c r="C25" s="3" t="s">
        <v>6192</v>
      </c>
      <c r="D25" s="3" t="s">
        <v>66</v>
      </c>
      <c r="E25" s="3">
        <v>768</v>
      </c>
      <c r="F25" s="2" t="s">
        <v>67</v>
      </c>
      <c r="G25" s="3"/>
      <c r="H25" s="5"/>
      <c r="I25" s="3"/>
      <c r="J25" s="3"/>
      <c r="K25" s="25" t="s">
        <v>6193</v>
      </c>
      <c r="L25" t="str">
        <f t="shared" si="0"/>
        <v>VARCHAR(768),</v>
      </c>
      <c r="N25" s="38" t="str">
        <f t="shared" si="1"/>
        <v>COMMENT ON COLUMN summit_approval_basic.phone_number_of_person_in_charge IS '担当者_電話番号';</v>
      </c>
      <c r="R25" s="34" t="s">
        <v>6194</v>
      </c>
    </row>
    <row r="26" spans="1:18" ht="19.5" thickBot="1">
      <c r="A26" s="6"/>
      <c r="B26" s="6">
        <v>18</v>
      </c>
      <c r="C26" s="6" t="s">
        <v>2299</v>
      </c>
      <c r="D26" s="6" t="s">
        <v>66</v>
      </c>
      <c r="E26" s="6">
        <v>768</v>
      </c>
      <c r="F26" s="7" t="s">
        <v>67</v>
      </c>
      <c r="G26" s="6"/>
      <c r="H26" s="8"/>
      <c r="I26" s="6"/>
      <c r="J26" s="6"/>
      <c r="K26" s="25" t="s">
        <v>2300</v>
      </c>
      <c r="L26" t="str">
        <f t="shared" si="0"/>
        <v>VARCHAR(768),</v>
      </c>
      <c r="N26" s="38" t="str">
        <f t="shared" si="1"/>
        <v>COMMENT ON COLUMN summit_approval_basic.company_name IS '企業名';</v>
      </c>
      <c r="R26" s="34" t="s">
        <v>6195</v>
      </c>
    </row>
    <row r="27" spans="1:18" ht="19.5" thickBot="1">
      <c r="A27" s="3"/>
      <c r="B27" s="3">
        <v>19</v>
      </c>
      <c r="C27" s="3" t="s">
        <v>5</v>
      </c>
      <c r="D27" s="3" t="s">
        <v>66</v>
      </c>
      <c r="E27" s="3">
        <v>18</v>
      </c>
      <c r="F27" s="2" t="s">
        <v>67</v>
      </c>
      <c r="G27" s="3"/>
      <c r="H27" s="5"/>
      <c r="I27" s="3"/>
      <c r="J27" s="3"/>
      <c r="K27" s="25" t="s">
        <v>6196</v>
      </c>
      <c r="L27" t="str">
        <f t="shared" si="0"/>
        <v>VARCHAR(18),</v>
      </c>
      <c r="N27" s="38" t="str">
        <f t="shared" si="1"/>
        <v>COMMENT ON COLUMN summit_approval_basic.uniform_company_code IS '統一企業コード';</v>
      </c>
      <c r="R27" s="34" t="s">
        <v>6197</v>
      </c>
    </row>
    <row r="28" spans="1:18" ht="19.5" thickBot="1">
      <c r="A28" s="6"/>
      <c r="B28" s="6">
        <v>20</v>
      </c>
      <c r="C28" s="6" t="s">
        <v>6198</v>
      </c>
      <c r="D28" s="6" t="s">
        <v>66</v>
      </c>
      <c r="E28" s="6">
        <v>768</v>
      </c>
      <c r="F28" s="7" t="s">
        <v>67</v>
      </c>
      <c r="G28" s="6"/>
      <c r="H28" s="8"/>
      <c r="I28" s="6"/>
      <c r="J28" s="6"/>
      <c r="K28" s="25" t="s">
        <v>6199</v>
      </c>
      <c r="L28" t="str">
        <f t="shared" si="0"/>
        <v>VARCHAR(768),</v>
      </c>
      <c r="N28" s="38" t="str">
        <f t="shared" si="1"/>
        <v>COMMENT ON COLUMN summit_approval_basic.head_office_address IS '本社住所';</v>
      </c>
      <c r="R28" s="34" t="s">
        <v>6200</v>
      </c>
    </row>
    <row r="29" spans="1:18" ht="19.5" thickBot="1">
      <c r="A29" s="3"/>
      <c r="B29" s="3">
        <v>21</v>
      </c>
      <c r="C29" s="3" t="s">
        <v>6201</v>
      </c>
      <c r="D29" s="3" t="s">
        <v>66</v>
      </c>
      <c r="E29" s="3">
        <v>768</v>
      </c>
      <c r="F29" s="2" t="s">
        <v>67</v>
      </c>
      <c r="G29" s="3"/>
      <c r="H29" s="5"/>
      <c r="I29" s="3"/>
      <c r="J29" s="3"/>
      <c r="K29" s="25" t="s">
        <v>6202</v>
      </c>
      <c r="L29" t="str">
        <f t="shared" si="0"/>
        <v>VARCHAR(768),</v>
      </c>
      <c r="N29" s="38" t="str">
        <f t="shared" si="1"/>
        <v>COMMENT ON COLUMN summit_approval_basic.tsr_rating IS 'tsr評点';</v>
      </c>
      <c r="R29" s="34" t="s">
        <v>6203</v>
      </c>
    </row>
    <row r="30" spans="1:18" ht="19.5" thickBot="1">
      <c r="A30" s="6"/>
      <c r="B30" s="6">
        <v>22</v>
      </c>
      <c r="C30" s="6" t="s">
        <v>2294</v>
      </c>
      <c r="D30" s="6" t="s">
        <v>66</v>
      </c>
      <c r="E30" s="6">
        <v>768</v>
      </c>
      <c r="F30" s="7" t="s">
        <v>67</v>
      </c>
      <c r="G30" s="6"/>
      <c r="H30" s="8"/>
      <c r="I30" s="6"/>
      <c r="J30" s="6"/>
      <c r="K30" s="25" t="s">
        <v>6204</v>
      </c>
      <c r="L30" t="str">
        <f t="shared" si="0"/>
        <v>VARCHAR(768),</v>
      </c>
      <c r="N30" s="38" t="str">
        <f t="shared" si="1"/>
        <v>COMMENT ON COLUMN summit_approval_basic.sfa_case_name IS 'sfa案件名';</v>
      </c>
      <c r="R30" s="34" t="s">
        <v>6205</v>
      </c>
    </row>
    <row r="31" spans="1:18" ht="19.5" thickBot="1">
      <c r="A31" s="3"/>
      <c r="B31" s="3">
        <v>23</v>
      </c>
      <c r="C31" s="3" t="s">
        <v>6206</v>
      </c>
      <c r="D31" s="3" t="s">
        <v>66</v>
      </c>
      <c r="E31" s="3">
        <v>33</v>
      </c>
      <c r="F31" s="2" t="s">
        <v>67</v>
      </c>
      <c r="G31" s="3"/>
      <c r="H31" s="5"/>
      <c r="I31" s="3"/>
      <c r="J31" s="3"/>
      <c r="K31" s="25" t="s">
        <v>6207</v>
      </c>
      <c r="L31" t="str">
        <f t="shared" si="0"/>
        <v>VARCHAR(33),</v>
      </c>
      <c r="N31" s="38" t="str">
        <f t="shared" si="1"/>
        <v>COMMENT ON COLUMN summit_approval_basic.sfa_case_id IS 'sfa案件id';</v>
      </c>
      <c r="R31" s="34" t="s">
        <v>6208</v>
      </c>
    </row>
    <row r="32" spans="1:18" ht="19.5" thickBot="1">
      <c r="A32" s="6"/>
      <c r="B32" s="6">
        <v>24</v>
      </c>
      <c r="C32" s="6" t="s">
        <v>6209</v>
      </c>
      <c r="D32" s="6" t="s">
        <v>66</v>
      </c>
      <c r="E32" s="6">
        <v>768</v>
      </c>
      <c r="F32" s="7" t="s">
        <v>67</v>
      </c>
      <c r="G32" s="6" t="s">
        <v>6209</v>
      </c>
      <c r="H32" s="8"/>
      <c r="I32" s="6"/>
      <c r="J32" s="6"/>
      <c r="K32" s="25" t="s">
        <v>6210</v>
      </c>
      <c r="L32" t="str">
        <f t="shared" si="0"/>
        <v>VARCHAR(768),</v>
      </c>
      <c r="N32" s="38" t="str">
        <f t="shared" si="1"/>
        <v>COMMENT ON COLUMN summit_approval_basic.recovery_case IS 'リカバリー対応案件';</v>
      </c>
      <c r="R32" s="34" t="s">
        <v>6211</v>
      </c>
    </row>
    <row r="33" spans="1:18" ht="19.5" thickBot="1">
      <c r="A33" s="3"/>
      <c r="B33" s="3">
        <v>25</v>
      </c>
      <c r="C33" s="3" t="s">
        <v>6212</v>
      </c>
      <c r="D33" s="3" t="s">
        <v>66</v>
      </c>
      <c r="E33" s="3">
        <v>450</v>
      </c>
      <c r="F33" s="2" t="s">
        <v>67</v>
      </c>
      <c r="G33" s="3" t="s">
        <v>6213</v>
      </c>
      <c r="H33" s="5"/>
      <c r="I33" s="3"/>
      <c r="J33" s="3"/>
      <c r="K33" s="25" t="s">
        <v>6214</v>
      </c>
      <c r="L33" t="str">
        <f t="shared" si="0"/>
        <v>VARCHAR(450),</v>
      </c>
      <c r="N33" s="38" t="str">
        <f t="shared" si="1"/>
        <v>COMMENT ON COLUMN summit_approval_basic.approval_validity_period_months IS '決裁書有効期間_ヶ月';</v>
      </c>
      <c r="R33" s="34" t="s">
        <v>6215</v>
      </c>
    </row>
    <row r="34" spans="1:18" ht="19.5" thickBot="1">
      <c r="A34" s="6"/>
      <c r="B34" s="6">
        <v>26</v>
      </c>
      <c r="C34" s="6" t="s">
        <v>6216</v>
      </c>
      <c r="D34" s="6" t="s">
        <v>66</v>
      </c>
      <c r="E34" s="6">
        <v>450</v>
      </c>
      <c r="F34" s="7" t="s">
        <v>67</v>
      </c>
      <c r="G34" s="6" t="s">
        <v>6217</v>
      </c>
      <c r="H34" s="8"/>
      <c r="I34" s="6"/>
      <c r="J34" s="6"/>
      <c r="K34" s="25" t="s">
        <v>6218</v>
      </c>
      <c r="L34" t="str">
        <f t="shared" si="0"/>
        <v>VARCHAR(450),</v>
      </c>
      <c r="N34" s="38" t="str">
        <f t="shared" si="1"/>
        <v>COMMENT ON COLUMN summit_approval_basic.approval_validity_period_from IS '決裁書有効期間_from';</v>
      </c>
      <c r="R34" s="34" t="s">
        <v>6219</v>
      </c>
    </row>
    <row r="35" spans="1:18" ht="19.5" thickBot="1">
      <c r="A35" s="3"/>
      <c r="B35" s="3">
        <v>27</v>
      </c>
      <c r="C35" s="3" t="s">
        <v>6220</v>
      </c>
      <c r="D35" s="3" t="s">
        <v>66</v>
      </c>
      <c r="E35" s="3">
        <v>450</v>
      </c>
      <c r="F35" s="2" t="s">
        <v>67</v>
      </c>
      <c r="G35" s="3" t="s">
        <v>6221</v>
      </c>
      <c r="H35" s="5"/>
      <c r="I35" s="3"/>
      <c r="J35" s="3"/>
      <c r="K35" s="25" t="s">
        <v>6222</v>
      </c>
      <c r="L35" t="str">
        <f t="shared" si="0"/>
        <v>VARCHAR(450),</v>
      </c>
      <c r="N35" s="38" t="str">
        <f t="shared" si="1"/>
        <v>COMMENT ON COLUMN summit_approval_basic.approval_validity_period_to IS '決裁書有効期間_to';</v>
      </c>
      <c r="R35" s="34" t="s">
        <v>6223</v>
      </c>
    </row>
    <row r="36" spans="1:18" ht="19.5" thickBot="1">
      <c r="A36" s="6"/>
      <c r="B36" s="6">
        <v>28</v>
      </c>
      <c r="C36" s="6" t="s">
        <v>6224</v>
      </c>
      <c r="D36" s="6" t="s">
        <v>66</v>
      </c>
      <c r="E36" s="6">
        <v>768</v>
      </c>
      <c r="F36" s="7" t="s">
        <v>67</v>
      </c>
      <c r="G36" s="6" t="s">
        <v>6224</v>
      </c>
      <c r="H36" s="8"/>
      <c r="I36" s="6"/>
      <c r="J36" s="6"/>
      <c r="K36" s="25" t="s">
        <v>6225</v>
      </c>
      <c r="L36" t="str">
        <f t="shared" si="0"/>
        <v>VARCHAR(768),</v>
      </c>
      <c r="N36" s="38" t="str">
        <f t="shared" si="1"/>
        <v>COMMENT ON COLUMN summit_approval_basic.data_application_form IS 'データ系申込書';</v>
      </c>
      <c r="R36" s="34" t="s">
        <v>6226</v>
      </c>
    </row>
    <row r="37" spans="1:18" ht="19.5" thickBot="1">
      <c r="A37" s="3"/>
      <c r="B37" s="3">
        <v>29</v>
      </c>
      <c r="C37" s="3" t="s">
        <v>6227</v>
      </c>
      <c r="D37" s="3" t="s">
        <v>66</v>
      </c>
      <c r="E37" s="3">
        <v>450</v>
      </c>
      <c r="F37" s="2" t="s">
        <v>67</v>
      </c>
      <c r="G37" s="3"/>
      <c r="H37" s="5"/>
      <c r="I37" s="3"/>
      <c r="J37" s="3"/>
      <c r="K37" s="25" t="s">
        <v>6228</v>
      </c>
      <c r="L37" t="str">
        <f t="shared" si="0"/>
        <v>VARCHAR(450),</v>
      </c>
      <c r="N37" s="38" t="str">
        <f t="shared" si="1"/>
        <v>COMMENT ON COLUMN summit_approval_basic.credit_alert IS '与信アラート';</v>
      </c>
      <c r="R37" s="34" t="s">
        <v>6229</v>
      </c>
    </row>
    <row r="38" spans="1:18" ht="19.5" thickBot="1">
      <c r="A38" s="6"/>
      <c r="B38" s="6">
        <v>30</v>
      </c>
      <c r="C38" s="6" t="s">
        <v>6230</v>
      </c>
      <c r="D38" s="6" t="s">
        <v>66</v>
      </c>
      <c r="E38" s="6">
        <v>450</v>
      </c>
      <c r="F38" s="7" t="s">
        <v>67</v>
      </c>
      <c r="G38" s="6"/>
      <c r="H38" s="8"/>
      <c r="I38" s="6"/>
      <c r="J38" s="6"/>
      <c r="K38" s="25" t="s">
        <v>6231</v>
      </c>
      <c r="L38" t="str">
        <f t="shared" si="0"/>
        <v>VARCHAR(450),</v>
      </c>
      <c r="N38" s="38" t="str">
        <f t="shared" si="1"/>
        <v>COMMENT ON COLUMN summit_approval_basic.sales_channel IS '販路';</v>
      </c>
      <c r="R38" s="34" t="s">
        <v>6232</v>
      </c>
    </row>
    <row r="39" spans="1:18" ht="19.5" thickBot="1">
      <c r="A39" s="3"/>
      <c r="B39" s="3">
        <v>31</v>
      </c>
      <c r="C39" s="3" t="s">
        <v>6233</v>
      </c>
      <c r="D39" s="3" t="s">
        <v>66</v>
      </c>
      <c r="E39" s="3">
        <v>450</v>
      </c>
      <c r="F39" s="2" t="s">
        <v>67</v>
      </c>
      <c r="G39" s="3"/>
      <c r="H39" s="5"/>
      <c r="I39" s="3"/>
      <c r="J39" s="3"/>
      <c r="K39" s="25" t="s">
        <v>6234</v>
      </c>
      <c r="L39" t="str">
        <f t="shared" si="0"/>
        <v>VARCHAR(450),</v>
      </c>
      <c r="N39" s="38" t="str">
        <f t="shared" si="1"/>
        <v>COMMENT ON COLUMN summit_approval_basic.legal_personal_classification IS '法個人区分';</v>
      </c>
      <c r="R39" s="34" t="s">
        <v>6235</v>
      </c>
    </row>
    <row r="40" spans="1:18" ht="19.5" thickBot="1">
      <c r="A40" s="6"/>
      <c r="B40" s="6">
        <v>32</v>
      </c>
      <c r="C40" s="6" t="s">
        <v>6236</v>
      </c>
      <c r="D40" s="6" t="s">
        <v>66</v>
      </c>
      <c r="E40" s="6">
        <v>450</v>
      </c>
      <c r="F40" s="7" t="s">
        <v>67</v>
      </c>
      <c r="G40" s="6"/>
      <c r="H40" s="8"/>
      <c r="I40" s="6"/>
      <c r="J40" s="6"/>
      <c r="K40" s="25" t="s">
        <v>6237</v>
      </c>
      <c r="L40" t="str">
        <f t="shared" si="0"/>
        <v>VARCHAR(450),</v>
      </c>
      <c r="N40" s="38" t="str">
        <f t="shared" si="1"/>
        <v>COMMENT ON COLUMN summit_approval_basic.billing_form IS '請求形態';</v>
      </c>
      <c r="R40" s="34" t="s">
        <v>6238</v>
      </c>
    </row>
    <row r="41" spans="1:18" ht="19.5" thickBot="1">
      <c r="A41" s="3"/>
      <c r="B41" s="3">
        <v>33</v>
      </c>
      <c r="C41" s="3" t="s">
        <v>6239</v>
      </c>
      <c r="D41" s="3" t="s">
        <v>66</v>
      </c>
      <c r="E41" s="3">
        <v>450</v>
      </c>
      <c r="F41" s="2" t="s">
        <v>67</v>
      </c>
      <c r="G41" s="3"/>
      <c r="H41" s="5"/>
      <c r="I41" s="3"/>
      <c r="J41" s="3"/>
      <c r="K41" s="25" t="s">
        <v>6240</v>
      </c>
      <c r="L41" t="str">
        <f t="shared" si="0"/>
        <v>VARCHAR(450),</v>
      </c>
      <c r="N41" s="38" t="str">
        <f t="shared" si="1"/>
        <v>COMMENT ON COLUMN summit_approval_basic.whether_credit_review_has_been_conducted IS '与信審査実施有無';</v>
      </c>
      <c r="R41" s="34" t="s">
        <v>6241</v>
      </c>
    </row>
    <row r="42" spans="1:18" ht="19.5" thickBot="1">
      <c r="A42" s="6"/>
      <c r="B42" s="6">
        <v>34</v>
      </c>
      <c r="C42" s="6" t="s">
        <v>6242</v>
      </c>
      <c r="D42" s="6" t="s">
        <v>66</v>
      </c>
      <c r="E42" s="6">
        <v>450</v>
      </c>
      <c r="F42" s="7" t="s">
        <v>67</v>
      </c>
      <c r="G42" s="6"/>
      <c r="H42" s="8"/>
      <c r="I42" s="6"/>
      <c r="J42" s="6"/>
      <c r="K42" s="25" t="s">
        <v>6243</v>
      </c>
      <c r="L42" t="str">
        <f t="shared" si="0"/>
        <v>VARCHAR(450),</v>
      </c>
      <c r="N42" s="38" t="str">
        <f t="shared" si="1"/>
        <v>COMMENT ON COLUMN summit_approval_basic.grant_credit_category IS '与信区分';</v>
      </c>
      <c r="R42" s="34" t="s">
        <v>6244</v>
      </c>
    </row>
    <row r="43" spans="1:18" ht="19.5" thickBot="1">
      <c r="A43" s="3"/>
      <c r="B43" s="3">
        <v>35</v>
      </c>
      <c r="C43" s="3" t="s">
        <v>6245</v>
      </c>
      <c r="D43" s="3" t="s">
        <v>66</v>
      </c>
      <c r="E43" s="3">
        <v>768</v>
      </c>
      <c r="F43" s="2" t="s">
        <v>67</v>
      </c>
      <c r="G43" s="3"/>
      <c r="H43" s="5"/>
      <c r="I43" s="3"/>
      <c r="J43" s="3"/>
      <c r="K43" s="25" t="s">
        <v>6246</v>
      </c>
      <c r="L43" t="str">
        <f t="shared" si="0"/>
        <v>VARCHAR(768),</v>
      </c>
      <c r="N43" s="38" t="str">
        <f t="shared" si="1"/>
        <v>COMMENT ON COLUMN summit_approval_basic.credit_number IS '与信番号';</v>
      </c>
      <c r="R43" s="34" t="s">
        <v>6247</v>
      </c>
    </row>
    <row r="44" spans="1:18" ht="19.5" thickBot="1">
      <c r="A44" s="6"/>
      <c r="B44" s="6">
        <v>36</v>
      </c>
      <c r="C44" s="6" t="s">
        <v>6248</v>
      </c>
      <c r="D44" s="6" t="s">
        <v>66</v>
      </c>
      <c r="E44" s="6">
        <v>450</v>
      </c>
      <c r="F44" s="7" t="s">
        <v>67</v>
      </c>
      <c r="G44" s="6"/>
      <c r="H44" s="8"/>
      <c r="I44" s="6"/>
      <c r="J44" s="6"/>
      <c r="K44" s="25" t="s">
        <v>6249</v>
      </c>
      <c r="L44" t="str">
        <f t="shared" si="0"/>
        <v>VARCHAR(450),</v>
      </c>
      <c r="N44" s="38" t="str">
        <f t="shared" si="1"/>
        <v>COMMENT ON COLUMN summit_approval_basic.whether_legal_pre_review_has_been_conducted IS '法務事前審査実施有無';</v>
      </c>
      <c r="R44" s="34" t="s">
        <v>6250</v>
      </c>
    </row>
    <row r="45" spans="1:18" ht="19.5" thickBot="1">
      <c r="A45" s="3"/>
      <c r="B45" s="3">
        <v>37</v>
      </c>
      <c r="C45" s="3" t="s">
        <v>6251</v>
      </c>
      <c r="D45" s="3" t="s">
        <v>66</v>
      </c>
      <c r="E45" s="3">
        <v>768</v>
      </c>
      <c r="F45" s="2" t="s">
        <v>67</v>
      </c>
      <c r="G45" s="3"/>
      <c r="H45" s="5"/>
      <c r="I45" s="3"/>
      <c r="J45" s="3"/>
      <c r="K45" s="25" t="s">
        <v>6252</v>
      </c>
      <c r="L45" t="str">
        <f t="shared" si="0"/>
        <v>VARCHAR(768),</v>
      </c>
      <c r="N45" s="38" t="str">
        <f t="shared" si="1"/>
        <v>COMMENT ON COLUMN summit_approval_basic.legal_review_number IS '法務審査番号';</v>
      </c>
      <c r="R45" s="34" t="s">
        <v>6253</v>
      </c>
    </row>
    <row r="46" spans="1:18" ht="19.5" thickBot="1">
      <c r="A46" s="6"/>
      <c r="B46" s="6">
        <v>38</v>
      </c>
      <c r="C46" s="6" t="s">
        <v>6254</v>
      </c>
      <c r="D46" s="6" t="s">
        <v>66</v>
      </c>
      <c r="E46" s="6">
        <v>450</v>
      </c>
      <c r="F46" s="7" t="s">
        <v>67</v>
      </c>
      <c r="G46" s="6"/>
      <c r="H46" s="8"/>
      <c r="I46" s="6"/>
      <c r="J46" s="6"/>
      <c r="K46" s="25" t="s">
        <v>6255</v>
      </c>
      <c r="L46" t="str">
        <f t="shared" si="0"/>
        <v>VARCHAR(450),</v>
      </c>
      <c r="N46" s="38" t="str">
        <f t="shared" si="1"/>
        <v>COMMENT ON COLUMN summit_approval_basic.re_approval_draft_flag IS '再決裁_起案フラグ';</v>
      </c>
      <c r="R46" s="34" t="s">
        <v>6256</v>
      </c>
    </row>
    <row r="47" spans="1:18" ht="19.5" thickBot="1">
      <c r="A47" s="3"/>
      <c r="B47" s="3">
        <v>39</v>
      </c>
      <c r="C47" s="3" t="s">
        <v>6257</v>
      </c>
      <c r="D47" s="3" t="s">
        <v>66</v>
      </c>
      <c r="E47" s="3">
        <v>2304</v>
      </c>
      <c r="F47" s="2" t="s">
        <v>67</v>
      </c>
      <c r="G47" s="3"/>
      <c r="H47" s="5"/>
      <c r="I47" s="3"/>
      <c r="J47" s="3"/>
      <c r="K47" s="25" t="s">
        <v>6258</v>
      </c>
      <c r="L47" t="str">
        <f t="shared" si="0"/>
        <v>VARCHAR(2304),</v>
      </c>
      <c r="N47" s="38" t="str">
        <f t="shared" si="1"/>
        <v>COMMENT ON COLUMN summit_approval_basic.service_type IS 'サービス種別';</v>
      </c>
      <c r="R47" s="34" t="s">
        <v>6259</v>
      </c>
    </row>
    <row r="48" spans="1:18" ht="19.5" thickBot="1">
      <c r="A48" s="6"/>
      <c r="B48" s="6">
        <v>40</v>
      </c>
      <c r="C48" s="6" t="s">
        <v>6260</v>
      </c>
      <c r="D48" s="6" t="s">
        <v>66</v>
      </c>
      <c r="E48" s="6">
        <v>2304</v>
      </c>
      <c r="F48" s="7" t="s">
        <v>67</v>
      </c>
      <c r="G48" s="6"/>
      <c r="H48" s="8"/>
      <c r="I48" s="6"/>
      <c r="J48" s="6"/>
      <c r="K48" s="25" t="s">
        <v>6261</v>
      </c>
      <c r="L48" t="str">
        <f t="shared" si="0"/>
        <v>VARCHAR(2304),</v>
      </c>
      <c r="N48" s="38" t="str">
        <f t="shared" si="1"/>
        <v>COMMENT ON COLUMN summit_approval_basic.service_type_sub IS 'サービス種別_サブ';</v>
      </c>
      <c r="R48" s="34" t="s">
        <v>6262</v>
      </c>
    </row>
    <row r="49" spans="1:18" ht="19.5" thickBot="1">
      <c r="A49" s="3"/>
      <c r="B49" s="3">
        <v>41</v>
      </c>
      <c r="C49" s="3" t="s">
        <v>6263</v>
      </c>
      <c r="D49" s="3" t="s">
        <v>66</v>
      </c>
      <c r="E49" s="3">
        <v>30</v>
      </c>
      <c r="F49" s="2" t="s">
        <v>67</v>
      </c>
      <c r="G49" s="3"/>
      <c r="H49" s="5"/>
      <c r="I49" s="3"/>
      <c r="J49" s="3"/>
      <c r="K49" s="25" t="s">
        <v>6264</v>
      </c>
      <c r="L49" t="str">
        <f t="shared" si="0"/>
        <v>VARCHAR(30),</v>
      </c>
      <c r="N49" s="38" t="str">
        <f t="shared" si="1"/>
        <v>COMMENT ON COLUMN summit_approval_basic.scheduled_execution_date IS '実行予定日';</v>
      </c>
      <c r="R49" s="34" t="s">
        <v>6265</v>
      </c>
    </row>
    <row r="50" spans="1:18" ht="19.5" thickBot="1">
      <c r="A50" s="6"/>
      <c r="B50" s="6">
        <v>42</v>
      </c>
      <c r="C50" s="6" t="s">
        <v>6266</v>
      </c>
      <c r="D50" s="6" t="s">
        <v>66</v>
      </c>
      <c r="E50" s="6">
        <v>450</v>
      </c>
      <c r="F50" s="7" t="s">
        <v>67</v>
      </c>
      <c r="G50" s="6"/>
      <c r="H50" s="8"/>
      <c r="I50" s="6"/>
      <c r="J50" s="6"/>
      <c r="K50" s="25" t="s">
        <v>6267</v>
      </c>
      <c r="L50" t="str">
        <f t="shared" si="0"/>
        <v>VARCHAR(450),</v>
      </c>
      <c r="N50" s="38" t="str">
        <f t="shared" si="1"/>
        <v>COMMENT ON COLUMN summit_approval_basic.post_approval_flag IS '事後決裁フラグ';</v>
      </c>
      <c r="R50" s="34" t="s">
        <v>6268</v>
      </c>
    </row>
    <row r="51" spans="1:18" ht="19.5" thickBot="1">
      <c r="A51" s="3"/>
      <c r="B51" s="3">
        <v>43</v>
      </c>
      <c r="C51" s="3" t="s">
        <v>6269</v>
      </c>
      <c r="D51" s="3" t="s">
        <v>66</v>
      </c>
      <c r="E51" s="3">
        <v>768</v>
      </c>
      <c r="F51" s="2" t="s">
        <v>67</v>
      </c>
      <c r="G51" s="3"/>
      <c r="H51" s="5"/>
      <c r="I51" s="3"/>
      <c r="J51" s="3"/>
      <c r="K51" s="25" t="s">
        <v>6270</v>
      </c>
      <c r="L51" t="str">
        <f t="shared" si="0"/>
        <v>VARCHAR(768),</v>
      </c>
      <c r="N51" s="38" t="str">
        <f t="shared" si="1"/>
        <v>COMMENT ON COLUMN summit_approval_basic.approver IS '承認者';</v>
      </c>
      <c r="R51" s="34" t="s">
        <v>6271</v>
      </c>
    </row>
    <row r="52" spans="1:18" ht="19.5" thickBot="1">
      <c r="A52" s="6"/>
      <c r="B52" s="6">
        <v>44</v>
      </c>
      <c r="C52" s="6" t="s">
        <v>6272</v>
      </c>
      <c r="D52" s="6" t="s">
        <v>66</v>
      </c>
      <c r="E52" s="6">
        <v>30</v>
      </c>
      <c r="F52" s="7" t="s">
        <v>67</v>
      </c>
      <c r="G52" s="6"/>
      <c r="H52" s="8"/>
      <c r="I52" s="6"/>
      <c r="J52" s="6"/>
      <c r="K52" s="25" t="s">
        <v>6273</v>
      </c>
      <c r="L52" t="str">
        <f t="shared" si="0"/>
        <v>VARCHAR(30),</v>
      </c>
      <c r="N52" s="38" t="str">
        <f t="shared" si="1"/>
        <v>COMMENT ON COLUMN summit_approval_basic.recognition_date IS '承認年月日';</v>
      </c>
      <c r="R52" s="34" t="s">
        <v>6274</v>
      </c>
    </row>
    <row r="53" spans="1:18" ht="19.5" thickBot="1">
      <c r="A53" s="3"/>
      <c r="B53" s="3">
        <v>45</v>
      </c>
      <c r="C53" s="3" t="s">
        <v>6275</v>
      </c>
      <c r="D53" s="3" t="s">
        <v>66</v>
      </c>
      <c r="E53" s="3">
        <v>768</v>
      </c>
      <c r="F53" s="2" t="s">
        <v>67</v>
      </c>
      <c r="G53" s="3"/>
      <c r="H53" s="5"/>
      <c r="I53" s="3"/>
      <c r="J53" s="3"/>
      <c r="K53" s="25" t="s">
        <v>6276</v>
      </c>
      <c r="L53" t="str">
        <f t="shared" si="0"/>
        <v>VARCHAR(768),</v>
      </c>
      <c r="N53" s="38" t="str">
        <f t="shared" si="1"/>
        <v>COMMENT ON COLUMN summit_approval_basic.name_of_approved_person IS '承認を受けた者の氏名';</v>
      </c>
      <c r="R53" s="34" t="s">
        <v>6277</v>
      </c>
    </row>
    <row r="54" spans="1:18" ht="19.5" thickBot="1">
      <c r="A54" s="6"/>
      <c r="B54" s="6">
        <v>46</v>
      </c>
      <c r="C54" s="6" t="s">
        <v>6278</v>
      </c>
      <c r="D54" s="6" t="s">
        <v>66</v>
      </c>
      <c r="E54" s="6">
        <v>12000</v>
      </c>
      <c r="F54" s="7" t="s">
        <v>67</v>
      </c>
      <c r="G54" s="6"/>
      <c r="H54" s="8"/>
      <c r="I54" s="6"/>
      <c r="J54" s="6"/>
      <c r="K54" s="25" t="s">
        <v>5228</v>
      </c>
      <c r="L54" t="str">
        <f t="shared" si="0"/>
        <v>VARCHAR(12000),</v>
      </c>
      <c r="N54" s="38" t="str">
        <f t="shared" si="1"/>
        <v>COMMENT ON COLUMN summit_approval_basic.approval_details IS '承認を受けた内容';</v>
      </c>
      <c r="R54" s="34" t="s">
        <v>6279</v>
      </c>
    </row>
    <row r="55" spans="1:18" ht="19.5" thickBot="1">
      <c r="A55" s="3"/>
      <c r="B55" s="3">
        <v>47</v>
      </c>
      <c r="C55" s="3" t="s">
        <v>6280</v>
      </c>
      <c r="D55" s="3" t="s">
        <v>66</v>
      </c>
      <c r="E55" s="3">
        <v>12000</v>
      </c>
      <c r="F55" s="2" t="s">
        <v>67</v>
      </c>
      <c r="G55" s="3"/>
      <c r="H55" s="5"/>
      <c r="I55" s="3"/>
      <c r="J55" s="3"/>
      <c r="K55" s="25" t="s">
        <v>6281</v>
      </c>
      <c r="L55" t="str">
        <f t="shared" si="0"/>
        <v>VARCHAR(12000),</v>
      </c>
      <c r="N55" s="38" t="str">
        <f t="shared" si="1"/>
        <v>COMMENT ON COLUMN summit_approval_basic.reason_for_post_approval IS '事後決裁となった理由';</v>
      </c>
      <c r="R55" s="34" t="s">
        <v>6282</v>
      </c>
    </row>
    <row r="56" spans="1:18" ht="19.5" thickBot="1">
      <c r="A56" s="6"/>
      <c r="B56" s="6">
        <v>48</v>
      </c>
      <c r="C56" s="6" t="s">
        <v>6283</v>
      </c>
      <c r="D56" s="6" t="s">
        <v>66</v>
      </c>
      <c r="E56" s="6">
        <v>768</v>
      </c>
      <c r="F56" s="7" t="s">
        <v>67</v>
      </c>
      <c r="G56" s="6"/>
      <c r="H56" s="8"/>
      <c r="I56" s="6"/>
      <c r="J56" s="6"/>
      <c r="K56" s="25" t="s">
        <v>6284</v>
      </c>
      <c r="L56" t="str">
        <f t="shared" si="0"/>
        <v>VARCHAR(768),</v>
      </c>
      <c r="N56" s="38" t="str">
        <f t="shared" si="1"/>
        <v>COMMENT ON COLUMN summit_approval_basic.springs_approval_number IS 'springs決裁番号';</v>
      </c>
      <c r="R56" s="34" t="s">
        <v>6285</v>
      </c>
    </row>
    <row r="57" spans="1:18" ht="19.5" thickBot="1">
      <c r="A57" s="3"/>
      <c r="B57" s="3">
        <v>49</v>
      </c>
      <c r="C57" s="3" t="s">
        <v>6286</v>
      </c>
      <c r="D57" s="3" t="s">
        <v>66</v>
      </c>
      <c r="E57" s="3">
        <v>768</v>
      </c>
      <c r="F57" s="2" t="s">
        <v>67</v>
      </c>
      <c r="G57" s="3"/>
      <c r="H57" s="5"/>
      <c r="I57" s="3"/>
      <c r="J57" s="3"/>
      <c r="K57" s="25" t="s">
        <v>6287</v>
      </c>
      <c r="L57" t="str">
        <f t="shared" si="0"/>
        <v>VARCHAR(768),</v>
      </c>
      <c r="N57" s="38" t="str">
        <f t="shared" si="1"/>
        <v>COMMENT ON COLUMN summit_approval_basic.mobile_consultation_number IS 'モバイル相対相談番号';</v>
      </c>
      <c r="R57" s="34" t="s">
        <v>6288</v>
      </c>
    </row>
    <row r="58" spans="1:18" ht="19.5" thickBot="1">
      <c r="A58" s="6"/>
      <c r="B58" s="6">
        <v>50</v>
      </c>
      <c r="C58" s="6" t="s">
        <v>6289</v>
      </c>
      <c r="D58" s="6" t="s">
        <v>66</v>
      </c>
      <c r="E58" s="6">
        <v>768</v>
      </c>
      <c r="F58" s="7" t="s">
        <v>67</v>
      </c>
      <c r="G58" s="6"/>
      <c r="H58" s="8"/>
      <c r="I58" s="6"/>
      <c r="J58" s="6"/>
      <c r="K58" s="25" t="s">
        <v>6290</v>
      </c>
      <c r="L58" t="str">
        <f t="shared" si="0"/>
        <v>VARCHAR(768),</v>
      </c>
      <c r="N58" s="38" t="str">
        <f t="shared" si="1"/>
        <v>COMMENT ON COLUMN summit_approval_basic.social_media_sales_quote_number IS 'ソ販_見積番号';</v>
      </c>
      <c r="R58" s="34" t="s">
        <v>6291</v>
      </c>
    </row>
    <row r="59" spans="1:18" ht="19.5" thickBot="1">
      <c r="A59" s="3"/>
      <c r="B59" s="3">
        <v>51</v>
      </c>
      <c r="C59" s="3" t="s">
        <v>6292</v>
      </c>
      <c r="D59" s="3" t="s">
        <v>66</v>
      </c>
      <c r="E59" s="3">
        <v>768</v>
      </c>
      <c r="F59" s="2" t="s">
        <v>67</v>
      </c>
      <c r="G59" s="3"/>
      <c r="H59" s="5"/>
      <c r="I59" s="3"/>
      <c r="J59" s="3"/>
      <c r="K59" s="25" t="s">
        <v>6293</v>
      </c>
      <c r="L59" t="str">
        <f t="shared" si="0"/>
        <v>VARCHAR(768),</v>
      </c>
      <c r="N59" s="38" t="str">
        <f t="shared" si="1"/>
        <v>COMMENT ON COLUMN summit_approval_basic.asset_db_number IS 'アセットdb番号';</v>
      </c>
      <c r="R59" s="34" t="s">
        <v>6294</v>
      </c>
    </row>
    <row r="60" spans="1:18" ht="19.5" thickBot="1">
      <c r="A60" s="6"/>
      <c r="B60" s="6">
        <v>52</v>
      </c>
      <c r="C60" s="6" t="s">
        <v>6295</v>
      </c>
      <c r="D60" s="6" t="s">
        <v>66</v>
      </c>
      <c r="E60" s="6">
        <v>42</v>
      </c>
      <c r="F60" s="7" t="s">
        <v>67</v>
      </c>
      <c r="G60" s="6"/>
      <c r="H60" s="8"/>
      <c r="I60" s="6"/>
      <c r="J60" s="6"/>
      <c r="K60" s="25" t="s">
        <v>6296</v>
      </c>
      <c r="L60" t="str">
        <f t="shared" si="0"/>
        <v>VARCHAR(42),</v>
      </c>
      <c r="N60" s="38" t="str">
        <f t="shared" si="1"/>
        <v>COMMENT ON COLUMN summit_approval_basic.information_source_aggregation_sheet IS '情報元集約シート';</v>
      </c>
      <c r="R60" s="34" t="s">
        <v>6297</v>
      </c>
    </row>
    <row r="61" spans="1:18" ht="19.5" thickBot="1">
      <c r="A61" s="3"/>
      <c r="B61" s="3">
        <v>53</v>
      </c>
      <c r="C61" s="3" t="s">
        <v>6298</v>
      </c>
      <c r="D61" s="3" t="s">
        <v>66</v>
      </c>
      <c r="E61" s="3">
        <v>54</v>
      </c>
      <c r="F61" s="2" t="s">
        <v>67</v>
      </c>
      <c r="G61" s="3"/>
      <c r="H61" s="5"/>
      <c r="I61" s="3"/>
      <c r="J61" s="3"/>
      <c r="K61" s="25" t="s">
        <v>6299</v>
      </c>
      <c r="L61" t="str">
        <f t="shared" si="0"/>
        <v>VARCHAR(54),</v>
      </c>
      <c r="N61" s="38" t="str">
        <f t="shared" si="1"/>
        <v>COMMENT ON COLUMN summit_approval_basic.estimate_sheet_number IS '試算シート番号';</v>
      </c>
      <c r="R61" s="34" t="s">
        <v>6300</v>
      </c>
    </row>
    <row r="62" spans="1:18" ht="19.5" thickBot="1">
      <c r="A62" s="6"/>
      <c r="B62" s="6">
        <v>54</v>
      </c>
      <c r="C62" s="6" t="s">
        <v>6301</v>
      </c>
      <c r="D62" s="6" t="s">
        <v>66</v>
      </c>
      <c r="E62" s="6">
        <v>135</v>
      </c>
      <c r="F62" s="7" t="s">
        <v>67</v>
      </c>
      <c r="G62" s="6"/>
      <c r="H62" s="8"/>
      <c r="I62" s="6"/>
      <c r="J62" s="6"/>
      <c r="K62" s="25" t="s">
        <v>6302</v>
      </c>
      <c r="L62" t="str">
        <f t="shared" si="0"/>
        <v>VARCHAR(135),</v>
      </c>
      <c r="N62" s="38" t="str">
        <f t="shared" si="1"/>
        <v>COMMENT ON COLUMN summit_approval_basic.dee_application_no_pre_consultation_application IS 'dee申請no_事前協議申請';</v>
      </c>
      <c r="R62" s="34" t="s">
        <v>6303</v>
      </c>
    </row>
    <row r="63" spans="1:18" ht="19.5" thickBot="1">
      <c r="A63" s="3"/>
      <c r="B63" s="3">
        <v>55</v>
      </c>
      <c r="C63" s="3" t="s">
        <v>6304</v>
      </c>
      <c r="D63" s="3" t="s">
        <v>66</v>
      </c>
      <c r="E63" s="3">
        <v>135</v>
      </c>
      <c r="F63" s="2" t="s">
        <v>67</v>
      </c>
      <c r="G63" s="3"/>
      <c r="H63" s="5"/>
      <c r="I63" s="3"/>
      <c r="J63" s="3"/>
      <c r="K63" s="25" t="s">
        <v>6305</v>
      </c>
      <c r="L63" t="str">
        <f t="shared" si="0"/>
        <v>VARCHAR(135),</v>
      </c>
      <c r="N63" s="38" t="str">
        <f t="shared" si="1"/>
        <v>COMMENT ON COLUMN summit_approval_basic.dee_application_no_application_form IS 'dee申請番号_申請書';</v>
      </c>
      <c r="R63" s="34" t="s">
        <v>6306</v>
      </c>
    </row>
    <row r="64" spans="1:18" ht="19.5" thickBot="1">
      <c r="A64" s="6"/>
      <c r="B64" s="6">
        <v>56</v>
      </c>
      <c r="C64" s="6" t="s">
        <v>6307</v>
      </c>
      <c r="D64" s="6" t="s">
        <v>66</v>
      </c>
      <c r="E64" s="6">
        <v>12000</v>
      </c>
      <c r="F64" s="7" t="s">
        <v>67</v>
      </c>
      <c r="G64" s="6" t="s">
        <v>6308</v>
      </c>
      <c r="H64" s="8"/>
      <c r="I64" s="6"/>
      <c r="J64" s="6"/>
      <c r="K64" s="25" t="s">
        <v>6309</v>
      </c>
      <c r="L64" t="str">
        <f t="shared" si="0"/>
        <v>VARCHAR(12000),</v>
      </c>
      <c r="N64" s="38" t="str">
        <f t="shared" si="1"/>
        <v>COMMENT ON COLUMN summit_approval_basic.attached_file_description_notes IS '添付file_説明_備考';</v>
      </c>
      <c r="R64" s="34" t="s">
        <v>6310</v>
      </c>
    </row>
    <row r="65" spans="1:18" ht="19.5" thickBot="1">
      <c r="A65" s="3"/>
      <c r="B65" s="3">
        <v>57</v>
      </c>
      <c r="C65" s="3" t="s">
        <v>6311</v>
      </c>
      <c r="D65" s="3" t="s">
        <v>66</v>
      </c>
      <c r="E65" s="3">
        <v>450</v>
      </c>
      <c r="F65" s="2" t="s">
        <v>67</v>
      </c>
      <c r="G65" s="3"/>
      <c r="H65" s="5"/>
      <c r="I65" s="3"/>
      <c r="J65" s="3"/>
      <c r="K65" s="25" t="s">
        <v>6312</v>
      </c>
      <c r="L65" t="str">
        <f t="shared" si="0"/>
        <v>VARCHAR(450),</v>
      </c>
      <c r="N65" s="38" t="str">
        <f t="shared" si="1"/>
        <v>COMMENT ON COLUMN summit_approval_basic.viewability IS '閲覧範囲';</v>
      </c>
      <c r="R65" s="34" t="s">
        <v>6313</v>
      </c>
    </row>
    <row r="66" spans="1:18" ht="19.5" thickBot="1">
      <c r="A66" s="6"/>
      <c r="B66" s="6">
        <v>58</v>
      </c>
      <c r="C66" s="6" t="s">
        <v>62</v>
      </c>
      <c r="D66" s="6" t="s">
        <v>66</v>
      </c>
      <c r="E66" s="6">
        <v>12000</v>
      </c>
      <c r="F66" s="7" t="s">
        <v>67</v>
      </c>
      <c r="G66" s="6"/>
      <c r="H66" s="8"/>
      <c r="I66" s="6"/>
      <c r="J66" s="6"/>
      <c r="K66" s="25" t="s">
        <v>6314</v>
      </c>
      <c r="L66" t="str">
        <f t="shared" si="0"/>
        <v>VARCHAR(12000),</v>
      </c>
      <c r="N66" s="38" t="str">
        <f t="shared" si="1"/>
        <v>COMMENT ON COLUMN summit_approval_basic.notes IS '備考';</v>
      </c>
      <c r="R66" s="34" t="s">
        <v>6315</v>
      </c>
    </row>
    <row r="67" spans="1:18" ht="19.5" thickBot="1">
      <c r="A67" s="3"/>
      <c r="B67" s="3">
        <v>59</v>
      </c>
      <c r="C67" s="3" t="s">
        <v>6316</v>
      </c>
      <c r="D67" s="3" t="s">
        <v>66</v>
      </c>
      <c r="E67" s="3">
        <v>450</v>
      </c>
      <c r="F67" s="2" t="s">
        <v>67</v>
      </c>
      <c r="G67" s="3"/>
      <c r="H67" s="5"/>
      <c r="I67" s="3"/>
      <c r="J67" s="3"/>
      <c r="K67" s="25" t="s">
        <v>6317</v>
      </c>
      <c r="L67" t="str">
        <f t="shared" si="0"/>
        <v>VARCHAR(450),</v>
      </c>
      <c r="N67" s="38" t="str">
        <f t="shared" si="1"/>
        <v>COMMENT ON COLUMN summit_approval_basic.approver_determination_criteria IS '承認者判定条件';</v>
      </c>
      <c r="R67" s="34" t="s">
        <v>6318</v>
      </c>
    </row>
    <row r="68" spans="1:18" ht="19.5" thickBot="1">
      <c r="A68" s="6"/>
      <c r="B68" s="6">
        <v>60</v>
      </c>
      <c r="C68" s="6" t="s">
        <v>6319</v>
      </c>
      <c r="D68" s="6" t="s">
        <v>66</v>
      </c>
      <c r="E68" s="6">
        <v>450</v>
      </c>
      <c r="F68" s="7" t="s">
        <v>67</v>
      </c>
      <c r="G68" s="6"/>
      <c r="H68" s="8"/>
      <c r="I68" s="6"/>
      <c r="J68" s="6"/>
      <c r="K68" s="25" t="s">
        <v>6320</v>
      </c>
      <c r="L68" t="str">
        <f t="shared" si="0"/>
        <v>VARCHAR(450),</v>
      </c>
      <c r="N68" s="38" t="str">
        <f t="shared" si="1"/>
        <v>COMMENT ON COLUMN summit_approval_basic.consent_judgment_conditions IS '同意者判定条件';</v>
      </c>
      <c r="R68" s="34" t="s">
        <v>6321</v>
      </c>
    </row>
    <row r="69" spans="1:18" ht="19.5" thickBot="1">
      <c r="A69" s="3"/>
      <c r="B69" s="3">
        <v>61</v>
      </c>
      <c r="C69" s="3" t="s">
        <v>6322</v>
      </c>
      <c r="D69" s="3" t="s">
        <v>66</v>
      </c>
      <c r="E69" s="3">
        <v>450</v>
      </c>
      <c r="F69" s="2" t="s">
        <v>67</v>
      </c>
      <c r="G69" s="3"/>
      <c r="H69" s="5"/>
      <c r="I69" s="3"/>
      <c r="J69" s="3"/>
      <c r="K69" s="25" t="s">
        <v>6323</v>
      </c>
      <c r="L69" t="str">
        <f t="shared" si="0"/>
        <v>VARCHAR(450),</v>
      </c>
      <c r="N69" s="38" t="str">
        <f t="shared" si="1"/>
        <v>COMMENT ON COLUMN summit_approval_basic.agency_collaboration_conditions IS '代理店協業の条件';</v>
      </c>
      <c r="R69" s="34" t="s">
        <v>6324</v>
      </c>
    </row>
    <row r="70" spans="1:18" ht="19.5" thickBot="1">
      <c r="A70" s="6"/>
      <c r="B70" s="6">
        <v>62</v>
      </c>
      <c r="C70" s="6" t="s">
        <v>6325</v>
      </c>
      <c r="D70" s="6" t="s">
        <v>66</v>
      </c>
      <c r="E70" s="6">
        <v>450</v>
      </c>
      <c r="F70" s="7" t="s">
        <v>67</v>
      </c>
      <c r="G70" s="6"/>
      <c r="H70" s="8"/>
      <c r="I70" s="6"/>
      <c r="J70" s="6"/>
      <c r="K70" s="25" t="s">
        <v>6326</v>
      </c>
      <c r="L70" t="str">
        <f t="shared" si="0"/>
        <v>VARCHAR(450),</v>
      </c>
      <c r="N70" s="38" t="str">
        <f t="shared" si="1"/>
        <v>COMMENT ON COLUMN summit_approval_basic.borderline_payment_amount IS '水際支払金額';</v>
      </c>
      <c r="R70" s="34" t="s">
        <v>6327</v>
      </c>
    </row>
    <row r="71" spans="1:18" ht="19.5" thickBot="1">
      <c r="A71" s="3"/>
      <c r="B71" s="3">
        <v>63</v>
      </c>
      <c r="C71" s="3" t="s">
        <v>6328</v>
      </c>
      <c r="D71" s="3" t="s">
        <v>66</v>
      </c>
      <c r="E71" s="3">
        <v>450</v>
      </c>
      <c r="F71" s="2" t="s">
        <v>67</v>
      </c>
      <c r="G71" s="3"/>
      <c r="H71" s="5"/>
      <c r="I71" s="3"/>
      <c r="J71" s="3"/>
      <c r="K71" s="25" t="s">
        <v>6329</v>
      </c>
      <c r="L71" t="str">
        <f t="shared" si="0"/>
        <v>VARCHAR(450),</v>
      </c>
      <c r="N71" s="38" t="str">
        <f t="shared" si="1"/>
        <v>COMMENT ON COLUMN summit_approval_basic.agency_approval_condition_1 IS '代理店決裁条件1';</v>
      </c>
      <c r="R71" s="34" t="s">
        <v>6330</v>
      </c>
    </row>
    <row r="72" spans="1:18" ht="19.5" thickBot="1">
      <c r="A72" s="6"/>
      <c r="B72" s="6">
        <v>64</v>
      </c>
      <c r="C72" s="6" t="s">
        <v>6331</v>
      </c>
      <c r="D72" s="6" t="s">
        <v>66</v>
      </c>
      <c r="E72" s="6">
        <v>450</v>
      </c>
      <c r="F72" s="7" t="s">
        <v>67</v>
      </c>
      <c r="G72" s="6"/>
      <c r="H72" s="8"/>
      <c r="I72" s="6"/>
      <c r="J72" s="6"/>
      <c r="K72" s="25" t="s">
        <v>6332</v>
      </c>
      <c r="L72" t="str">
        <f t="shared" si="0"/>
        <v>VARCHAR(450),</v>
      </c>
      <c r="N72" s="38" t="str">
        <f t="shared" si="1"/>
        <v>COMMENT ON COLUMN summit_approval_basic.agency_approval_condition_2 IS '代理店決裁条件2';</v>
      </c>
      <c r="R72" s="34" t="s">
        <v>6333</v>
      </c>
    </row>
    <row r="73" spans="1:18" ht="19.5" thickBot="1">
      <c r="A73" s="3"/>
      <c r="B73" s="3">
        <v>65</v>
      </c>
      <c r="C73" s="3" t="s">
        <v>6334</v>
      </c>
      <c r="D73" s="3" t="s">
        <v>66</v>
      </c>
      <c r="E73" s="3">
        <v>27</v>
      </c>
      <c r="F73" s="2" t="s">
        <v>67</v>
      </c>
      <c r="G73" s="3"/>
      <c r="H73" s="5"/>
      <c r="I73" s="3"/>
      <c r="J73" s="3"/>
      <c r="K73" s="25" t="s">
        <v>6335</v>
      </c>
      <c r="L73" t="str">
        <f t="shared" ref="L73:L106" si="2">D73&amp;"("&amp;E73&amp;"),"</f>
        <v>VARCHAR(27),</v>
      </c>
      <c r="N73" s="38" t="str">
        <f t="shared" si="1"/>
        <v>COMMENT ON COLUMN summit_approval_basic.checking_flag IS '確認中フラグ';</v>
      </c>
      <c r="R73" s="34" t="s">
        <v>6336</v>
      </c>
    </row>
    <row r="74" spans="1:18" ht="19.5" thickBot="1">
      <c r="A74" s="6"/>
      <c r="B74" s="6">
        <v>66</v>
      </c>
      <c r="C74" s="6" t="s">
        <v>6337</v>
      </c>
      <c r="D74" s="6" t="s">
        <v>66</v>
      </c>
      <c r="E74" s="6">
        <v>768</v>
      </c>
      <c r="F74" s="7" t="s">
        <v>67</v>
      </c>
      <c r="G74" s="6"/>
      <c r="H74" s="8"/>
      <c r="I74" s="6"/>
      <c r="J74" s="6"/>
      <c r="K74" s="25" t="s">
        <v>6338</v>
      </c>
      <c r="L74" t="str">
        <f t="shared" si="2"/>
        <v>VARCHAR(768),</v>
      </c>
      <c r="N74" s="38" t="str">
        <f t="shared" ref="N74:N106" si="3">"COMMENT ON COLUMN "&amp;$L$3&amp;"."&amp;$K74&amp;" IS '"&amp;C74&amp;"';"</f>
        <v>COMMENT ON COLUMN summit_approval_basic.confirmer_name IS '確認者名';</v>
      </c>
      <c r="R74" s="34" t="s">
        <v>6339</v>
      </c>
    </row>
    <row r="75" spans="1:18" ht="19.5" thickBot="1">
      <c r="A75" s="3"/>
      <c r="B75" s="3">
        <v>67</v>
      </c>
      <c r="C75" s="3" t="s">
        <v>5273</v>
      </c>
      <c r="D75" s="3" t="s">
        <v>66</v>
      </c>
      <c r="E75" s="3">
        <v>48</v>
      </c>
      <c r="F75" s="2" t="s">
        <v>67</v>
      </c>
      <c r="G75" s="3"/>
      <c r="H75" s="5"/>
      <c r="I75" s="3"/>
      <c r="J75" s="3"/>
      <c r="K75" s="25" t="s">
        <v>5274</v>
      </c>
      <c r="L75" t="str">
        <f t="shared" si="2"/>
        <v>VARCHAR(48),</v>
      </c>
      <c r="N75" s="38" t="str">
        <f t="shared" si="3"/>
        <v>COMMENT ON COLUMN summit_approval_basic.form_id IS 'フォームid';</v>
      </c>
      <c r="R75" s="34" t="s">
        <v>5275</v>
      </c>
    </row>
    <row r="76" spans="1:18" ht="19.5" thickBot="1">
      <c r="A76" s="6"/>
      <c r="B76" s="6">
        <v>68</v>
      </c>
      <c r="C76" s="6" t="s">
        <v>5276</v>
      </c>
      <c r="D76" s="6" t="s">
        <v>66</v>
      </c>
      <c r="E76" s="6">
        <v>48</v>
      </c>
      <c r="F76" s="7" t="s">
        <v>67</v>
      </c>
      <c r="G76" s="6"/>
      <c r="H76" s="8"/>
      <c r="I76" s="6"/>
      <c r="J76" s="6"/>
      <c r="K76" s="25" t="s">
        <v>5277</v>
      </c>
      <c r="L76" t="str">
        <f t="shared" si="2"/>
        <v>VARCHAR(48),</v>
      </c>
      <c r="N76" s="38" t="str">
        <f t="shared" si="3"/>
        <v>COMMENT ON COLUMN summit_approval_basic.root_id IS 'ルートid';</v>
      </c>
      <c r="R76" s="34" t="s">
        <v>5278</v>
      </c>
    </row>
    <row r="77" spans="1:18" ht="19.5" thickBot="1">
      <c r="A77" s="3"/>
      <c r="B77" s="3">
        <v>69</v>
      </c>
      <c r="C77" s="3" t="s">
        <v>5279</v>
      </c>
      <c r="D77" s="3" t="s">
        <v>66</v>
      </c>
      <c r="E77" s="3">
        <v>48</v>
      </c>
      <c r="F77" s="2" t="s">
        <v>67</v>
      </c>
      <c r="G77" s="3"/>
      <c r="H77" s="5"/>
      <c r="I77" s="3"/>
      <c r="J77" s="3"/>
      <c r="K77" s="25" t="s">
        <v>5280</v>
      </c>
      <c r="L77" t="str">
        <f t="shared" si="2"/>
        <v>VARCHAR(48),</v>
      </c>
      <c r="N77" s="38" t="str">
        <f t="shared" si="3"/>
        <v>COMMENT ON COLUMN summit_approval_basic.status_id IS 'ステータスid';</v>
      </c>
      <c r="R77" s="34" t="s">
        <v>5281</v>
      </c>
    </row>
    <row r="78" spans="1:18" ht="19.5" thickBot="1">
      <c r="A78" s="6"/>
      <c r="B78" s="6">
        <v>70</v>
      </c>
      <c r="C78" s="6" t="s">
        <v>6340</v>
      </c>
      <c r="D78" s="6" t="s">
        <v>66</v>
      </c>
      <c r="E78" s="6">
        <v>450</v>
      </c>
      <c r="F78" s="7" t="s">
        <v>67</v>
      </c>
      <c r="G78" s="6"/>
      <c r="H78" s="8"/>
      <c r="I78" s="6"/>
      <c r="J78" s="6"/>
      <c r="K78" s="25" t="s">
        <v>6341</v>
      </c>
      <c r="L78" t="str">
        <f t="shared" si="2"/>
        <v>VARCHAR(450),</v>
      </c>
      <c r="N78" s="38" t="str">
        <f t="shared" si="3"/>
        <v>COMMENT ON COLUMN summit_approval_basic.pre_consultation_status IS '事前相談有無';</v>
      </c>
      <c r="R78" s="34" t="s">
        <v>6342</v>
      </c>
    </row>
    <row r="79" spans="1:18" ht="19.5" thickBot="1">
      <c r="A79" s="3"/>
      <c r="B79" s="3">
        <v>71</v>
      </c>
      <c r="C79" s="3" t="s">
        <v>6343</v>
      </c>
      <c r="D79" s="3" t="s">
        <v>66</v>
      </c>
      <c r="E79" s="3">
        <v>768</v>
      </c>
      <c r="F79" s="2" t="s">
        <v>67</v>
      </c>
      <c r="G79" s="3"/>
      <c r="H79" s="5"/>
      <c r="I79" s="3"/>
      <c r="J79" s="3"/>
      <c r="K79" s="25" t="s">
        <v>6344</v>
      </c>
      <c r="L79" t="str">
        <f t="shared" si="2"/>
        <v>VARCHAR(768),</v>
      </c>
      <c r="N79" s="38" t="str">
        <f t="shared" si="3"/>
        <v>COMMENT ON COLUMN summit_approval_basic.pre_consultation_application_number_sdwf IS '事前相談申請番号_sdwf';</v>
      </c>
      <c r="R79" s="34" t="s">
        <v>6345</v>
      </c>
    </row>
    <row r="80" spans="1:18" ht="19.5" thickBot="1">
      <c r="A80" s="6"/>
      <c r="B80" s="6">
        <v>72</v>
      </c>
      <c r="C80" s="6" t="s">
        <v>6346</v>
      </c>
      <c r="D80" s="6" t="s">
        <v>66</v>
      </c>
      <c r="E80" s="6">
        <v>1536</v>
      </c>
      <c r="F80" s="7" t="s">
        <v>67</v>
      </c>
      <c r="G80" s="6"/>
      <c r="H80" s="8"/>
      <c r="I80" s="6"/>
      <c r="J80" s="6"/>
      <c r="K80" s="25" t="s">
        <v>83</v>
      </c>
      <c r="L80" t="str">
        <f t="shared" si="2"/>
        <v>VARCHAR(1536),</v>
      </c>
      <c r="N80" s="38" t="str">
        <f t="shared" si="3"/>
        <v>COMMENT ON COLUMN summit_approval_basic.product_name IS 'プロダクト名';</v>
      </c>
      <c r="R80" s="34" t="s">
        <v>6347</v>
      </c>
    </row>
    <row r="81" spans="1:18" ht="19.5" thickBot="1">
      <c r="A81" s="3"/>
      <c r="B81" s="3">
        <v>73</v>
      </c>
      <c r="C81" s="3" t="s">
        <v>6348</v>
      </c>
      <c r="D81" s="3" t="s">
        <v>66</v>
      </c>
      <c r="E81" s="3">
        <v>12000</v>
      </c>
      <c r="F81" s="2" t="s">
        <v>67</v>
      </c>
      <c r="G81" s="3"/>
      <c r="H81" s="5"/>
      <c r="I81" s="3"/>
      <c r="J81" s="3"/>
      <c r="K81" s="25" t="s">
        <v>6349</v>
      </c>
      <c r="L81" t="str">
        <f t="shared" si="2"/>
        <v>VARCHAR(12000),</v>
      </c>
      <c r="N81" s="38" t="str">
        <f t="shared" si="3"/>
        <v>COMMENT ON COLUMN summit_approval_basic.pre_consultation_approval_condition_sdwf IS '事前相談承認条件_sdwf';</v>
      </c>
      <c r="R81" s="34" t="s">
        <v>6350</v>
      </c>
    </row>
    <row r="82" spans="1:18" ht="19.5" thickBot="1">
      <c r="A82" s="6"/>
      <c r="B82" s="6">
        <v>74</v>
      </c>
      <c r="C82" s="6" t="s">
        <v>6351</v>
      </c>
      <c r="D82" s="6" t="s">
        <v>66</v>
      </c>
      <c r="E82" s="6">
        <v>12000</v>
      </c>
      <c r="F82" s="7" t="s">
        <v>67</v>
      </c>
      <c r="G82" s="6"/>
      <c r="H82" s="8"/>
      <c r="I82" s="6"/>
      <c r="J82" s="6"/>
      <c r="K82" s="25" t="s">
        <v>6352</v>
      </c>
      <c r="L82" t="str">
        <f t="shared" si="2"/>
        <v>VARCHAR(12000),</v>
      </c>
      <c r="N82" s="38" t="str">
        <f t="shared" si="3"/>
        <v>COMMENT ON COLUMN summit_approval_basic.pre_consultation_approval_condition_1_sdwf IS '事前相談承認条件1_sdwf';</v>
      </c>
      <c r="R82" s="34" t="s">
        <v>6353</v>
      </c>
    </row>
    <row r="83" spans="1:18" ht="19.5" thickBot="1">
      <c r="A83" s="3"/>
      <c r="B83" s="3">
        <v>75</v>
      </c>
      <c r="C83" s="3" t="s">
        <v>6354</v>
      </c>
      <c r="D83" s="3" t="s">
        <v>66</v>
      </c>
      <c r="E83" s="3">
        <v>12000</v>
      </c>
      <c r="F83" s="2" t="s">
        <v>67</v>
      </c>
      <c r="G83" s="3"/>
      <c r="H83" s="5"/>
      <c r="I83" s="3"/>
      <c r="J83" s="3"/>
      <c r="K83" s="25" t="s">
        <v>6355</v>
      </c>
      <c r="L83" t="str">
        <f t="shared" si="2"/>
        <v>VARCHAR(12000),</v>
      </c>
      <c r="N83" s="38" t="str">
        <f t="shared" si="3"/>
        <v>COMMENT ON COLUMN summit_approval_basic.pre_consultation_approval_condition_2_sdwf IS '事前相談承認条件2_sdwf';</v>
      </c>
      <c r="R83" s="34" t="s">
        <v>6356</v>
      </c>
    </row>
    <row r="84" spans="1:18" ht="19.5" thickBot="1">
      <c r="A84" s="6"/>
      <c r="B84" s="6">
        <v>76</v>
      </c>
      <c r="C84" s="6" t="s">
        <v>6357</v>
      </c>
      <c r="D84" s="6" t="s">
        <v>66</v>
      </c>
      <c r="E84" s="6">
        <v>12000</v>
      </c>
      <c r="F84" s="7" t="s">
        <v>67</v>
      </c>
      <c r="G84" s="6"/>
      <c r="H84" s="8"/>
      <c r="I84" s="6"/>
      <c r="J84" s="6"/>
      <c r="K84" s="25" t="s">
        <v>6358</v>
      </c>
      <c r="L84" t="str">
        <f t="shared" si="2"/>
        <v>VARCHAR(12000),</v>
      </c>
      <c r="N84" s="38" t="str">
        <f t="shared" si="3"/>
        <v>COMMENT ON COLUMN summit_approval_basic.pre_consultation_approval_condition_3_sdwf IS '事前相談承認条件3_sdwf';</v>
      </c>
      <c r="R84" s="34" t="s">
        <v>6359</v>
      </c>
    </row>
    <row r="85" spans="1:18" ht="19.5" thickBot="1">
      <c r="A85" s="3"/>
      <c r="B85" s="3">
        <v>77</v>
      </c>
      <c r="C85" s="3" t="s">
        <v>6360</v>
      </c>
      <c r="D85" s="3" t="s">
        <v>66</v>
      </c>
      <c r="E85" s="3">
        <v>12000</v>
      </c>
      <c r="F85" s="2" t="s">
        <v>67</v>
      </c>
      <c r="G85" s="3"/>
      <c r="H85" s="5"/>
      <c r="I85" s="3"/>
      <c r="J85" s="3"/>
      <c r="K85" s="25" t="s">
        <v>6361</v>
      </c>
      <c r="L85" t="str">
        <f t="shared" si="2"/>
        <v>VARCHAR(12000),</v>
      </c>
      <c r="N85" s="38" t="str">
        <f t="shared" si="3"/>
        <v>COMMENT ON COLUMN summit_approval_basic.private_consultation_number IS '相対相談番号';</v>
      </c>
      <c r="R85" s="34" t="s">
        <v>6362</v>
      </c>
    </row>
    <row r="86" spans="1:18" ht="19.5" thickBot="1">
      <c r="A86" s="6"/>
      <c r="B86" s="6">
        <v>78</v>
      </c>
      <c r="C86" s="6" t="s">
        <v>6363</v>
      </c>
      <c r="D86" s="6" t="s">
        <v>66</v>
      </c>
      <c r="E86" s="6">
        <v>12000</v>
      </c>
      <c r="F86" s="7" t="s">
        <v>67</v>
      </c>
      <c r="G86" s="6"/>
      <c r="H86" s="8"/>
      <c r="I86" s="6"/>
      <c r="J86" s="6"/>
      <c r="K86" s="25" t="s">
        <v>6364</v>
      </c>
      <c r="L86" t="str">
        <f t="shared" si="2"/>
        <v>VARCHAR(12000),</v>
      </c>
      <c r="N86" s="38" t="str">
        <f t="shared" si="3"/>
        <v>COMMENT ON COLUMN summit_approval_basic.mobile_approval_condition IS 'モバイル相対相談承認条件';</v>
      </c>
      <c r="R86" s="34" t="s">
        <v>6365</v>
      </c>
    </row>
    <row r="87" spans="1:18" ht="19.5" thickBot="1">
      <c r="A87" s="3"/>
      <c r="B87" s="3">
        <v>79</v>
      </c>
      <c r="C87" s="3" t="s">
        <v>6366</v>
      </c>
      <c r="D87" s="3" t="s">
        <v>66</v>
      </c>
      <c r="E87" s="3">
        <v>12000</v>
      </c>
      <c r="F87" s="2" t="s">
        <v>67</v>
      </c>
      <c r="G87" s="3"/>
      <c r="H87" s="5"/>
      <c r="I87" s="3"/>
      <c r="J87" s="3"/>
      <c r="K87" s="25" t="s">
        <v>6367</v>
      </c>
      <c r="L87" t="str">
        <f t="shared" si="2"/>
        <v>VARCHAR(12000),</v>
      </c>
      <c r="N87" s="38" t="str">
        <f t="shared" si="3"/>
        <v>COMMENT ON COLUMN summit_approval_basic.mobile_approval_condition_1 IS 'モバイル相対相談承認条件1';</v>
      </c>
      <c r="R87" s="34" t="s">
        <v>6368</v>
      </c>
    </row>
    <row r="88" spans="1:18" ht="19.5" thickBot="1">
      <c r="A88" s="6"/>
      <c r="B88" s="6">
        <v>80</v>
      </c>
      <c r="C88" s="6" t="s">
        <v>6369</v>
      </c>
      <c r="D88" s="6" t="s">
        <v>66</v>
      </c>
      <c r="E88" s="6">
        <v>12000</v>
      </c>
      <c r="F88" s="7" t="s">
        <v>67</v>
      </c>
      <c r="G88" s="6"/>
      <c r="H88" s="8"/>
      <c r="I88" s="6"/>
      <c r="J88" s="6"/>
      <c r="K88" s="25" t="s">
        <v>6370</v>
      </c>
      <c r="L88" t="str">
        <f t="shared" si="2"/>
        <v>VARCHAR(12000),</v>
      </c>
      <c r="N88" s="38" t="str">
        <f t="shared" si="3"/>
        <v>COMMENT ON COLUMN summit_approval_basic.mobile_approval_condition_2 IS 'モバイル相対相談承認条件2';</v>
      </c>
      <c r="R88" s="34" t="s">
        <v>6371</v>
      </c>
    </row>
    <row r="89" spans="1:18" ht="19.5" thickBot="1">
      <c r="A89" s="3"/>
      <c r="B89" s="3">
        <v>81</v>
      </c>
      <c r="C89" s="3" t="s">
        <v>6372</v>
      </c>
      <c r="D89" s="3" t="s">
        <v>66</v>
      </c>
      <c r="E89" s="3">
        <v>12000</v>
      </c>
      <c r="F89" s="2" t="s">
        <v>67</v>
      </c>
      <c r="G89" s="3"/>
      <c r="H89" s="5"/>
      <c r="I89" s="3"/>
      <c r="J89" s="3"/>
      <c r="K89" s="25" t="s">
        <v>6373</v>
      </c>
      <c r="L89" t="str">
        <f t="shared" si="2"/>
        <v>VARCHAR(12000),</v>
      </c>
      <c r="N89" s="38" t="str">
        <f t="shared" si="3"/>
        <v>COMMENT ON COLUMN summit_approval_basic.mobile_approval_condition_3 IS 'モバイル相対相談承認条件3';</v>
      </c>
      <c r="R89" s="34" t="s">
        <v>6374</v>
      </c>
    </row>
    <row r="90" spans="1:18" ht="19.5" thickBot="1">
      <c r="A90" s="6"/>
      <c r="B90" s="6">
        <v>82</v>
      </c>
      <c r="C90" s="6" t="s">
        <v>6375</v>
      </c>
      <c r="D90" s="6" t="s">
        <v>66</v>
      </c>
      <c r="E90" s="6">
        <v>12000</v>
      </c>
      <c r="F90" s="7" t="s">
        <v>67</v>
      </c>
      <c r="G90" s="6"/>
      <c r="H90" s="8"/>
      <c r="I90" s="6"/>
      <c r="J90" s="6"/>
      <c r="K90" s="25" t="s">
        <v>6376</v>
      </c>
      <c r="L90" t="str">
        <f t="shared" si="2"/>
        <v>VARCHAR(12000),</v>
      </c>
      <c r="N90" s="38" t="str">
        <f t="shared" si="3"/>
        <v>COMMENT ON COLUMN summit_approval_basic.mobile_approval_condition_4 IS 'モバイル相対相談承認条件4';</v>
      </c>
      <c r="R90" s="34" t="s">
        <v>6377</v>
      </c>
    </row>
    <row r="91" spans="1:18" ht="19.5" thickBot="1">
      <c r="A91" s="3"/>
      <c r="B91" s="3">
        <v>83</v>
      </c>
      <c r="C91" s="3" t="s">
        <v>6378</v>
      </c>
      <c r="D91" s="3" t="s">
        <v>66</v>
      </c>
      <c r="E91" s="3">
        <v>12000</v>
      </c>
      <c r="F91" s="2" t="s">
        <v>67</v>
      </c>
      <c r="G91" s="3"/>
      <c r="H91" s="5"/>
      <c r="I91" s="3"/>
      <c r="J91" s="3"/>
      <c r="K91" s="25" t="s">
        <v>6379</v>
      </c>
      <c r="L91" t="str">
        <f t="shared" si="2"/>
        <v>VARCHAR(12000),</v>
      </c>
      <c r="N91" s="38" t="str">
        <f t="shared" si="3"/>
        <v>COMMENT ON COLUMN summit_approval_basic.mobile_relative_consultation_5 IS 'モバイル相対相談承認条件5';</v>
      </c>
      <c r="R91" s="34" t="s">
        <v>6380</v>
      </c>
    </row>
    <row r="92" spans="1:18" ht="19.5" thickBot="1">
      <c r="A92" s="6"/>
      <c r="B92" s="6">
        <v>84</v>
      </c>
      <c r="C92" s="6" t="s">
        <v>6381</v>
      </c>
      <c r="D92" s="6" t="s">
        <v>66</v>
      </c>
      <c r="E92" s="6">
        <v>12000</v>
      </c>
      <c r="F92" s="7" t="s">
        <v>67</v>
      </c>
      <c r="G92" s="6"/>
      <c r="H92" s="8"/>
      <c r="I92" s="6"/>
      <c r="J92" s="6"/>
      <c r="K92" s="25" t="s">
        <v>6382</v>
      </c>
      <c r="L92" t="str">
        <f t="shared" si="2"/>
        <v>VARCHAR(12000),</v>
      </c>
      <c r="N92" s="38" t="str">
        <f t="shared" si="3"/>
        <v>COMMENT ON COLUMN summit_approval_basic.mobile_relative_consultation_6 IS 'モバイル相対相談承認条件6';</v>
      </c>
      <c r="R92" s="34" t="s">
        <v>6383</v>
      </c>
    </row>
    <row r="93" spans="1:18" ht="19.5" thickBot="1">
      <c r="A93" s="3"/>
      <c r="B93" s="3">
        <v>85</v>
      </c>
      <c r="C93" s="3" t="s">
        <v>6384</v>
      </c>
      <c r="D93" s="3" t="s">
        <v>66</v>
      </c>
      <c r="E93" s="3">
        <v>12000</v>
      </c>
      <c r="F93" s="2" t="s">
        <v>67</v>
      </c>
      <c r="G93" s="3"/>
      <c r="H93" s="5"/>
      <c r="I93" s="3"/>
      <c r="J93" s="3"/>
      <c r="K93" s="25" t="s">
        <v>6385</v>
      </c>
      <c r="L93" t="str">
        <f t="shared" si="2"/>
        <v>VARCHAR(12000),</v>
      </c>
      <c r="N93" s="38" t="str">
        <f t="shared" si="3"/>
        <v>COMMENT ON COLUMN summit_approval_basic.mobile_relative_consultation_7 IS 'モバイル相対相談承認条件7';</v>
      </c>
      <c r="R93" s="34" t="s">
        <v>6386</v>
      </c>
    </row>
    <row r="94" spans="1:18" ht="19.5" thickBot="1">
      <c r="A94" s="6"/>
      <c r="B94" s="6">
        <v>86</v>
      </c>
      <c r="C94" s="6" t="s">
        <v>6387</v>
      </c>
      <c r="D94" s="6" t="s">
        <v>66</v>
      </c>
      <c r="E94" s="6">
        <v>12000</v>
      </c>
      <c r="F94" s="7" t="s">
        <v>67</v>
      </c>
      <c r="G94" s="6"/>
      <c r="H94" s="8"/>
      <c r="I94" s="6"/>
      <c r="J94" s="6"/>
      <c r="K94" s="25" t="s">
        <v>6388</v>
      </c>
      <c r="L94" t="str">
        <f t="shared" si="2"/>
        <v>VARCHAR(12000),</v>
      </c>
      <c r="N94" s="38" t="str">
        <f t="shared" si="3"/>
        <v>COMMENT ON COLUMN summit_approval_basic.mobile_relative_consultation_8 IS 'モバイル相対相談承認条件8';</v>
      </c>
      <c r="R94" s="34" t="s">
        <v>6389</v>
      </c>
    </row>
    <row r="95" spans="1:18" ht="19.5" thickBot="1">
      <c r="A95" s="3"/>
      <c r="B95" s="3">
        <v>87</v>
      </c>
      <c r="C95" s="3" t="s">
        <v>6390</v>
      </c>
      <c r="D95" s="3" t="s">
        <v>66</v>
      </c>
      <c r="E95" s="3">
        <v>12000</v>
      </c>
      <c r="F95" s="2" t="s">
        <v>67</v>
      </c>
      <c r="G95" s="3"/>
      <c r="H95" s="5"/>
      <c r="I95" s="3"/>
      <c r="J95" s="3"/>
      <c r="K95" s="25" t="s">
        <v>6391</v>
      </c>
      <c r="L95" t="str">
        <f t="shared" si="2"/>
        <v>VARCHAR(12000),</v>
      </c>
      <c r="N95" s="38" t="str">
        <f t="shared" si="3"/>
        <v>COMMENT ON COLUMN summit_approval_basic.mobile_relative_consultation_9 IS 'モバイル相対相談承認条件9';</v>
      </c>
      <c r="R95" s="34" t="s">
        <v>6392</v>
      </c>
    </row>
    <row r="96" spans="1:18" ht="19.5" thickBot="1">
      <c r="A96" s="6"/>
      <c r="B96" s="6">
        <v>88</v>
      </c>
      <c r="C96" s="6" t="s">
        <v>6393</v>
      </c>
      <c r="D96" s="6" t="s">
        <v>66</v>
      </c>
      <c r="E96" s="6">
        <v>12000</v>
      </c>
      <c r="F96" s="7" t="s">
        <v>67</v>
      </c>
      <c r="G96" s="6"/>
      <c r="H96" s="8"/>
      <c r="I96" s="6"/>
      <c r="J96" s="6"/>
      <c r="K96" s="25" t="s">
        <v>6394</v>
      </c>
      <c r="L96" t="str">
        <f t="shared" si="2"/>
        <v>VARCHAR(12000),</v>
      </c>
      <c r="N96" s="38" t="str">
        <f t="shared" si="3"/>
        <v>COMMENT ON COLUMN summit_approval_basic.mobile_relative_consultation_10 IS 'モバイル相対相談承認条件10';</v>
      </c>
      <c r="R96" s="34" t="s">
        <v>6395</v>
      </c>
    </row>
    <row r="97" spans="1:18" ht="19.5" thickBot="1">
      <c r="A97" s="3"/>
      <c r="B97" s="3">
        <v>89</v>
      </c>
      <c r="C97" s="3" t="s">
        <v>6396</v>
      </c>
      <c r="D97" s="3" t="s">
        <v>66</v>
      </c>
      <c r="E97" s="3">
        <v>12000</v>
      </c>
      <c r="F97" s="2" t="s">
        <v>67</v>
      </c>
      <c r="G97" s="3"/>
      <c r="H97" s="5"/>
      <c r="I97" s="3"/>
      <c r="J97" s="3"/>
      <c r="K97" s="25" t="s">
        <v>6397</v>
      </c>
      <c r="L97" t="str">
        <f t="shared" si="2"/>
        <v>VARCHAR(12000),</v>
      </c>
      <c r="N97" s="38" t="str">
        <f t="shared" si="3"/>
        <v>COMMENT ON COLUMN summit_approval_basic.mobile_relative_consultation_11 IS 'モバイル相対相談承認条件11';</v>
      </c>
      <c r="R97" s="34" t="s">
        <v>6398</v>
      </c>
    </row>
    <row r="98" spans="1:18" ht="19.5" thickBot="1">
      <c r="A98" s="6"/>
      <c r="B98" s="6">
        <v>90</v>
      </c>
      <c r="C98" s="6" t="s">
        <v>6399</v>
      </c>
      <c r="D98" s="6" t="s">
        <v>66</v>
      </c>
      <c r="E98" s="6">
        <v>12000</v>
      </c>
      <c r="F98" s="7" t="s">
        <v>67</v>
      </c>
      <c r="G98" s="6"/>
      <c r="H98" s="8"/>
      <c r="I98" s="6"/>
      <c r="J98" s="6"/>
      <c r="K98" s="25" t="s">
        <v>6400</v>
      </c>
      <c r="L98" t="str">
        <f t="shared" si="2"/>
        <v>VARCHAR(12000),</v>
      </c>
      <c r="N98" s="38" t="str">
        <f t="shared" si="3"/>
        <v>COMMENT ON COLUMN summit_approval_basic.mobile_relative_consultation_12 IS 'モバイル相対相談承認条件12';</v>
      </c>
      <c r="R98" s="34" t="s">
        <v>6401</v>
      </c>
    </row>
    <row r="99" spans="1:18" ht="19.5" thickBot="1">
      <c r="A99" s="3"/>
      <c r="B99" s="3">
        <v>91</v>
      </c>
      <c r="C99" s="3" t="s">
        <v>6402</v>
      </c>
      <c r="D99" s="3" t="s">
        <v>66</v>
      </c>
      <c r="E99" s="3">
        <v>12000</v>
      </c>
      <c r="F99" s="2" t="s">
        <v>67</v>
      </c>
      <c r="G99" s="3"/>
      <c r="H99" s="5"/>
      <c r="I99" s="3"/>
      <c r="J99" s="3"/>
      <c r="K99" s="25" t="s">
        <v>6403</v>
      </c>
      <c r="L99" t="str">
        <f t="shared" si="2"/>
        <v>VARCHAR(12000),</v>
      </c>
      <c r="N99" s="38" t="str">
        <f t="shared" si="3"/>
        <v>COMMENT ON COLUMN summit_approval_basic.mobile_relative_consultation_13 IS 'モバイル相対相談承認条件13';</v>
      </c>
      <c r="R99" s="34" t="s">
        <v>6404</v>
      </c>
    </row>
    <row r="100" spans="1:18" ht="19.5" thickBot="1">
      <c r="A100" s="6"/>
      <c r="B100" s="6">
        <v>92</v>
      </c>
      <c r="C100" s="6" t="s">
        <v>6405</v>
      </c>
      <c r="D100" s="6" t="s">
        <v>66</v>
      </c>
      <c r="E100" s="6">
        <v>12000</v>
      </c>
      <c r="F100" s="7" t="s">
        <v>67</v>
      </c>
      <c r="G100" s="6"/>
      <c r="H100" s="8"/>
      <c r="I100" s="6"/>
      <c r="J100" s="6"/>
      <c r="K100" s="25" t="s">
        <v>6406</v>
      </c>
      <c r="L100" t="str">
        <f t="shared" si="2"/>
        <v>VARCHAR(12000),</v>
      </c>
      <c r="N100" s="38" t="str">
        <f t="shared" si="3"/>
        <v>COMMENT ON COLUMN summit_approval_basic.mobile_relative_consultation_14 IS 'モバイル相対相談承認条件14';</v>
      </c>
      <c r="R100" s="34" t="s">
        <v>6407</v>
      </c>
    </row>
    <row r="101" spans="1:18" ht="19.5" thickBot="1">
      <c r="A101" s="3"/>
      <c r="B101" s="3">
        <v>93</v>
      </c>
      <c r="C101" s="3" t="s">
        <v>6408</v>
      </c>
      <c r="D101" s="3" t="s">
        <v>66</v>
      </c>
      <c r="E101" s="3">
        <v>12000</v>
      </c>
      <c r="F101" s="2" t="s">
        <v>67</v>
      </c>
      <c r="G101" s="3"/>
      <c r="H101" s="5"/>
      <c r="I101" s="3"/>
      <c r="J101" s="3"/>
      <c r="K101" s="25" t="s">
        <v>6409</v>
      </c>
      <c r="L101" t="str">
        <f t="shared" si="2"/>
        <v>VARCHAR(12000),</v>
      </c>
      <c r="N101" s="38" t="str">
        <f t="shared" si="3"/>
        <v>COMMENT ON COLUMN summit_approval_basic.mobile_relative_consultation_15 IS 'モバイル相対相談承認条件15';</v>
      </c>
      <c r="R101" s="34" t="s">
        <v>6410</v>
      </c>
    </row>
    <row r="102" spans="1:18" ht="19.5" thickBot="1">
      <c r="A102" s="6"/>
      <c r="B102" s="6">
        <v>94</v>
      </c>
      <c r="C102" s="6" t="s">
        <v>6411</v>
      </c>
      <c r="D102" s="6" t="s">
        <v>66</v>
      </c>
      <c r="E102" s="6">
        <v>12000</v>
      </c>
      <c r="F102" s="7" t="s">
        <v>67</v>
      </c>
      <c r="G102" s="6"/>
      <c r="H102" s="8"/>
      <c r="I102" s="6"/>
      <c r="J102" s="6"/>
      <c r="K102" s="25" t="s">
        <v>6412</v>
      </c>
      <c r="L102" t="str">
        <f t="shared" si="2"/>
        <v>VARCHAR(12000),</v>
      </c>
      <c r="N102" s="38" t="str">
        <f t="shared" si="3"/>
        <v>COMMENT ON COLUMN summit_approval_basic.mobile_relative_consultation_16 IS 'モバイル相対相談承認条件16';</v>
      </c>
      <c r="R102" s="34" t="s">
        <v>6413</v>
      </c>
    </row>
    <row r="103" spans="1:18" ht="19.5" thickBot="1">
      <c r="A103" s="3"/>
      <c r="B103" s="3">
        <v>95</v>
      </c>
      <c r="C103" s="3" t="s">
        <v>6414</v>
      </c>
      <c r="D103" s="3" t="s">
        <v>66</v>
      </c>
      <c r="E103" s="3">
        <v>12000</v>
      </c>
      <c r="F103" s="2" t="s">
        <v>67</v>
      </c>
      <c r="G103" s="3"/>
      <c r="H103" s="5"/>
      <c r="I103" s="3"/>
      <c r="J103" s="3"/>
      <c r="K103" s="25" t="s">
        <v>6415</v>
      </c>
      <c r="L103" t="str">
        <f t="shared" si="2"/>
        <v>VARCHAR(12000),</v>
      </c>
      <c r="N103" s="38" t="str">
        <f t="shared" si="3"/>
        <v>COMMENT ON COLUMN summit_approval_basic.contractual_condition_1_1 IS '契約化必須条件1_1';</v>
      </c>
      <c r="R103" s="34" t="s">
        <v>6416</v>
      </c>
    </row>
    <row r="104" spans="1:18" ht="19.5" thickBot="1">
      <c r="A104" s="6"/>
      <c r="B104" s="6">
        <v>96</v>
      </c>
      <c r="C104" s="6" t="s">
        <v>6417</v>
      </c>
      <c r="D104" s="6" t="s">
        <v>66</v>
      </c>
      <c r="E104" s="6">
        <v>12000</v>
      </c>
      <c r="F104" s="7" t="s">
        <v>67</v>
      </c>
      <c r="G104" s="6"/>
      <c r="H104" s="8"/>
      <c r="I104" s="6"/>
      <c r="J104" s="6"/>
      <c r="K104" s="25" t="s">
        <v>6418</v>
      </c>
      <c r="L104" t="str">
        <f t="shared" si="2"/>
        <v>VARCHAR(12000),</v>
      </c>
      <c r="N104" s="38" t="str">
        <f t="shared" si="3"/>
        <v>COMMENT ON COLUMN summit_approval_basic.contractual_condition_1_2 IS '契約化必須条件1_2';</v>
      </c>
      <c r="R104" s="34" t="s">
        <v>6419</v>
      </c>
    </row>
    <row r="105" spans="1:18" ht="19.5" thickBot="1">
      <c r="A105" s="3"/>
      <c r="B105" s="3">
        <v>97</v>
      </c>
      <c r="C105" s="3" t="s">
        <v>6420</v>
      </c>
      <c r="D105" s="3" t="s">
        <v>66</v>
      </c>
      <c r="E105" s="3">
        <v>12000</v>
      </c>
      <c r="F105" s="2" t="s">
        <v>67</v>
      </c>
      <c r="G105" s="3"/>
      <c r="H105" s="5"/>
      <c r="I105" s="3"/>
      <c r="J105" s="3"/>
      <c r="K105" s="25" t="s">
        <v>6421</v>
      </c>
      <c r="L105" t="str">
        <f t="shared" si="2"/>
        <v>VARCHAR(12000),</v>
      </c>
      <c r="N105" s="38" t="str">
        <f t="shared" si="3"/>
        <v>COMMENT ON COLUMN summit_approval_basic.contractual_condition_2_1 IS '契約化必須条件2_1';</v>
      </c>
      <c r="R105" s="34" t="s">
        <v>6422</v>
      </c>
    </row>
    <row r="106" spans="1:18" ht="19.5" thickBot="1">
      <c r="A106" s="6"/>
      <c r="B106" s="6">
        <v>98</v>
      </c>
      <c r="C106" s="6" t="s">
        <v>6423</v>
      </c>
      <c r="D106" s="6" t="s">
        <v>66</v>
      </c>
      <c r="E106" s="6">
        <v>12000</v>
      </c>
      <c r="F106" s="7" t="s">
        <v>67</v>
      </c>
      <c r="G106" s="6"/>
      <c r="H106" s="8"/>
      <c r="I106" s="6"/>
      <c r="J106" s="6"/>
      <c r="K106" s="25" t="s">
        <v>6424</v>
      </c>
      <c r="L106" t="str">
        <f t="shared" si="2"/>
        <v>VARCHAR(12000),</v>
      </c>
      <c r="N106" s="38" t="str">
        <f t="shared" si="3"/>
        <v>COMMENT ON COLUMN summit_approval_basic.contractual_condition_2_2 IS '契約化必須条件2_2';</v>
      </c>
      <c r="R106" s="34" t="s">
        <v>6425</v>
      </c>
    </row>
    <row r="107" spans="1:18">
      <c r="K107" t="str">
        <f>"CONSTRAINT pk_"&amp;L3&amp;" PRIMARY KEY (id));"</f>
        <v>CONSTRAINT pk_summit_approval_basic PRIMARY KEY (id));</v>
      </c>
      <c r="R107" s="33" t="s">
        <v>6426</v>
      </c>
    </row>
    <row r="108" spans="1:18">
      <c r="R108" s="33" t="s">
        <v>6427</v>
      </c>
    </row>
    <row r="109" spans="1:18">
      <c r="R109" s="33" t="s">
        <v>6428</v>
      </c>
    </row>
    <row r="110" spans="1:18">
      <c r="R110" s="33" t="s">
        <v>6429</v>
      </c>
    </row>
    <row r="111" spans="1:18">
      <c r="R111" s="33" t="s">
        <v>6430</v>
      </c>
    </row>
    <row r="112" spans="1:18">
      <c r="R112" s="33" t="s">
        <v>6431</v>
      </c>
    </row>
    <row r="113" spans="18:18">
      <c r="R113" s="33" t="s">
        <v>6432</v>
      </c>
    </row>
    <row r="114" spans="18:18">
      <c r="R114" s="33" t="s">
        <v>6433</v>
      </c>
    </row>
    <row r="115" spans="18:18">
      <c r="R115" s="33" t="s">
        <v>6434</v>
      </c>
    </row>
    <row r="116" spans="18:18">
      <c r="R116" s="33" t="s">
        <v>6435</v>
      </c>
    </row>
    <row r="117" spans="18:18">
      <c r="R117" s="33" t="s">
        <v>6436</v>
      </c>
    </row>
    <row r="118" spans="18:18">
      <c r="R118" s="33" t="s">
        <v>6437</v>
      </c>
    </row>
    <row r="119" spans="18:18">
      <c r="R119" s="33" t="s">
        <v>6438</v>
      </c>
    </row>
    <row r="120" spans="18:18">
      <c r="R120" s="33" t="s">
        <v>6439</v>
      </c>
    </row>
    <row r="121" spans="18:18">
      <c r="R121" s="33" t="s">
        <v>6440</v>
      </c>
    </row>
    <row r="122" spans="18:18">
      <c r="R122" s="33" t="s">
        <v>6441</v>
      </c>
    </row>
    <row r="123" spans="18:18">
      <c r="R123" s="33" t="s">
        <v>6442</v>
      </c>
    </row>
    <row r="124" spans="18:18">
      <c r="R124" s="33" t="s">
        <v>6443</v>
      </c>
    </row>
    <row r="125" spans="18:18">
      <c r="R125" s="33" t="s">
        <v>6444</v>
      </c>
    </row>
    <row r="126" spans="18:18">
      <c r="R126" s="33" t="s">
        <v>6445</v>
      </c>
    </row>
    <row r="127" spans="18:18">
      <c r="R127" s="33" t="s">
        <v>6446</v>
      </c>
    </row>
    <row r="128" spans="18:18">
      <c r="R128" s="33" t="s">
        <v>6447</v>
      </c>
    </row>
    <row r="129" spans="18:18">
      <c r="R129" s="33" t="s">
        <v>6448</v>
      </c>
    </row>
    <row r="130" spans="18:18">
      <c r="R130" s="33" t="s">
        <v>6449</v>
      </c>
    </row>
    <row r="131" spans="18:18">
      <c r="R131" s="33" t="s">
        <v>6450</v>
      </c>
    </row>
    <row r="132" spans="18:18">
      <c r="R132" s="33" t="s">
        <v>6451</v>
      </c>
    </row>
    <row r="133" spans="18:18">
      <c r="R133" s="33" t="s">
        <v>6452</v>
      </c>
    </row>
    <row r="134" spans="18:18">
      <c r="R134" s="33" t="s">
        <v>6453</v>
      </c>
    </row>
    <row r="135" spans="18:18">
      <c r="R135" s="33" t="s">
        <v>6454</v>
      </c>
    </row>
    <row r="136" spans="18:18">
      <c r="R136" s="33" t="s">
        <v>6455</v>
      </c>
    </row>
    <row r="137" spans="18:18">
      <c r="R137" s="33" t="s">
        <v>6456</v>
      </c>
    </row>
    <row r="138" spans="18:18">
      <c r="R138" s="33" t="s">
        <v>6457</v>
      </c>
    </row>
    <row r="139" spans="18:18">
      <c r="R139" s="33" t="s">
        <v>6458</v>
      </c>
    </row>
    <row r="140" spans="18:18">
      <c r="R140" s="33" t="s">
        <v>6459</v>
      </c>
    </row>
    <row r="141" spans="18:18">
      <c r="R141" s="33" t="s">
        <v>6460</v>
      </c>
    </row>
    <row r="142" spans="18:18">
      <c r="R142" s="33" t="s">
        <v>6461</v>
      </c>
    </row>
    <row r="143" spans="18:18">
      <c r="R143" s="33" t="s">
        <v>6462</v>
      </c>
    </row>
    <row r="144" spans="18:18">
      <c r="R144" s="33" t="s">
        <v>6463</v>
      </c>
    </row>
    <row r="145" spans="18:18">
      <c r="R145" s="33" t="s">
        <v>6464</v>
      </c>
    </row>
    <row r="146" spans="18:18">
      <c r="R146" s="33" t="s">
        <v>6465</v>
      </c>
    </row>
    <row r="147" spans="18:18">
      <c r="R147" s="33" t="s">
        <v>6466</v>
      </c>
    </row>
    <row r="148" spans="18:18">
      <c r="R148" s="33" t="s">
        <v>6467</v>
      </c>
    </row>
    <row r="149" spans="18:18">
      <c r="R149" s="33" t="s">
        <v>6468</v>
      </c>
    </row>
    <row r="150" spans="18:18">
      <c r="R150" s="33" t="s">
        <v>6469</v>
      </c>
    </row>
    <row r="151" spans="18:18">
      <c r="R151" s="33" t="s">
        <v>6470</v>
      </c>
    </row>
    <row r="152" spans="18:18">
      <c r="R152" s="33" t="s">
        <v>6471</v>
      </c>
    </row>
    <row r="153" spans="18:18">
      <c r="R153" s="33" t="s">
        <v>6472</v>
      </c>
    </row>
    <row r="154" spans="18:18">
      <c r="R154" s="33" t="s">
        <v>6473</v>
      </c>
    </row>
    <row r="155" spans="18:18">
      <c r="R155" s="33" t="s">
        <v>6474</v>
      </c>
    </row>
    <row r="156" spans="18:18">
      <c r="R156" s="33" t="s">
        <v>6475</v>
      </c>
    </row>
    <row r="157" spans="18:18">
      <c r="R157" s="33" t="s">
        <v>6476</v>
      </c>
    </row>
    <row r="158" spans="18:18">
      <c r="R158" s="33" t="s">
        <v>6477</v>
      </c>
    </row>
    <row r="159" spans="18:18">
      <c r="R159" s="33" t="s">
        <v>6478</v>
      </c>
    </row>
    <row r="160" spans="18:18">
      <c r="R160" s="33" t="s">
        <v>6479</v>
      </c>
    </row>
    <row r="161" spans="18:18">
      <c r="R161" s="33" t="s">
        <v>6480</v>
      </c>
    </row>
    <row r="162" spans="18:18">
      <c r="R162" s="33" t="s">
        <v>6481</v>
      </c>
    </row>
    <row r="163" spans="18:18">
      <c r="R163" s="33" t="s">
        <v>6482</v>
      </c>
    </row>
    <row r="164" spans="18:18">
      <c r="R164" s="33" t="s">
        <v>6483</v>
      </c>
    </row>
    <row r="165" spans="18:18">
      <c r="R165" s="33" t="s">
        <v>6484</v>
      </c>
    </row>
    <row r="166" spans="18:18">
      <c r="R166" s="33" t="s">
        <v>6485</v>
      </c>
    </row>
    <row r="167" spans="18:18">
      <c r="R167" s="33" t="s">
        <v>6486</v>
      </c>
    </row>
    <row r="168" spans="18:18">
      <c r="R168" s="33" t="s">
        <v>6487</v>
      </c>
    </row>
    <row r="169" spans="18:18">
      <c r="R169" s="33" t="s">
        <v>6488</v>
      </c>
    </row>
    <row r="170" spans="18:18">
      <c r="R170" s="33" t="s">
        <v>6489</v>
      </c>
    </row>
    <row r="171" spans="18:18">
      <c r="R171" s="33" t="s">
        <v>6490</v>
      </c>
    </row>
    <row r="172" spans="18:18">
      <c r="R172" s="33" t="s">
        <v>6491</v>
      </c>
    </row>
    <row r="173" spans="18:18">
      <c r="R173" s="33" t="s">
        <v>6492</v>
      </c>
    </row>
    <row r="174" spans="18:18">
      <c r="R174" s="33" t="s">
        <v>6493</v>
      </c>
    </row>
    <row r="175" spans="18:18">
      <c r="R175" s="33" t="s">
        <v>6494</v>
      </c>
    </row>
    <row r="176" spans="18:18">
      <c r="R176" s="33" t="s">
        <v>6495</v>
      </c>
    </row>
    <row r="177" spans="18:18">
      <c r="R177" s="33" t="s">
        <v>6496</v>
      </c>
    </row>
    <row r="178" spans="18:18">
      <c r="R178" s="33" t="s">
        <v>6497</v>
      </c>
    </row>
    <row r="179" spans="18:18">
      <c r="R179" s="33" t="s">
        <v>6498</v>
      </c>
    </row>
    <row r="180" spans="18:18">
      <c r="R180" s="33" t="s">
        <v>6499</v>
      </c>
    </row>
    <row r="181" spans="18:18">
      <c r="R181" s="33" t="s">
        <v>6500</v>
      </c>
    </row>
    <row r="182" spans="18:18">
      <c r="R182" s="33" t="s">
        <v>6501</v>
      </c>
    </row>
    <row r="183" spans="18:18">
      <c r="R183" s="33" t="s">
        <v>6502</v>
      </c>
    </row>
    <row r="184" spans="18:18">
      <c r="R184" s="33" t="s">
        <v>6503</v>
      </c>
    </row>
    <row r="185" spans="18:18">
      <c r="R185" s="33" t="s">
        <v>6504</v>
      </c>
    </row>
    <row r="186" spans="18:18">
      <c r="R186" s="33" t="s">
        <v>6505</v>
      </c>
    </row>
    <row r="187" spans="18:18">
      <c r="R187" s="33" t="s">
        <v>6506</v>
      </c>
    </row>
    <row r="188" spans="18:18">
      <c r="R188" s="33" t="s">
        <v>6507</v>
      </c>
    </row>
    <row r="189" spans="18:18">
      <c r="R189" s="33" t="s">
        <v>6508</v>
      </c>
    </row>
    <row r="190" spans="18:18">
      <c r="R190" s="33" t="s">
        <v>6509</v>
      </c>
    </row>
    <row r="191" spans="18:18">
      <c r="R191" s="33" t="s">
        <v>6510</v>
      </c>
    </row>
    <row r="192" spans="18:18">
      <c r="R192" s="33" t="s">
        <v>6511</v>
      </c>
    </row>
    <row r="193" spans="18:18">
      <c r="R193" s="33" t="s">
        <v>6512</v>
      </c>
    </row>
    <row r="194" spans="18:18">
      <c r="R194" s="33" t="s">
        <v>6513</v>
      </c>
    </row>
    <row r="195" spans="18:18">
      <c r="R195" s="33" t="s">
        <v>6514</v>
      </c>
    </row>
    <row r="196" spans="18:18">
      <c r="R196" s="33" t="s">
        <v>6515</v>
      </c>
    </row>
    <row r="197" spans="18:18">
      <c r="R197" s="33" t="s">
        <v>6516</v>
      </c>
    </row>
    <row r="198" spans="18:18">
      <c r="R198" s="33" t="s">
        <v>6517</v>
      </c>
    </row>
    <row r="199" spans="18:18">
      <c r="R199" s="33" t="s">
        <v>6518</v>
      </c>
    </row>
    <row r="200" spans="18:18">
      <c r="R200" s="33" t="s">
        <v>6519</v>
      </c>
    </row>
    <row r="201" spans="18:18">
      <c r="R201" s="33" t="s">
        <v>6520</v>
      </c>
    </row>
    <row r="202" spans="18:18">
      <c r="R202" s="33" t="s">
        <v>6521</v>
      </c>
    </row>
    <row r="203" spans="18:18">
      <c r="R203" s="33" t="s">
        <v>6522</v>
      </c>
    </row>
    <row r="204" spans="18:18">
      <c r="R204" s="33" t="s">
        <v>6523</v>
      </c>
    </row>
    <row r="205" spans="18:18">
      <c r="R205" s="33" t="s">
        <v>6524</v>
      </c>
    </row>
    <row r="206" spans="18:18">
      <c r="R206" s="33" t="s">
        <v>6525</v>
      </c>
    </row>
    <row r="207" spans="18:18">
      <c r="R207" s="33" t="s">
        <v>6526</v>
      </c>
    </row>
  </sheetData>
  <mergeCells count="2">
    <mergeCell ref="G4:K4"/>
    <mergeCell ref="G5:K5"/>
  </mergeCells>
  <phoneticPr fontId="2"/>
  <hyperlinks>
    <hyperlink ref="H9" r:id="rId1" display="https://tools.l2.dwh.sb-sys.info/userhelp/data/komoku" xr:uid="{A95927AD-13F9-4D68-A8DB-C4B091100F74}"/>
    <hyperlink ref="H10" r:id="rId2" display="https://tools.l2.dwh.sb-sys.info/userhelp/data/komoku" xr:uid="{C8B452A9-D7AE-4244-AE7A-1D24A95FCFF6}"/>
    <hyperlink ref="H11" r:id="rId3" display="https://tools.l2.dwh.sb-sys.info/userhelp/data/komoku" xr:uid="{489C8EFC-4FBE-4D4F-92A4-EDA2B00B4306}"/>
    <hyperlink ref="H12" r:id="rId4" display="https://tools.l2.dwh.sb-sys.info/userhelp/data/komoku" xr:uid="{1045CD90-3746-4856-972F-5CD341661BAD}"/>
    <hyperlink ref="H13" r:id="rId5" display="https://tools.l2.dwh.sb-sys.info/userhelp/data/komoku" xr:uid="{DB49C420-1E6E-489C-913B-574FD472BF1F}"/>
    <hyperlink ref="H14" r:id="rId6" display="https://tools.l2.dwh.sb-sys.info/userhelp/data/komoku" xr:uid="{BD50DD21-205C-45BB-BE81-EFD7B87F837F}"/>
    <hyperlink ref="H15" r:id="rId7" display="https://tools.l2.dwh.sb-sys.info/userhelp/data/komoku" xr:uid="{13E21D07-197F-4E95-86A4-0C73A68BFAD1}"/>
    <hyperlink ref="H16" r:id="rId8" display="https://tools.l2.dwh.sb-sys.info/userhelp/data/komoku" xr:uid="{8CBE671D-C837-49A5-A5FE-D8497542F7A2}"/>
    <hyperlink ref="H17" r:id="rId9" display="https://tools.l2.dwh.sb-sys.info/userhelp/data/komoku" xr:uid="{6740DEB5-7C66-401F-8BF7-8E59EB2A0621}"/>
    <hyperlink ref="H18" r:id="rId10" display="https://tools.l2.dwh.sb-sys.info/userhelp/data/komoku" xr:uid="{B3D504C7-689B-4A18-B006-1C392782C838}"/>
    <hyperlink ref="H19" r:id="rId11" display="https://tools.l2.dwh.sb-sys.info/userhelp/data/komoku" xr:uid="{D0FE90B2-74D7-491F-8CEC-A52CC0F70992}"/>
    <hyperlink ref="H20" r:id="rId12" display="https://tools.l2.dwh.sb-sys.info/userhelp/data/komoku" xr:uid="{845A8C1A-F7FA-465F-BBAF-1796DF3AF150}"/>
    <hyperlink ref="H21" r:id="rId13" display="https://tools.l2.dwh.sb-sys.info/userhelp/data/komoku" xr:uid="{AAEF05A4-D7BE-4C34-BDC7-E5B7C1043B30}"/>
    <hyperlink ref="H22" r:id="rId14" display="https://tools.l2.dwh.sb-sys.info/userhelp/data/komoku" xr:uid="{6DDF97D8-8CBD-40C3-A99C-4EB1DB414A80}"/>
    <hyperlink ref="H23" r:id="rId15" display="https://tools.l2.dwh.sb-sys.info/userhelp/data/komoku" xr:uid="{96FA0A85-1A1D-44C8-93E0-EEB32EFF9D24}"/>
    <hyperlink ref="H24" r:id="rId16" display="https://tools.l2.dwh.sb-sys.info/userhelp/data/komoku" xr:uid="{8AF73E1A-8776-4F2B-8569-26902EC3D803}"/>
    <hyperlink ref="H25" r:id="rId17" display="https://tools.l2.dwh.sb-sys.info/userhelp/data/komoku" xr:uid="{EC3A1D99-A8CE-43A5-83F3-FFB0B72E8080}"/>
    <hyperlink ref="H26" r:id="rId18" display="https://tools.l2.dwh.sb-sys.info/userhelp/data/komoku" xr:uid="{73D6AA50-1F49-467C-99D7-97170C094FA8}"/>
    <hyperlink ref="H27" r:id="rId19" display="https://tools.l2.dwh.sb-sys.info/userhelp/data/komoku" xr:uid="{679831B1-B3E3-43A5-BBCF-435A1F0E2C3B}"/>
    <hyperlink ref="H28" r:id="rId20" display="https://tools.l2.dwh.sb-sys.info/userhelp/data/komoku" xr:uid="{E5B35AE6-889E-4A77-8F25-3BA7D977E424}"/>
    <hyperlink ref="H29" r:id="rId21" display="https://tools.l2.dwh.sb-sys.info/userhelp/data/komoku" xr:uid="{7A62BF7B-436F-4B6F-A96E-184ADEE532AC}"/>
    <hyperlink ref="H30" r:id="rId22" display="https://tools.l2.dwh.sb-sys.info/userhelp/data/komoku" xr:uid="{F646B01C-900A-4E3D-8A65-76D3251D6E81}"/>
    <hyperlink ref="H31" r:id="rId23" display="https://tools.l2.dwh.sb-sys.info/userhelp/data/komoku" xr:uid="{970F875D-3D5C-4ABB-9CC5-62BEE5378244}"/>
    <hyperlink ref="H32" r:id="rId24" display="https://tools.l2.dwh.sb-sys.info/userhelp/data/komoku" xr:uid="{C7C0FCD5-E777-4E17-B449-874E2E72E91C}"/>
    <hyperlink ref="H33" r:id="rId25" display="https://tools.l2.dwh.sb-sys.info/userhelp/data/komoku" xr:uid="{519F6BE4-89D9-4B2F-B6BD-EB896500CB90}"/>
    <hyperlink ref="H34" r:id="rId26" display="https://tools.l2.dwh.sb-sys.info/userhelp/data/komoku" xr:uid="{B15B3C5A-6D51-4060-8EAA-0C739238E703}"/>
    <hyperlink ref="H35" r:id="rId27" display="https://tools.l2.dwh.sb-sys.info/userhelp/data/komoku" xr:uid="{9CDAB9A0-3C96-4E2A-8C5C-3958865EF3E9}"/>
    <hyperlink ref="H36" r:id="rId28" display="https://tools.l2.dwh.sb-sys.info/userhelp/data/komoku" xr:uid="{4FB98385-7BF0-4FB6-A1F1-E821C6663A74}"/>
    <hyperlink ref="H37" r:id="rId29" display="https://tools.l2.dwh.sb-sys.info/userhelp/data/komoku" xr:uid="{3E8EE7D2-142B-4425-9629-4D02DDFE5BDB}"/>
    <hyperlink ref="H38" r:id="rId30" display="https://tools.l2.dwh.sb-sys.info/userhelp/data/komoku" xr:uid="{A38A17B1-9880-48E5-9F04-EF60860385DD}"/>
    <hyperlink ref="H39" r:id="rId31" display="https://tools.l2.dwh.sb-sys.info/userhelp/data/komoku" xr:uid="{CACD9F4B-916D-4A6C-B075-5B895AA69C32}"/>
    <hyperlink ref="H40" r:id="rId32" display="https://tools.l2.dwh.sb-sys.info/userhelp/data/komoku" xr:uid="{57AA0059-7D65-46F3-A270-800F6EDA3344}"/>
    <hyperlink ref="H41" r:id="rId33" display="https://tools.l2.dwh.sb-sys.info/userhelp/data/komoku" xr:uid="{605D3EFD-52C6-4773-B0FF-4FD3436EF3EB}"/>
    <hyperlink ref="H42" r:id="rId34" display="https://tools.l2.dwh.sb-sys.info/userhelp/data/komoku" xr:uid="{B6C679EB-2DFD-4974-A8D0-DC466799A0C6}"/>
    <hyperlink ref="H43" r:id="rId35" display="https://tools.l2.dwh.sb-sys.info/userhelp/data/komoku" xr:uid="{E3B7938D-9C41-49F3-ADCC-1A3017A463F9}"/>
    <hyperlink ref="H44" r:id="rId36" display="https://tools.l2.dwh.sb-sys.info/userhelp/data/komoku" xr:uid="{9E5CDCCF-A135-448B-980D-EEC8D154ADD7}"/>
    <hyperlink ref="H45" r:id="rId37" display="https://tools.l2.dwh.sb-sys.info/userhelp/data/komoku" xr:uid="{F7D38A66-D64C-49DA-BD25-2108895C1203}"/>
    <hyperlink ref="H46" r:id="rId38" display="https://tools.l2.dwh.sb-sys.info/userhelp/data/komoku" xr:uid="{AB84769D-1493-492C-B1D9-096D4D15BC33}"/>
    <hyperlink ref="H47" r:id="rId39" display="https://tools.l2.dwh.sb-sys.info/userhelp/data/komoku" xr:uid="{F3178DEA-A550-48E9-9EC7-679247ED74E9}"/>
    <hyperlink ref="H48" r:id="rId40" display="https://tools.l2.dwh.sb-sys.info/userhelp/data/komoku" xr:uid="{B5E79569-54CC-4C01-9D69-417071FE575B}"/>
    <hyperlink ref="H49" r:id="rId41" display="https://tools.l2.dwh.sb-sys.info/userhelp/data/komoku" xr:uid="{EA7BB209-EEA1-4069-8D49-AE6030D6D061}"/>
    <hyperlink ref="H50" r:id="rId42" display="https://tools.l2.dwh.sb-sys.info/userhelp/data/komoku" xr:uid="{24EA2442-4ACB-4C21-B730-91EEBCAA8439}"/>
    <hyperlink ref="H51" r:id="rId43" display="https://tools.l2.dwh.sb-sys.info/userhelp/data/komoku" xr:uid="{AD687B8F-DCC4-4F6F-ABCD-DB645DBF218E}"/>
    <hyperlink ref="H52" r:id="rId44" display="https://tools.l2.dwh.sb-sys.info/userhelp/data/komoku" xr:uid="{9F4F109E-82D9-4E7B-BBF0-E82B4F85C5DE}"/>
    <hyperlink ref="H53" r:id="rId45" display="https://tools.l2.dwh.sb-sys.info/userhelp/data/komoku" xr:uid="{6B34D80F-DF7C-496D-BB47-979F34D20786}"/>
    <hyperlink ref="H54" r:id="rId46" display="https://tools.l2.dwh.sb-sys.info/userhelp/data/komoku" xr:uid="{112CB23F-3F1F-450F-9D56-8AD96AE873C5}"/>
    <hyperlink ref="H55" r:id="rId47" display="https://tools.l2.dwh.sb-sys.info/userhelp/data/komoku" xr:uid="{7921C59E-1F29-4956-8A18-57A1F5D6B522}"/>
    <hyperlink ref="H56" r:id="rId48" display="https://tools.l2.dwh.sb-sys.info/userhelp/data/komoku" xr:uid="{2E95AD1D-52C4-4966-A6B7-6125C8A4F52D}"/>
    <hyperlink ref="H57" r:id="rId49" display="https://tools.l2.dwh.sb-sys.info/userhelp/data/komoku" xr:uid="{C58C04CC-4062-45C3-BC17-1E0C0CF754E5}"/>
    <hyperlink ref="H58" r:id="rId50" display="https://tools.l2.dwh.sb-sys.info/userhelp/data/komoku" xr:uid="{34FE3E7A-FC14-4A94-8462-C3C1D5FFADEC}"/>
    <hyperlink ref="H59" r:id="rId51" display="https://tools.l2.dwh.sb-sys.info/userhelp/data/komoku" xr:uid="{B57E9B8A-F27C-4752-8841-BA9078E504BA}"/>
    <hyperlink ref="H60" r:id="rId52" display="https://tools.l2.dwh.sb-sys.info/userhelp/data/komoku" xr:uid="{DF05D157-7CA5-4D62-B80A-179A594498DA}"/>
    <hyperlink ref="H61" r:id="rId53" display="https://tools.l2.dwh.sb-sys.info/userhelp/data/komoku" xr:uid="{37321108-D716-4289-9A13-1923848667BD}"/>
    <hyperlink ref="H62" r:id="rId54" display="https://tools.l2.dwh.sb-sys.info/userhelp/data/komoku" xr:uid="{798B51A6-852B-4222-B78A-F54D00AD24B5}"/>
    <hyperlink ref="H63" r:id="rId55" display="https://tools.l2.dwh.sb-sys.info/userhelp/data/komoku" xr:uid="{7042BC93-0FA1-4EEB-9ABF-DD15ADD1FC12}"/>
    <hyperlink ref="H64" r:id="rId56" display="https://tools.l2.dwh.sb-sys.info/userhelp/data/komoku" xr:uid="{EE9DF94A-5258-4281-96FE-6AA056B8B211}"/>
    <hyperlink ref="H65" r:id="rId57" display="https://tools.l2.dwh.sb-sys.info/userhelp/data/komoku" xr:uid="{12BECD0B-3B17-4E21-A086-6E72173C9DEF}"/>
    <hyperlink ref="H66" r:id="rId58" display="https://tools.l2.dwh.sb-sys.info/userhelp/data/komoku" xr:uid="{7380A8B9-FF1E-4785-96E7-C33969A7D6C8}"/>
    <hyperlink ref="H67" r:id="rId59" display="https://tools.l2.dwh.sb-sys.info/userhelp/data/komoku" xr:uid="{D3836CA7-3693-445C-9C63-B7FC0C8465C5}"/>
    <hyperlink ref="H68" r:id="rId60" display="https://tools.l2.dwh.sb-sys.info/userhelp/data/komoku" xr:uid="{7C7AEF29-CFE5-4EB0-9F5B-3282CA2F1E24}"/>
    <hyperlink ref="H69" r:id="rId61" display="https://tools.l2.dwh.sb-sys.info/userhelp/data/komoku" xr:uid="{8897C09B-A025-416E-BECE-CF27375DD35A}"/>
    <hyperlink ref="H70" r:id="rId62" display="https://tools.l2.dwh.sb-sys.info/userhelp/data/komoku" xr:uid="{4903D764-EE6B-41D7-8E98-923D110B8BCE}"/>
    <hyperlink ref="H71" r:id="rId63" display="https://tools.l2.dwh.sb-sys.info/userhelp/data/komoku" xr:uid="{F2184CD8-B15A-429A-A70D-4E688AF9E938}"/>
    <hyperlink ref="H72" r:id="rId64" display="https://tools.l2.dwh.sb-sys.info/userhelp/data/komoku" xr:uid="{9E9344B1-2F8D-42C9-BBB5-9597EC442F32}"/>
    <hyperlink ref="H73" r:id="rId65" display="https://tools.l2.dwh.sb-sys.info/userhelp/data/komoku" xr:uid="{BBC14BDE-ACC3-41E5-BAA1-FFF2C9CA80CF}"/>
    <hyperlink ref="H74" r:id="rId66" display="https://tools.l2.dwh.sb-sys.info/userhelp/data/komoku" xr:uid="{4819424F-6999-4F73-8826-2E2F6565479C}"/>
    <hyperlink ref="H75" r:id="rId67" display="https://tools.l2.dwh.sb-sys.info/userhelp/data/komoku" xr:uid="{FA28BAD3-1A17-4C07-91F2-5F930D8F8AC2}"/>
    <hyperlink ref="H76" r:id="rId68" display="https://tools.l2.dwh.sb-sys.info/userhelp/data/komoku" xr:uid="{49007E8D-536D-4077-A051-2B3EB0DF44D5}"/>
    <hyperlink ref="H77" r:id="rId69" display="https://tools.l2.dwh.sb-sys.info/userhelp/data/komoku" xr:uid="{1112CD34-94A9-42F6-ADE9-42C866241A7B}"/>
    <hyperlink ref="H78" r:id="rId70" display="https://tools.l2.dwh.sb-sys.info/userhelp/data/komoku" xr:uid="{0EEC26EA-E552-473F-A483-E409837D0E44}"/>
    <hyperlink ref="H79" r:id="rId71" display="https://tools.l2.dwh.sb-sys.info/userhelp/data/komoku" xr:uid="{89EC63BD-B6A1-44FE-AF31-3EA98EA435DD}"/>
    <hyperlink ref="H80" r:id="rId72" display="https://tools.l2.dwh.sb-sys.info/userhelp/data/komoku" xr:uid="{4B71C088-0AAA-4DB3-8C35-576ED91AC0F0}"/>
    <hyperlink ref="H81" r:id="rId73" display="https://tools.l2.dwh.sb-sys.info/userhelp/data/komoku" xr:uid="{478DF12A-0604-44B7-8297-0CE9C6CCCE0D}"/>
    <hyperlink ref="H82" r:id="rId74" display="https://tools.l2.dwh.sb-sys.info/userhelp/data/komoku" xr:uid="{A281184D-4E38-4595-AFCD-D82BD3DC05C7}"/>
    <hyperlink ref="H83" r:id="rId75" display="https://tools.l2.dwh.sb-sys.info/userhelp/data/komoku" xr:uid="{078D00B9-E5AD-4803-8009-F498F970BDCB}"/>
    <hyperlink ref="H84" r:id="rId76" display="https://tools.l2.dwh.sb-sys.info/userhelp/data/komoku" xr:uid="{C3CFD9FF-2A7A-45A0-9957-36EF98660070}"/>
    <hyperlink ref="H85" r:id="rId77" display="https://tools.l2.dwh.sb-sys.info/userhelp/data/komoku" xr:uid="{C18005F1-6F6C-482F-B643-AC02E2B7C11E}"/>
    <hyperlink ref="H86" r:id="rId78" display="https://tools.l2.dwh.sb-sys.info/userhelp/data/komoku" xr:uid="{D5E1121D-0998-4ED6-B74E-93D7CCF86BD4}"/>
    <hyperlink ref="H87" r:id="rId79" display="https://tools.l2.dwh.sb-sys.info/userhelp/data/komoku" xr:uid="{16740100-516C-42C9-A82B-06538C0E1273}"/>
    <hyperlink ref="H88" r:id="rId80" display="https://tools.l2.dwh.sb-sys.info/userhelp/data/komoku" xr:uid="{9122FD80-696D-4F7E-9B5F-BF0F902767D0}"/>
    <hyperlink ref="H89" r:id="rId81" display="https://tools.l2.dwh.sb-sys.info/userhelp/data/komoku" xr:uid="{E1E45FD8-599E-43CF-BED7-7CEFCAB3F595}"/>
    <hyperlink ref="H90" r:id="rId82" display="https://tools.l2.dwh.sb-sys.info/userhelp/data/komoku" xr:uid="{2AF5A29E-4E31-4B5A-87D3-64CF9B11ADDA}"/>
    <hyperlink ref="H91" r:id="rId83" display="https://tools.l2.dwh.sb-sys.info/userhelp/data/komoku" xr:uid="{91D77DA4-5AB5-47FD-9018-6783099EEB17}"/>
    <hyperlink ref="H92" r:id="rId84" display="https://tools.l2.dwh.sb-sys.info/userhelp/data/komoku" xr:uid="{95963423-CFFD-484E-BD77-6E74EBB6F017}"/>
    <hyperlink ref="H93" r:id="rId85" display="https://tools.l2.dwh.sb-sys.info/userhelp/data/komoku" xr:uid="{79CD67E1-B9A1-4520-A815-99B258E74BDD}"/>
    <hyperlink ref="H94" r:id="rId86" display="https://tools.l2.dwh.sb-sys.info/userhelp/data/komoku" xr:uid="{B9B14743-84A2-484C-9F14-9D49EA351285}"/>
    <hyperlink ref="H95" r:id="rId87" display="https://tools.l2.dwh.sb-sys.info/userhelp/data/komoku" xr:uid="{CFCC7A71-3E93-4DBB-AEBE-9B87C994FAC7}"/>
    <hyperlink ref="H96" r:id="rId88" display="https://tools.l2.dwh.sb-sys.info/userhelp/data/komoku" xr:uid="{AC9252A2-C4D1-4236-9C68-C697411163F0}"/>
    <hyperlink ref="H97" r:id="rId89" display="https://tools.l2.dwh.sb-sys.info/userhelp/data/komoku" xr:uid="{B4D1141B-F887-42F6-878F-CF3E754CD35D}"/>
    <hyperlink ref="H98" r:id="rId90" display="https://tools.l2.dwh.sb-sys.info/userhelp/data/komoku" xr:uid="{29CD5758-AF30-4FAF-B248-C0ACE4F26F6A}"/>
    <hyperlink ref="H99" r:id="rId91" display="https://tools.l2.dwh.sb-sys.info/userhelp/data/komoku" xr:uid="{4C0872BB-6C46-4689-9BEC-FC2455240058}"/>
    <hyperlink ref="H100" r:id="rId92" display="https://tools.l2.dwh.sb-sys.info/userhelp/data/komoku" xr:uid="{12D3E9D3-8B91-49AF-8CC7-870BBD95DCBA}"/>
    <hyperlink ref="H101" r:id="rId93" display="https://tools.l2.dwh.sb-sys.info/userhelp/data/komoku" xr:uid="{765FB970-FABC-4538-8A21-0F625B216CE8}"/>
    <hyperlink ref="H102" r:id="rId94" display="https://tools.l2.dwh.sb-sys.info/userhelp/data/komoku" xr:uid="{9364DFB8-FEE9-4A9E-BCFD-DEE970A68F17}"/>
    <hyperlink ref="H103" r:id="rId95" display="https://tools.l2.dwh.sb-sys.info/userhelp/data/komoku" xr:uid="{0E55141B-AE72-4603-BB00-5A74A0840914}"/>
    <hyperlink ref="H104" r:id="rId96" display="https://tools.l2.dwh.sb-sys.info/userhelp/data/komoku" xr:uid="{92E114EA-0A17-4CED-8108-3EE001CA7B54}"/>
    <hyperlink ref="H105" r:id="rId97" display="https://tools.l2.dwh.sb-sys.info/userhelp/data/komoku" xr:uid="{3D340163-9202-4CC8-BC94-7109E3C08EE7}"/>
    <hyperlink ref="H106" r:id="rId98" display="https://tools.l2.dwh.sb-sys.info/userhelp/data/komoku" xr:uid="{7272FCD1-9151-4E4A-AD9D-66F1EA20BD1F}"/>
  </hyperlinks>
  <pageMargins left="0.7" right="0.7" top="0.75" bottom="0.75" header="0.3" footer="0.3"/>
  <pageSetup paperSize="9" orientation="portrait" r:id="rId99"/>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F1D5B-12F8-4A98-BE64-358BFDD18F56}">
  <sheetPr>
    <tabColor theme="9"/>
  </sheetPr>
  <dimension ref="A1:R29"/>
  <sheetViews>
    <sheetView workbookViewId="0">
      <selection activeCell="K18" sqref="K18"/>
    </sheetView>
  </sheetViews>
  <sheetFormatPr defaultRowHeight="18.75"/>
  <cols>
    <col min="1" max="1" width="3.375" bestFit="1" customWidth="1"/>
    <col min="2" max="2" width="4.375" bestFit="1" customWidth="1"/>
    <col min="3" max="3" width="15.5" bestFit="1" customWidth="1"/>
    <col min="4" max="4" width="9.375" bestFit="1" customWidth="1"/>
    <col min="5" max="5" width="3.25" bestFit="1" customWidth="1"/>
    <col min="6" max="6" width="6" customWidth="1"/>
    <col min="7" max="7" width="18.875" customWidth="1"/>
    <col min="8" max="8" width="20.5" customWidth="1"/>
    <col min="9" max="9" width="4.5" customWidth="1"/>
    <col min="10" max="10" width="6" customWidth="1"/>
    <col min="11" max="11" width="24.25" customWidth="1"/>
    <col min="14" max="14" width="26.25" customWidth="1"/>
  </cols>
  <sheetData>
    <row r="1" spans="1:18" ht="19.5" thickBot="1"/>
    <row r="2" spans="1:18" ht="60.75" thickBot="1">
      <c r="F2" s="1" t="s">
        <v>41</v>
      </c>
      <c r="G2" s="1" t="s">
        <v>42</v>
      </c>
      <c r="H2" s="1" t="s">
        <v>43</v>
      </c>
      <c r="I2" s="1" t="s">
        <v>44</v>
      </c>
      <c r="J2" s="1" t="s">
        <v>45</v>
      </c>
    </row>
    <row r="3" spans="1:18" ht="30.75" thickBot="1">
      <c r="F3" s="2" t="s">
        <v>46</v>
      </c>
      <c r="G3" s="3" t="s">
        <v>6527</v>
      </c>
      <c r="H3" s="3"/>
      <c r="I3" s="3" t="s">
        <v>6528</v>
      </c>
      <c r="J3" s="3" t="s">
        <v>49</v>
      </c>
      <c r="K3" t="s">
        <v>6529</v>
      </c>
    </row>
    <row r="4" spans="1:18">
      <c r="F4" s="41" t="s">
        <v>51</v>
      </c>
      <c r="G4" s="42"/>
      <c r="H4" s="42"/>
      <c r="I4" s="42"/>
      <c r="J4" s="43"/>
    </row>
    <row r="5" spans="1:18" ht="19.5" thickBot="1">
      <c r="F5" s="44" t="s">
        <v>5203</v>
      </c>
      <c r="G5" s="45"/>
      <c r="H5" s="45"/>
      <c r="I5" s="45"/>
      <c r="J5" s="46"/>
    </row>
    <row r="6" spans="1:18" ht="19.5" thickBot="1">
      <c r="K6" t="str">
        <f>"DROP TABLE IF EXISTS "&amp;K3&amp;" CASCADE;"</f>
        <v>DROP TABLE IF EXISTS summit_approval_related_application CASCADE;</v>
      </c>
      <c r="R6" s="33" t="s">
        <v>6530</v>
      </c>
    </row>
    <row r="7" spans="1:18" ht="19.5" thickBot="1">
      <c r="K7" t="str">
        <f>"CREATE TABLE IF NOT EXISTS "&amp;K3&amp;" ("</f>
        <v>CREATE TABLE IF NOT EXISTS summit_approval_related_application (</v>
      </c>
      <c r="N7" s="40" t="str">
        <f>"COMMENT ON TABLE "&amp;K3&amp;" IS '"&amp;G3&amp;"';"</f>
        <v>COMMENT ON TABLE summit_approval_related_application IS 'b_hjn_smt_問い合わせツール_決裁_関連申請書';</v>
      </c>
      <c r="R7" s="33" t="s">
        <v>6531</v>
      </c>
    </row>
    <row r="8" spans="1:18" ht="19.5" thickBot="1">
      <c r="A8" s="4" t="s">
        <v>6532</v>
      </c>
      <c r="B8" s="4" t="s">
        <v>55</v>
      </c>
      <c r="C8" s="4" t="s">
        <v>56</v>
      </c>
      <c r="D8" s="4" t="s">
        <v>57</v>
      </c>
      <c r="E8" s="4" t="s">
        <v>58</v>
      </c>
      <c r="F8" s="4" t="s">
        <v>59</v>
      </c>
      <c r="G8" s="4" t="s">
        <v>60</v>
      </c>
      <c r="H8" s="4" t="s">
        <v>61</v>
      </c>
      <c r="I8" s="4" t="s">
        <v>62</v>
      </c>
      <c r="J8" s="4" t="s">
        <v>63</v>
      </c>
      <c r="K8" t="s">
        <v>64</v>
      </c>
      <c r="N8" s="38" t="str">
        <f>"COMMENT ON COLUMN "&amp;$K$3&amp;".id IS 'id';"</f>
        <v>COMMENT ON COLUMN summit_approval_related_application.id IS 'id';</v>
      </c>
      <c r="R8" s="34" t="s">
        <v>65</v>
      </c>
    </row>
    <row r="9" spans="1:18" ht="19.5" thickBot="1">
      <c r="A9" s="3"/>
      <c r="B9" s="3">
        <v>1</v>
      </c>
      <c r="C9" s="3" t="s">
        <v>6533</v>
      </c>
      <c r="D9" s="3" t="s">
        <v>66</v>
      </c>
      <c r="E9" s="3">
        <v>48</v>
      </c>
      <c r="F9" s="2" t="s">
        <v>67</v>
      </c>
      <c r="G9" s="3"/>
      <c r="H9" s="5"/>
      <c r="I9" s="3"/>
      <c r="J9" s="3"/>
      <c r="K9" t="s">
        <v>6534</v>
      </c>
      <c r="L9" t="str">
        <f t="shared" ref="L9:L17" si="0">D9&amp;"("&amp;E9&amp;"),"</f>
        <v>VARCHAR(48),</v>
      </c>
      <c r="N9" s="38" t="str">
        <f>"COMMENT ON COLUMN "&amp;$K$3&amp;"."&amp;$K9&amp;" IS '"&amp;C9&amp;"';"</f>
        <v>COMMENT ON COLUMN summit_approval_related_application.application_id IS '申請書id';</v>
      </c>
      <c r="R9" s="34" t="s">
        <v>6535</v>
      </c>
    </row>
    <row r="10" spans="1:18" ht="19.5" thickBot="1">
      <c r="A10" s="6"/>
      <c r="B10" s="6">
        <v>2</v>
      </c>
      <c r="C10" s="6" t="s">
        <v>6536</v>
      </c>
      <c r="D10" s="6" t="s">
        <v>66</v>
      </c>
      <c r="E10" s="6">
        <v>48</v>
      </c>
      <c r="F10" s="7" t="s">
        <v>67</v>
      </c>
      <c r="G10" s="6"/>
      <c r="H10" s="8"/>
      <c r="I10" s="6"/>
      <c r="J10" s="6"/>
      <c r="K10" t="s">
        <v>6537</v>
      </c>
      <c r="L10" t="str">
        <f t="shared" si="0"/>
        <v>VARCHAR(48),</v>
      </c>
      <c r="N10" s="38" t="str">
        <f t="shared" ref="N10:N17" si="1">"COMMENT ON COLUMN "&amp;$K$3&amp;"."&amp;$K10&amp;" IS '"&amp;C10&amp;"';"</f>
        <v>COMMENT ON COLUMN summit_approval_related_application.external_connection_id IS '外部連携id';</v>
      </c>
      <c r="R10" s="34" t="s">
        <v>6538</v>
      </c>
    </row>
    <row r="11" spans="1:18" ht="19.5" thickBot="1">
      <c r="A11" s="3"/>
      <c r="B11" s="3">
        <v>3</v>
      </c>
      <c r="C11" s="3" t="s">
        <v>6539</v>
      </c>
      <c r="D11" s="3" t="s">
        <v>89</v>
      </c>
      <c r="E11" s="3">
        <v>10</v>
      </c>
      <c r="F11" s="2" t="s">
        <v>67</v>
      </c>
      <c r="G11" s="3"/>
      <c r="H11" s="5"/>
      <c r="I11" s="3"/>
      <c r="J11" s="3"/>
      <c r="K11" t="s">
        <v>6540</v>
      </c>
      <c r="L11" t="str">
        <f t="shared" si="0"/>
        <v>DECIMAL(10),</v>
      </c>
      <c r="N11" s="38" t="str">
        <f t="shared" si="1"/>
        <v>COMMENT ON COLUMN summit_approval_related_application.related_serial_number IS '関連通番';</v>
      </c>
      <c r="R11" s="34" t="s">
        <v>6541</v>
      </c>
    </row>
    <row r="12" spans="1:18" ht="19.5" thickBot="1">
      <c r="A12" s="6"/>
      <c r="B12" s="6">
        <v>4</v>
      </c>
      <c r="C12" s="6" t="s">
        <v>6542</v>
      </c>
      <c r="D12" s="6" t="s">
        <v>66</v>
      </c>
      <c r="E12" s="6">
        <v>3</v>
      </c>
      <c r="F12" s="7" t="s">
        <v>67</v>
      </c>
      <c r="G12" s="6"/>
      <c r="H12" s="8"/>
      <c r="I12" s="6"/>
      <c r="J12" s="6"/>
      <c r="K12" t="s">
        <v>6543</v>
      </c>
      <c r="L12" t="str">
        <f t="shared" si="0"/>
        <v>VARCHAR(3),</v>
      </c>
      <c r="N12" s="38" t="str">
        <f t="shared" si="1"/>
        <v>COMMENT ON COLUMN summit_approval_related_application.related_category IS '関連区分';</v>
      </c>
      <c r="R12" s="34" t="s">
        <v>6544</v>
      </c>
    </row>
    <row r="13" spans="1:18" ht="19.5" thickBot="1">
      <c r="A13" s="3"/>
      <c r="B13" s="3">
        <v>5</v>
      </c>
      <c r="C13" s="3" t="s">
        <v>6545</v>
      </c>
      <c r="D13" s="3" t="s">
        <v>66</v>
      </c>
      <c r="E13" s="3">
        <v>54</v>
      </c>
      <c r="F13" s="2" t="s">
        <v>67</v>
      </c>
      <c r="G13" s="3"/>
      <c r="H13" s="5"/>
      <c r="I13" s="3"/>
      <c r="J13" s="3"/>
      <c r="K13" t="s">
        <v>6546</v>
      </c>
      <c r="L13" t="str">
        <f t="shared" si="0"/>
        <v>VARCHAR(54),</v>
      </c>
      <c r="N13" s="38" t="str">
        <f t="shared" si="1"/>
        <v>COMMENT ON COLUMN summit_approval_related_application.related_id IS '関連id';</v>
      </c>
      <c r="R13" s="34" t="s">
        <v>6547</v>
      </c>
    </row>
    <row r="14" spans="1:18" ht="19.5" thickBot="1">
      <c r="A14" s="6"/>
      <c r="B14" s="6">
        <v>6</v>
      </c>
      <c r="C14" s="6" t="s">
        <v>6548</v>
      </c>
      <c r="D14" s="6" t="s">
        <v>66</v>
      </c>
      <c r="E14" s="6">
        <v>69</v>
      </c>
      <c r="F14" s="7" t="s">
        <v>67</v>
      </c>
      <c r="G14" s="6"/>
      <c r="H14" s="8"/>
      <c r="I14" s="6"/>
      <c r="J14" s="6"/>
      <c r="K14" t="s">
        <v>6549</v>
      </c>
      <c r="L14" t="str">
        <f t="shared" si="0"/>
        <v>VARCHAR(69),</v>
      </c>
      <c r="N14" s="38" t="str">
        <f t="shared" si="1"/>
        <v>COMMENT ON COLUMN summit_approval_related_application.update_date_and_time IS '更新日時';</v>
      </c>
      <c r="R14" s="34" t="s">
        <v>6550</v>
      </c>
    </row>
    <row r="15" spans="1:18" ht="19.5" thickBot="1">
      <c r="A15" s="3"/>
      <c r="B15" s="3">
        <v>7</v>
      </c>
      <c r="C15" s="3" t="s">
        <v>3213</v>
      </c>
      <c r="D15" s="3" t="s">
        <v>66</v>
      </c>
      <c r="E15" s="3">
        <v>63</v>
      </c>
      <c r="F15" s="2" t="s">
        <v>67</v>
      </c>
      <c r="G15" s="3"/>
      <c r="H15" s="5"/>
      <c r="I15" s="3"/>
      <c r="J15" s="3"/>
      <c r="K15" t="s">
        <v>3215</v>
      </c>
      <c r="L15" t="str">
        <f t="shared" si="0"/>
        <v>VARCHAR(63),</v>
      </c>
      <c r="N15" s="38" t="str">
        <f t="shared" si="1"/>
        <v>COMMENT ON COLUMN summit_approval_related_application.updated_user IS '更新ユーザ';</v>
      </c>
      <c r="R15" s="34" t="s">
        <v>6551</v>
      </c>
    </row>
    <row r="16" spans="1:18" ht="19.5" thickBot="1">
      <c r="A16" s="6"/>
      <c r="B16" s="6">
        <v>8</v>
      </c>
      <c r="C16" s="6" t="s">
        <v>6552</v>
      </c>
      <c r="D16" s="6" t="s">
        <v>66</v>
      </c>
      <c r="E16" s="6">
        <v>69</v>
      </c>
      <c r="F16" s="7" t="s">
        <v>67</v>
      </c>
      <c r="G16" s="6"/>
      <c r="H16" s="8"/>
      <c r="I16" s="6"/>
      <c r="J16" s="6"/>
      <c r="K16" t="s">
        <v>6553</v>
      </c>
      <c r="L16" t="str">
        <f t="shared" si="0"/>
        <v>VARCHAR(69),</v>
      </c>
      <c r="N16" s="38" t="str">
        <f t="shared" si="1"/>
        <v>COMMENT ON COLUMN summit_approval_related_application.record_creation_date_and_time IS 'レコード作成日時';</v>
      </c>
      <c r="R16" s="34" t="s">
        <v>6554</v>
      </c>
    </row>
    <row r="17" spans="1:18" ht="19.5" thickBot="1">
      <c r="A17" s="3"/>
      <c r="B17" s="3">
        <v>9</v>
      </c>
      <c r="C17" s="3" t="s">
        <v>6555</v>
      </c>
      <c r="D17" s="3" t="s">
        <v>66</v>
      </c>
      <c r="E17" s="3">
        <v>63</v>
      </c>
      <c r="F17" s="2" t="s">
        <v>67</v>
      </c>
      <c r="G17" s="3"/>
      <c r="H17" s="5"/>
      <c r="I17" s="3"/>
      <c r="J17" s="3"/>
      <c r="K17" t="s">
        <v>6556</v>
      </c>
      <c r="L17" t="str">
        <f t="shared" si="0"/>
        <v>VARCHAR(63),</v>
      </c>
      <c r="N17" s="38" t="str">
        <f t="shared" si="1"/>
        <v>COMMENT ON COLUMN summit_approval_related_application.record_creation_user IS 'レコード作成ユーザ';</v>
      </c>
      <c r="R17" s="34" t="s">
        <v>6557</v>
      </c>
    </row>
    <row r="18" spans="1:18">
      <c r="K18" t="str">
        <f>"CONSTRAINT pk_"&amp;K3&amp;" PRIMARY KEY (id));"</f>
        <v>CONSTRAINT pk_summit_approval_related_application PRIMARY KEY (id));</v>
      </c>
      <c r="R18" s="33" t="s">
        <v>6558</v>
      </c>
    </row>
    <row r="19" spans="1:18">
      <c r="R19" s="33" t="s">
        <v>6559</v>
      </c>
    </row>
    <row r="20" spans="1:18">
      <c r="R20" s="33" t="s">
        <v>6560</v>
      </c>
    </row>
    <row r="21" spans="1:18">
      <c r="R21" s="33" t="s">
        <v>6561</v>
      </c>
    </row>
    <row r="22" spans="1:18">
      <c r="R22" s="33" t="s">
        <v>6562</v>
      </c>
    </row>
    <row r="23" spans="1:18">
      <c r="R23" s="33" t="s">
        <v>6563</v>
      </c>
    </row>
    <row r="24" spans="1:18">
      <c r="R24" s="33" t="s">
        <v>6564</v>
      </c>
    </row>
    <row r="25" spans="1:18">
      <c r="R25" s="33" t="s">
        <v>6565</v>
      </c>
    </row>
    <row r="26" spans="1:18">
      <c r="R26" s="33" t="s">
        <v>6566</v>
      </c>
    </row>
    <row r="27" spans="1:18">
      <c r="R27" s="33" t="s">
        <v>6567</v>
      </c>
    </row>
    <row r="28" spans="1:18">
      <c r="R28" s="33" t="s">
        <v>6568</v>
      </c>
    </row>
    <row r="29" spans="1:18">
      <c r="R29" s="33" t="s">
        <v>6569</v>
      </c>
    </row>
  </sheetData>
  <mergeCells count="2">
    <mergeCell ref="F4:J4"/>
    <mergeCell ref="F5:J5"/>
  </mergeCells>
  <phoneticPr fontId="2"/>
  <hyperlinks>
    <hyperlink ref="H9" r:id="rId1" display="https://tools.l2.dwh.sb-sys.info/userhelp/data/komoku" xr:uid="{6E19651F-283F-4EC6-82B9-0DABA325D243}"/>
    <hyperlink ref="H10" r:id="rId2" display="https://tools.l2.dwh.sb-sys.info/userhelp/data/komoku" xr:uid="{5A478B9C-D5BC-47C6-BE8C-6827678FF17E}"/>
    <hyperlink ref="H11" r:id="rId3" display="https://tools.l2.dwh.sb-sys.info/userhelp/data/komoku" xr:uid="{FE188973-E992-4C1B-A690-A880D2950EBA}"/>
    <hyperlink ref="H12" r:id="rId4" display="https://tools.l2.dwh.sb-sys.info/userhelp/data/komoku" xr:uid="{D69CA7E9-334E-4366-AE23-57DE996C1A25}"/>
    <hyperlink ref="H13" r:id="rId5" display="https://tools.l2.dwh.sb-sys.info/userhelp/data/komoku" xr:uid="{5E693097-EF6D-4F3C-BD1D-35A370500FF8}"/>
    <hyperlink ref="H14" r:id="rId6" display="https://tools.l2.dwh.sb-sys.info/userhelp/data/komoku" xr:uid="{23C9B63F-23C2-487B-B154-3DD61B6C0B57}"/>
    <hyperlink ref="H15" r:id="rId7" display="https://tools.l2.dwh.sb-sys.info/userhelp/data/komoku" xr:uid="{7CC7F578-158F-4BCB-82CF-6AA96ED07BDE}"/>
    <hyperlink ref="H16" r:id="rId8" display="https://tools.l2.dwh.sb-sys.info/userhelp/data/komoku" xr:uid="{403793F3-8578-484C-A84F-B49B8BE63412}"/>
    <hyperlink ref="H17" r:id="rId9" display="https://tools.l2.dwh.sb-sys.info/userhelp/data/komoku" xr:uid="{D2BB2BC0-DFA8-41CB-A5AC-65DF5AEA6AAD}"/>
  </hyperlinks>
  <pageMargins left="0.7" right="0.7" top="0.75" bottom="0.75" header="0.3" footer="0.3"/>
  <pageSetup paperSize="9" orientation="portrait" r:id="rId1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537DD-8332-4078-915E-CF520C3D723C}">
  <sheetPr>
    <tabColor theme="8" tint="0.39997558519241921"/>
  </sheetPr>
  <dimension ref="A1:N224"/>
  <sheetViews>
    <sheetView workbookViewId="0"/>
  </sheetViews>
  <sheetFormatPr defaultRowHeight="18.75"/>
  <cols>
    <col min="1" max="1" width="3.375" bestFit="1" customWidth="1"/>
    <col min="2" max="2" width="4.375" bestFit="1" customWidth="1"/>
    <col min="3" max="3" width="45.875" bestFit="1" customWidth="1"/>
    <col min="4" max="4" width="7.875" bestFit="1" customWidth="1"/>
    <col min="5" max="5" width="5.875" bestFit="1" customWidth="1"/>
    <col min="6" max="6" width="6" bestFit="1" customWidth="1"/>
    <col min="7" max="7" width="24.5" bestFit="1" customWidth="1"/>
    <col min="8" max="8" width="20.5" bestFit="1" customWidth="1"/>
    <col min="9" max="9" width="4.5" bestFit="1" customWidth="1"/>
    <col min="10" max="10" width="6" bestFit="1" customWidth="1"/>
    <col min="11" max="11" width="16.75" customWidth="1"/>
  </cols>
  <sheetData>
    <row r="1" spans="1:14" ht="19.5" thickBot="1"/>
    <row r="2" spans="1:14" ht="60.75" thickBot="1">
      <c r="F2" s="1" t="s">
        <v>41</v>
      </c>
      <c r="G2" s="1" t="s">
        <v>42</v>
      </c>
      <c r="H2" s="1" t="s">
        <v>43</v>
      </c>
      <c r="I2" s="1" t="s">
        <v>44</v>
      </c>
      <c r="J2" s="1" t="s">
        <v>45</v>
      </c>
    </row>
    <row r="3" spans="1:14" ht="30.75" thickBot="1">
      <c r="F3" s="2" t="s">
        <v>46</v>
      </c>
      <c r="G3" s="3" t="s">
        <v>6570</v>
      </c>
      <c r="H3" s="3"/>
      <c r="I3" s="3" t="s">
        <v>6571</v>
      </c>
      <c r="J3" s="3" t="s">
        <v>49</v>
      </c>
      <c r="K3" s="28" t="s">
        <v>6572</v>
      </c>
      <c r="L3" t="s">
        <v>6573</v>
      </c>
    </row>
    <row r="4" spans="1:14">
      <c r="F4" s="41" t="s">
        <v>51</v>
      </c>
      <c r="G4" s="42"/>
      <c r="H4" s="42"/>
      <c r="I4" s="42"/>
      <c r="J4" s="43"/>
    </row>
    <row r="5" spans="1:14" ht="19.5" thickBot="1">
      <c r="F5" s="44" t="s">
        <v>6574</v>
      </c>
      <c r="G5" s="45"/>
      <c r="H5" s="45"/>
      <c r="I5" s="45"/>
      <c r="J5" s="46"/>
    </row>
    <row r="7" spans="1:14" ht="19.5" thickBot="1">
      <c r="K7" t="str">
        <f>"DROP TABLE IF EXISTS "&amp;K3&amp;" CASCADE;"</f>
        <v>DROP TABLE IF EXISTS compass_sales_approval CASCADE;</v>
      </c>
    </row>
    <row r="8" spans="1:14" ht="19.5" thickBot="1">
      <c r="A8" s="4" t="s">
        <v>54</v>
      </c>
      <c r="B8" s="4" t="s">
        <v>55</v>
      </c>
      <c r="C8" s="4" t="s">
        <v>56</v>
      </c>
      <c r="D8" s="4" t="s">
        <v>57</v>
      </c>
      <c r="E8" s="4" t="s">
        <v>58</v>
      </c>
      <c r="F8" s="4" t="s">
        <v>59</v>
      </c>
      <c r="G8" s="4" t="s">
        <v>60</v>
      </c>
      <c r="H8" s="4" t="s">
        <v>61</v>
      </c>
      <c r="I8" s="4" t="s">
        <v>62</v>
      </c>
      <c r="J8" s="4" t="s">
        <v>63</v>
      </c>
      <c r="K8" t="str">
        <f>"CREATE TABLE IF NOT EXISTS "&amp;K3&amp;" ("</f>
        <v>CREATE TABLE IF NOT EXISTS compass_sales_approval (</v>
      </c>
      <c r="N8" s="40" t="str">
        <f>"COMMENT ON TABLE "&amp;K3&amp;" IS '"&amp;L3&amp;"';"</f>
        <v>COMMENT ON TABLE compass_sales_approval IS '(COMPASS)営業決裁';</v>
      </c>
    </row>
    <row r="9" spans="1:14" ht="19.5" thickBot="1">
      <c r="A9" s="3"/>
      <c r="B9" s="3">
        <v>1</v>
      </c>
      <c r="C9" s="3" t="s">
        <v>6575</v>
      </c>
      <c r="D9" s="3" t="s">
        <v>66</v>
      </c>
      <c r="E9" s="3">
        <v>60</v>
      </c>
      <c r="F9" s="2" t="s">
        <v>67</v>
      </c>
      <c r="G9" s="3"/>
      <c r="H9" s="5"/>
      <c r="I9" s="3"/>
      <c r="J9" s="3"/>
      <c r="K9" t="s">
        <v>6576</v>
      </c>
      <c r="L9" t="str">
        <f t="shared" ref="L9:L72" si="0">D9&amp;"("&amp;E9&amp;"),"</f>
        <v>VARCHAR(60),</v>
      </c>
      <c r="N9" s="38" t="str">
        <f>"COMMENT ON COLUMN "&amp;$K$3&amp;"."&amp;$K9&amp;" IS '"&amp;C9&amp;"';"</f>
        <v>COMMENT ON COLUMN compass_sales_approval.id IS 'ID';</v>
      </c>
    </row>
    <row r="10" spans="1:14" ht="19.5" thickBot="1">
      <c r="A10" s="6"/>
      <c r="B10" s="6">
        <v>2</v>
      </c>
      <c r="C10" s="6" t="s">
        <v>3437</v>
      </c>
      <c r="D10" s="6" t="s">
        <v>66</v>
      </c>
      <c r="E10" s="6">
        <v>240</v>
      </c>
      <c r="F10" s="7" t="s">
        <v>67</v>
      </c>
      <c r="G10" s="6"/>
      <c r="H10" s="8"/>
      <c r="I10" s="6"/>
      <c r="J10" s="6"/>
      <c r="K10" t="s">
        <v>3439</v>
      </c>
      <c r="L10" t="str">
        <f t="shared" si="0"/>
        <v>VARCHAR(240),</v>
      </c>
      <c r="N10" s="38" t="str">
        <f t="shared" ref="N10:N73" si="1">"COMMENT ON COLUMN "&amp;$K$3&amp;"."&amp;$K10&amp;" IS '"&amp;C10&amp;"';"</f>
        <v>COMMENT ON COLUMN compass_sales_approval.approval_number IS '決裁番号';</v>
      </c>
    </row>
    <row r="11" spans="1:14" ht="19.5" thickBot="1">
      <c r="A11" s="3"/>
      <c r="B11" s="3">
        <v>3</v>
      </c>
      <c r="C11" s="3" t="s">
        <v>5230</v>
      </c>
      <c r="D11" s="3" t="s">
        <v>66</v>
      </c>
      <c r="E11" s="3">
        <v>765</v>
      </c>
      <c r="F11" s="2" t="s">
        <v>67</v>
      </c>
      <c r="G11" s="3"/>
      <c r="H11" s="5"/>
      <c r="I11" s="3"/>
      <c r="J11" s="3"/>
      <c r="K11" t="s">
        <v>5231</v>
      </c>
      <c r="L11" t="str">
        <f t="shared" si="0"/>
        <v>VARCHAR(765),</v>
      </c>
      <c r="N11" s="38" t="str">
        <f t="shared" si="1"/>
        <v>COMMENT ON COLUMN compass_sales_approval.approval_subject IS '決裁件名';</v>
      </c>
    </row>
    <row r="12" spans="1:14" ht="19.5" thickBot="1">
      <c r="A12" s="6"/>
      <c r="B12" s="6">
        <v>4</v>
      </c>
      <c r="C12" s="6" t="s">
        <v>6577</v>
      </c>
      <c r="D12" s="6" t="s">
        <v>66</v>
      </c>
      <c r="E12" s="6">
        <v>765</v>
      </c>
      <c r="F12" s="7" t="s">
        <v>67</v>
      </c>
      <c r="G12" s="6"/>
      <c r="H12" s="8"/>
      <c r="I12" s="6"/>
      <c r="J12" s="6"/>
      <c r="K12" t="s">
        <v>6578</v>
      </c>
      <c r="L12" t="str">
        <f t="shared" si="0"/>
        <v>VARCHAR(765),</v>
      </c>
      <c r="N12" s="38" t="str">
        <f t="shared" si="1"/>
        <v>COMMENT ON COLUMN compass_sales_approval.status IS 'ステータス';</v>
      </c>
    </row>
    <row r="13" spans="1:14" ht="19.5" thickBot="1">
      <c r="A13" s="3"/>
      <c r="B13" s="3">
        <v>5</v>
      </c>
      <c r="C13" s="3" t="s">
        <v>6175</v>
      </c>
      <c r="D13" s="3" t="s">
        <v>66</v>
      </c>
      <c r="E13" s="3">
        <v>23</v>
      </c>
      <c r="F13" s="2" t="s">
        <v>67</v>
      </c>
      <c r="G13" s="3" t="s">
        <v>6579</v>
      </c>
      <c r="H13" s="5"/>
      <c r="I13" s="3"/>
      <c r="J13" s="3"/>
      <c r="K13" t="s">
        <v>6176</v>
      </c>
      <c r="L13" t="str">
        <f t="shared" si="0"/>
        <v>VARCHAR(23),</v>
      </c>
      <c r="N13" s="38" t="str">
        <f t="shared" si="1"/>
        <v>COMMENT ON COLUMN compass_sales_approval.date_and_time_of_application IS '申請日時';</v>
      </c>
    </row>
    <row r="14" spans="1:14" ht="19.5" thickBot="1">
      <c r="A14" s="6"/>
      <c r="B14" s="6">
        <v>6</v>
      </c>
      <c r="C14" s="6" t="s">
        <v>5221</v>
      </c>
      <c r="D14" s="6" t="s">
        <v>66</v>
      </c>
      <c r="E14" s="6">
        <v>765</v>
      </c>
      <c r="F14" s="7" t="s">
        <v>67</v>
      </c>
      <c r="G14" s="6"/>
      <c r="H14" s="8"/>
      <c r="I14" s="6"/>
      <c r="J14" s="6"/>
      <c r="K14" t="s">
        <v>5222</v>
      </c>
      <c r="L14" t="str">
        <f t="shared" si="0"/>
        <v>VARCHAR(765),</v>
      </c>
      <c r="N14" s="38" t="str">
        <f t="shared" si="1"/>
        <v>COMMENT ON COLUMN compass_sales_approval.approval_type IS '決裁種別';</v>
      </c>
    </row>
    <row r="15" spans="1:14" ht="19.5" thickBot="1">
      <c r="A15" s="3"/>
      <c r="B15" s="3">
        <v>7</v>
      </c>
      <c r="C15" s="3" t="s">
        <v>6580</v>
      </c>
      <c r="D15" s="3" t="s">
        <v>66</v>
      </c>
      <c r="E15" s="3">
        <v>1</v>
      </c>
      <c r="F15" s="2" t="s">
        <v>67</v>
      </c>
      <c r="G15" s="3"/>
      <c r="H15" s="5"/>
      <c r="I15" s="3"/>
      <c r="J15" s="3"/>
      <c r="K15" t="s">
        <v>6581</v>
      </c>
      <c r="L15" t="str">
        <f t="shared" si="0"/>
        <v>VARCHAR(1),</v>
      </c>
      <c r="N15" s="38" t="str">
        <f t="shared" si="1"/>
        <v>COMMENT ON COLUMN compass_sales_approval.mobile_type IS 'モバイル';</v>
      </c>
    </row>
    <row r="16" spans="1:14" ht="19.5" thickBot="1">
      <c r="A16" s="6"/>
      <c r="B16" s="6">
        <v>8</v>
      </c>
      <c r="C16" s="6" t="s">
        <v>6582</v>
      </c>
      <c r="D16" s="6" t="s">
        <v>66</v>
      </c>
      <c r="E16" s="6">
        <v>1</v>
      </c>
      <c r="F16" s="7" t="s">
        <v>67</v>
      </c>
      <c r="G16" s="6"/>
      <c r="H16" s="8"/>
      <c r="I16" s="6"/>
      <c r="J16" s="6"/>
      <c r="K16" t="s">
        <v>6583</v>
      </c>
      <c r="L16" t="str">
        <f t="shared" si="0"/>
        <v>VARCHAR(1),</v>
      </c>
      <c r="N16" s="38" t="str">
        <f t="shared" si="1"/>
        <v>COMMENT ON COLUMN compass_sales_approval.voice_type IS '音声';</v>
      </c>
    </row>
    <row r="17" spans="1:14" ht="19.5" thickBot="1">
      <c r="A17" s="3"/>
      <c r="B17" s="3">
        <v>9</v>
      </c>
      <c r="C17" s="3" t="s">
        <v>6584</v>
      </c>
      <c r="D17" s="3" t="s">
        <v>66</v>
      </c>
      <c r="E17" s="3">
        <v>1</v>
      </c>
      <c r="F17" s="2" t="s">
        <v>67</v>
      </c>
      <c r="G17" s="3"/>
      <c r="H17" s="5"/>
      <c r="I17" s="3"/>
      <c r="J17" s="3"/>
      <c r="K17" t="s">
        <v>6585</v>
      </c>
      <c r="L17" t="str">
        <f t="shared" si="0"/>
        <v>VARCHAR(1),</v>
      </c>
      <c r="N17" s="38" t="str">
        <f t="shared" si="1"/>
        <v>COMMENT ON COLUMN compass_sales_approval.voice_otoku_hikari_type IS '音声(おとく光電話)';</v>
      </c>
    </row>
    <row r="18" spans="1:14" ht="19.5" thickBot="1">
      <c r="A18" s="6"/>
      <c r="B18" s="6">
        <v>10</v>
      </c>
      <c r="C18" s="6" t="s">
        <v>6586</v>
      </c>
      <c r="D18" s="6" t="s">
        <v>66</v>
      </c>
      <c r="E18" s="6">
        <v>1</v>
      </c>
      <c r="F18" s="7" t="s">
        <v>67</v>
      </c>
      <c r="G18" s="6"/>
      <c r="H18" s="8"/>
      <c r="I18" s="6"/>
      <c r="J18" s="6"/>
      <c r="K18" t="s">
        <v>6587</v>
      </c>
      <c r="L18" t="str">
        <f t="shared" si="0"/>
        <v>VARCHAR(1),</v>
      </c>
      <c r="N18" s="38" t="str">
        <f t="shared" si="1"/>
        <v>COMMENT ON COLUMN compass_sales_approval.id_data_type IS 'ID(データ)';</v>
      </c>
    </row>
    <row r="19" spans="1:14" ht="19.5" thickBot="1">
      <c r="A19" s="3"/>
      <c r="B19" s="3">
        <v>11</v>
      </c>
      <c r="C19" s="3" t="s">
        <v>6588</v>
      </c>
      <c r="D19" s="3" t="s">
        <v>66</v>
      </c>
      <c r="E19" s="3">
        <v>1</v>
      </c>
      <c r="F19" s="2" t="s">
        <v>67</v>
      </c>
      <c r="G19" s="3"/>
      <c r="H19" s="5"/>
      <c r="I19" s="3"/>
      <c r="J19" s="3"/>
      <c r="K19" t="s">
        <v>6589</v>
      </c>
      <c r="L19" t="str">
        <f t="shared" si="0"/>
        <v>VARCHAR(1),</v>
      </c>
      <c r="N19" s="38" t="str">
        <f t="shared" si="1"/>
        <v>COMMENT ON COLUMN compass_sales_approval.is_ni_product_type IS 'IS(NI・物販)';</v>
      </c>
    </row>
    <row r="20" spans="1:14" ht="19.5" thickBot="1">
      <c r="A20" s="6"/>
      <c r="B20" s="6">
        <v>12</v>
      </c>
      <c r="C20" s="6" t="s">
        <v>6590</v>
      </c>
      <c r="D20" s="6" t="s">
        <v>66</v>
      </c>
      <c r="E20" s="6">
        <v>1</v>
      </c>
      <c r="F20" s="7" t="s">
        <v>67</v>
      </c>
      <c r="G20" s="6"/>
      <c r="H20" s="8"/>
      <c r="I20" s="6"/>
      <c r="J20" s="6"/>
      <c r="K20" t="s">
        <v>6591</v>
      </c>
      <c r="L20" t="str">
        <f t="shared" si="0"/>
        <v>VARCHAR(1),</v>
      </c>
      <c r="N20" s="38" t="str">
        <f t="shared" si="1"/>
        <v>COMMENT ON COLUMN compass_sales_approval.phs_type IS 'PHS';</v>
      </c>
    </row>
    <row r="21" spans="1:14" ht="19.5" thickBot="1">
      <c r="A21" s="3"/>
      <c r="B21" s="3">
        <v>13</v>
      </c>
      <c r="C21" s="3" t="s">
        <v>6592</v>
      </c>
      <c r="D21" s="3" t="s">
        <v>66</v>
      </c>
      <c r="E21" s="3">
        <v>1</v>
      </c>
      <c r="F21" s="2" t="s">
        <v>67</v>
      </c>
      <c r="G21" s="3"/>
      <c r="H21" s="5"/>
      <c r="I21" s="3"/>
      <c r="J21" s="3"/>
      <c r="K21" t="s">
        <v>6593</v>
      </c>
      <c r="L21" t="str">
        <f t="shared" si="0"/>
        <v>VARCHAR(1),</v>
      </c>
      <c r="N21" s="38" t="str">
        <f t="shared" si="1"/>
        <v>COMMENT ON COLUMN compass_sales_approval.common_discounts_etc IS '【共通】値引きなど';</v>
      </c>
    </row>
    <row r="22" spans="1:14" ht="19.5" thickBot="1">
      <c r="A22" s="6"/>
      <c r="B22" s="6">
        <v>14</v>
      </c>
      <c r="C22" s="6" t="s">
        <v>6594</v>
      </c>
      <c r="D22" s="6" t="s">
        <v>66</v>
      </c>
      <c r="E22" s="6">
        <v>1</v>
      </c>
      <c r="F22" s="7" t="s">
        <v>67</v>
      </c>
      <c r="G22" s="6"/>
      <c r="H22" s="8"/>
      <c r="I22" s="6"/>
      <c r="J22" s="6"/>
      <c r="K22" t="s">
        <v>6595</v>
      </c>
      <c r="L22" t="str">
        <f t="shared" si="0"/>
        <v>VARCHAR(1),</v>
      </c>
      <c r="N22" s="38" t="str">
        <f t="shared" si="1"/>
        <v>COMMENT ON COLUMN compass_sales_approval.common_corporate_consolidated_billing IS '【共通】法人まとめ請求';</v>
      </c>
    </row>
    <row r="23" spans="1:14" ht="19.5" thickBot="1">
      <c r="A23" s="3"/>
      <c r="B23" s="3">
        <v>15</v>
      </c>
      <c r="C23" s="3" t="s">
        <v>6596</v>
      </c>
      <c r="D23" s="3" t="s">
        <v>66</v>
      </c>
      <c r="E23" s="3">
        <v>1</v>
      </c>
      <c r="F23" s="2" t="s">
        <v>67</v>
      </c>
      <c r="G23" s="3"/>
      <c r="H23" s="5"/>
      <c r="I23" s="3"/>
      <c r="J23" s="3"/>
      <c r="K23" t="s">
        <v>6597</v>
      </c>
      <c r="L23" t="str">
        <f t="shared" si="0"/>
        <v>VARCHAR(1),</v>
      </c>
      <c r="N23" s="38" t="str">
        <f t="shared" si="1"/>
        <v>COMMENT ON COLUMN compass_sales_approval.common_test_lines IS '【共通】試験用回線';</v>
      </c>
    </row>
    <row r="24" spans="1:14" ht="19.5" thickBot="1">
      <c r="A24" s="6"/>
      <c r="B24" s="6">
        <v>16</v>
      </c>
      <c r="C24" s="6" t="s">
        <v>6598</v>
      </c>
      <c r="D24" s="6" t="s">
        <v>66</v>
      </c>
      <c r="E24" s="6">
        <v>1</v>
      </c>
      <c r="F24" s="7" t="s">
        <v>67</v>
      </c>
      <c r="G24" s="6"/>
      <c r="H24" s="8"/>
      <c r="I24" s="6"/>
      <c r="J24" s="6"/>
      <c r="K24" t="s">
        <v>6599</v>
      </c>
      <c r="L24" t="str">
        <f t="shared" si="0"/>
        <v>VARCHAR(1),</v>
      </c>
      <c r="N24" s="38" t="str">
        <f t="shared" si="1"/>
        <v>COMMENT ON COLUMN compass_sales_approval.mobile_approval_pattern_a IS '【モバイル】決裁パターンA(試算シートの利益率判断)';</v>
      </c>
    </row>
    <row r="25" spans="1:14" ht="19.5" thickBot="1">
      <c r="A25" s="3"/>
      <c r="B25" s="3">
        <v>17</v>
      </c>
      <c r="C25" s="3" t="s">
        <v>6600</v>
      </c>
      <c r="D25" s="3" t="s">
        <v>66</v>
      </c>
      <c r="E25" s="3">
        <v>1</v>
      </c>
      <c r="F25" s="2" t="s">
        <v>67</v>
      </c>
      <c r="G25" s="3"/>
      <c r="H25" s="5"/>
      <c r="I25" s="3"/>
      <c r="J25" s="3"/>
      <c r="K25" t="s">
        <v>6601</v>
      </c>
      <c r="L25" t="str">
        <f t="shared" si="0"/>
        <v>VARCHAR(1),</v>
      </c>
      <c r="N25" s="38" t="str">
        <f t="shared" si="1"/>
        <v>COMMENT ON COLUMN compass_sales_approval.mobile_approval_pattern_c IS '【モバイル】決裁パターンC(試算シートを必要としない減免)';</v>
      </c>
    </row>
    <row r="26" spans="1:14" ht="19.5" thickBot="1">
      <c r="A26" s="6"/>
      <c r="B26" s="6">
        <v>18</v>
      </c>
      <c r="C26" s="6" t="s">
        <v>6602</v>
      </c>
      <c r="D26" s="6" t="s">
        <v>66</v>
      </c>
      <c r="E26" s="6">
        <v>1</v>
      </c>
      <c r="F26" s="7" t="s">
        <v>67</v>
      </c>
      <c r="G26" s="6"/>
      <c r="H26" s="8"/>
      <c r="I26" s="6"/>
      <c r="J26" s="6"/>
      <c r="K26" t="s">
        <v>6603</v>
      </c>
      <c r="L26" t="str">
        <f t="shared" si="0"/>
        <v>VARCHAR(1),</v>
      </c>
      <c r="N26" s="38" t="str">
        <f t="shared" si="1"/>
        <v>COMMENT ON COLUMN compass_sales_approval.mobile_approval_pattern_e IS '【モバイル】決裁パターンE';</v>
      </c>
    </row>
    <row r="27" spans="1:14" ht="19.5" thickBot="1">
      <c r="A27" s="3"/>
      <c r="B27" s="3">
        <v>19</v>
      </c>
      <c r="C27" s="3" t="s">
        <v>6604</v>
      </c>
      <c r="D27" s="3" t="s">
        <v>66</v>
      </c>
      <c r="E27" s="3">
        <v>1</v>
      </c>
      <c r="F27" s="2" t="s">
        <v>67</v>
      </c>
      <c r="G27" s="3"/>
      <c r="H27" s="5"/>
      <c r="I27" s="3"/>
      <c r="J27" s="3"/>
      <c r="K27" t="s">
        <v>6605</v>
      </c>
      <c r="L27" t="str">
        <f t="shared" si="0"/>
        <v>VARCHAR(1),</v>
      </c>
      <c r="N27" s="38" t="str">
        <f t="shared" si="1"/>
        <v>COMMENT ON COLUMN compass_sales_approval.mobile_incentive_adjustment_increase IS '【モバイル】インセンティブ調整(増減額)';</v>
      </c>
    </row>
    <row r="28" spans="1:14" ht="19.5" thickBot="1">
      <c r="A28" s="6"/>
      <c r="B28" s="6">
        <v>20</v>
      </c>
      <c r="C28" s="6" t="s">
        <v>6606</v>
      </c>
      <c r="D28" s="6" t="s">
        <v>66</v>
      </c>
      <c r="E28" s="6">
        <v>1</v>
      </c>
      <c r="F28" s="7" t="s">
        <v>67</v>
      </c>
      <c r="G28" s="6"/>
      <c r="H28" s="8"/>
      <c r="I28" s="6"/>
      <c r="J28" s="6"/>
      <c r="K28" t="s">
        <v>6607</v>
      </c>
      <c r="L28" t="str">
        <f t="shared" si="0"/>
        <v>VARCHAR(1),</v>
      </c>
      <c r="N28" s="38" t="str">
        <f t="shared" si="1"/>
        <v>COMMENT ON COLUMN compass_sales_approval.mobile_resale_or_rental_companies IS '【モバイル】再販又はレンタル事業者へのサービス提供';</v>
      </c>
    </row>
    <row r="29" spans="1:14" ht="19.5" thickBot="1">
      <c r="A29" s="3"/>
      <c r="B29" s="3">
        <v>21</v>
      </c>
      <c r="C29" s="3" t="s">
        <v>6608</v>
      </c>
      <c r="D29" s="3" t="s">
        <v>66</v>
      </c>
      <c r="E29" s="3">
        <v>1</v>
      </c>
      <c r="F29" s="2" t="s">
        <v>67</v>
      </c>
      <c r="G29" s="3"/>
      <c r="H29" s="5"/>
      <c r="I29" s="3"/>
      <c r="J29" s="3"/>
      <c r="K29" t="s">
        <v>6609</v>
      </c>
      <c r="L29" t="str">
        <f t="shared" si="0"/>
        <v>VARCHAR(1),</v>
      </c>
      <c r="N29" s="38" t="str">
        <f t="shared" si="1"/>
        <v>COMMENT ON COLUMN compass_sales_approval.mobile_deposits_joint_guarantees_credit_relaxation IS '【モバイル】預託金・連帯保証・与信緩和';</v>
      </c>
    </row>
    <row r="30" spans="1:14" ht="19.5" thickBot="1">
      <c r="A30" s="6"/>
      <c r="B30" s="6">
        <v>22</v>
      </c>
      <c r="C30" s="6" t="s">
        <v>6610</v>
      </c>
      <c r="D30" s="6" t="s">
        <v>66</v>
      </c>
      <c r="E30" s="6">
        <v>1</v>
      </c>
      <c r="F30" s="7" t="s">
        <v>67</v>
      </c>
      <c r="G30" s="6"/>
      <c r="H30" s="8"/>
      <c r="I30" s="6"/>
      <c r="J30" s="6"/>
      <c r="K30" t="s">
        <v>6611</v>
      </c>
      <c r="L30" t="str">
        <f t="shared" si="0"/>
        <v>VARCHAR(1),</v>
      </c>
      <c r="N30" s="38" t="str">
        <f t="shared" si="1"/>
        <v>COMMENT ON COLUMN compass_sales_approval.common_qa_review_cases IS '【共通】QAレビュー実施案件';</v>
      </c>
    </row>
    <row r="31" spans="1:14" ht="19.5" thickBot="1">
      <c r="A31" s="3"/>
      <c r="B31" s="3">
        <v>23</v>
      </c>
      <c r="C31" s="3" t="s">
        <v>6612</v>
      </c>
      <c r="D31" s="3" t="s">
        <v>66</v>
      </c>
      <c r="E31" s="3">
        <v>1</v>
      </c>
      <c r="F31" s="2" t="s">
        <v>67</v>
      </c>
      <c r="G31" s="3"/>
      <c r="H31" s="5"/>
      <c r="I31" s="3"/>
      <c r="J31" s="3"/>
      <c r="K31" t="s">
        <v>6613</v>
      </c>
      <c r="L31" t="str">
        <f t="shared" si="0"/>
        <v>VARCHAR(1),</v>
      </c>
      <c r="N31" s="38" t="str">
        <f t="shared" si="1"/>
        <v>COMMENT ON COLUMN compass_sales_approval.special_debt_collection IS '【共通】特殊な債権回収条件(支払いサイトの変更)';</v>
      </c>
    </row>
    <row r="32" spans="1:14" ht="19.5" thickBot="1">
      <c r="A32" s="6"/>
      <c r="B32" s="6">
        <v>24</v>
      </c>
      <c r="C32" s="6" t="s">
        <v>6614</v>
      </c>
      <c r="D32" s="6" t="s">
        <v>66</v>
      </c>
      <c r="E32" s="6">
        <v>1</v>
      </c>
      <c r="F32" s="7" t="s">
        <v>67</v>
      </c>
      <c r="G32" s="6"/>
      <c r="H32" s="8"/>
      <c r="I32" s="6"/>
      <c r="J32" s="6"/>
      <c r="K32" t="s">
        <v>6615</v>
      </c>
      <c r="L32" t="str">
        <f t="shared" si="0"/>
        <v>VARCHAR(1),</v>
      </c>
      <c r="N32" s="38" t="str">
        <f t="shared" si="1"/>
        <v>COMMENT ON COLUMN compass_sales_approval.construction_industry_law IS '【共通】建設業法に関わる工事案件';</v>
      </c>
    </row>
    <row r="33" spans="1:14" ht="19.5" thickBot="1">
      <c r="A33" s="3"/>
      <c r="B33" s="3">
        <v>25</v>
      </c>
      <c r="C33" s="3" t="s">
        <v>6616</v>
      </c>
      <c r="D33" s="3" t="s">
        <v>66</v>
      </c>
      <c r="E33" s="3">
        <v>1</v>
      </c>
      <c r="F33" s="2" t="s">
        <v>67</v>
      </c>
      <c r="G33" s="3"/>
      <c r="H33" s="5"/>
      <c r="I33" s="3"/>
      <c r="J33" s="3"/>
      <c r="K33" t="s">
        <v>6617</v>
      </c>
      <c r="L33" t="str">
        <f t="shared" si="0"/>
        <v>VARCHAR(1),</v>
      </c>
      <c r="N33" s="38" t="str">
        <f t="shared" si="1"/>
        <v>COMMENT ON COLUMN compass_sales_approval.agency_code_change IS '水際処理・代理店コード変更';</v>
      </c>
    </row>
    <row r="34" spans="1:14" ht="19.5" thickBot="1">
      <c r="A34" s="6"/>
      <c r="B34" s="6">
        <v>26</v>
      </c>
      <c r="C34" s="6" t="s">
        <v>6618</v>
      </c>
      <c r="D34" s="6" t="s">
        <v>66</v>
      </c>
      <c r="E34" s="6">
        <v>1</v>
      </c>
      <c r="F34" s="7" t="s">
        <v>67</v>
      </c>
      <c r="G34" s="6"/>
      <c r="H34" s="8"/>
      <c r="I34" s="6"/>
      <c r="J34" s="6"/>
      <c r="K34" t="s">
        <v>6619</v>
      </c>
      <c r="L34" t="str">
        <f t="shared" si="0"/>
        <v>VARCHAR(1),</v>
      </c>
      <c r="N34" s="38" t="str">
        <f t="shared" si="1"/>
        <v>COMMENT ON COLUMN compass_sales_approval.refund_fee_reduction IS '料金調整・現金返還・料金減免';</v>
      </c>
    </row>
    <row r="35" spans="1:14" ht="19.5" thickBot="1">
      <c r="A35" s="3"/>
      <c r="B35" s="3">
        <v>27</v>
      </c>
      <c r="C35" s="3" t="s">
        <v>6620</v>
      </c>
      <c r="D35" s="3" t="s">
        <v>66</v>
      </c>
      <c r="E35" s="3">
        <v>1</v>
      </c>
      <c r="F35" s="2" t="s">
        <v>67</v>
      </c>
      <c r="G35" s="3"/>
      <c r="H35" s="5"/>
      <c r="I35" s="3"/>
      <c r="J35" s="3"/>
      <c r="K35" t="s">
        <v>6621</v>
      </c>
      <c r="L35" t="str">
        <f t="shared" si="0"/>
        <v>VARCHAR(1),</v>
      </c>
      <c r="N35" s="38" t="str">
        <f t="shared" si="1"/>
        <v>COMMENT ON COLUMN compass_sales_approval.agency_contract IS '代理店契約';</v>
      </c>
    </row>
    <row r="36" spans="1:14" ht="19.5" thickBot="1">
      <c r="A36" s="6"/>
      <c r="B36" s="6">
        <v>28</v>
      </c>
      <c r="C36" s="6" t="s">
        <v>6622</v>
      </c>
      <c r="D36" s="6" t="s">
        <v>66</v>
      </c>
      <c r="E36" s="6">
        <v>1</v>
      </c>
      <c r="F36" s="7" t="s">
        <v>67</v>
      </c>
      <c r="G36" s="6"/>
      <c r="H36" s="8"/>
      <c r="I36" s="6"/>
      <c r="J36" s="6"/>
      <c r="K36" t="s">
        <v>6623</v>
      </c>
      <c r="L36" t="str">
        <f t="shared" si="0"/>
        <v>VARCHAR(1),</v>
      </c>
      <c r="N36" s="38" t="str">
        <f t="shared" si="1"/>
        <v>COMMENT ON COLUMN compass_sales_approval.odn_consumer_specifications IS '【ID(データ)】ODNコンシューマ仕様';</v>
      </c>
    </row>
    <row r="37" spans="1:14" ht="19.5" thickBot="1">
      <c r="A37" s="3"/>
      <c r="B37" s="3">
        <v>29</v>
      </c>
      <c r="C37" s="3" t="s">
        <v>6624</v>
      </c>
      <c r="D37" s="3" t="s">
        <v>66</v>
      </c>
      <c r="E37" s="3">
        <v>1</v>
      </c>
      <c r="F37" s="2" t="s">
        <v>67</v>
      </c>
      <c r="G37" s="3"/>
      <c r="H37" s="5"/>
      <c r="I37" s="3"/>
      <c r="J37" s="3"/>
      <c r="K37" t="s">
        <v>6625</v>
      </c>
      <c r="L37" t="str">
        <f t="shared" si="0"/>
        <v>VARCHAR(1),</v>
      </c>
      <c r="N37" s="38" t="str">
        <f t="shared" si="1"/>
        <v>COMMENT ON COLUMN compass_sales_approval.reseller_contract IS '再販契約';</v>
      </c>
    </row>
    <row r="38" spans="1:14" ht="19.5" thickBot="1">
      <c r="A38" s="6"/>
      <c r="B38" s="6">
        <v>30</v>
      </c>
      <c r="C38" s="6" t="s">
        <v>6626</v>
      </c>
      <c r="D38" s="6" t="s">
        <v>66</v>
      </c>
      <c r="E38" s="6">
        <v>1</v>
      </c>
      <c r="F38" s="7" t="s">
        <v>67</v>
      </c>
      <c r="G38" s="6"/>
      <c r="H38" s="8"/>
      <c r="I38" s="6"/>
      <c r="J38" s="6"/>
      <c r="K38" t="s">
        <v>6627</v>
      </c>
      <c r="L38" t="str">
        <f t="shared" si="0"/>
        <v>VARCHAR(1),</v>
      </c>
      <c r="N38" s="38" t="str">
        <f t="shared" si="1"/>
        <v>COMMENT ON COLUMN compass_sales_approval.id_data_charging_table_settings IS '【ID(データ)】課金テーブル設定';</v>
      </c>
    </row>
    <row r="39" spans="1:14" ht="19.5" thickBot="1">
      <c r="A39" s="3"/>
      <c r="B39" s="3">
        <v>31</v>
      </c>
      <c r="C39" s="3" t="s">
        <v>6628</v>
      </c>
      <c r="D39" s="3" t="s">
        <v>66</v>
      </c>
      <c r="E39" s="3">
        <v>1</v>
      </c>
      <c r="F39" s="2" t="s">
        <v>67</v>
      </c>
      <c r="G39" s="3"/>
      <c r="H39" s="5"/>
      <c r="I39" s="3"/>
      <c r="J39" s="3"/>
      <c r="K39" t="s">
        <v>6629</v>
      </c>
      <c r="L39" t="str">
        <f t="shared" si="0"/>
        <v>VARCHAR(1),</v>
      </c>
      <c r="N39" s="38" t="str">
        <f t="shared" si="1"/>
        <v>COMMENT ON COLUMN compass_sales_approval.rate_incentive_settings IS '料率・インセンティブ設定';</v>
      </c>
    </row>
    <row r="40" spans="1:14" ht="19.5" thickBot="1">
      <c r="A40" s="6"/>
      <c r="B40" s="6">
        <v>32</v>
      </c>
      <c r="C40" s="6" t="s">
        <v>6630</v>
      </c>
      <c r="D40" s="6" t="s">
        <v>66</v>
      </c>
      <c r="E40" s="6">
        <v>1</v>
      </c>
      <c r="F40" s="7" t="s">
        <v>67</v>
      </c>
      <c r="G40" s="6"/>
      <c r="H40" s="8"/>
      <c r="I40" s="6"/>
      <c r="J40" s="6"/>
      <c r="K40" t="s">
        <v>6631</v>
      </c>
      <c r="L40" t="str">
        <f t="shared" si="0"/>
        <v>VARCHAR(1),</v>
      </c>
      <c r="N40" s="38" t="str">
        <f t="shared" si="1"/>
        <v>COMMENT ON COLUMN compass_sales_approval.fee_adjustment_for_damage_compensation IS '損害補填目的での料金調整';</v>
      </c>
    </row>
    <row r="41" spans="1:14" ht="19.5" thickBot="1">
      <c r="A41" s="3"/>
      <c r="B41" s="3">
        <v>33</v>
      </c>
      <c r="C41" s="3" t="s">
        <v>6632</v>
      </c>
      <c r="D41" s="3" t="s">
        <v>66</v>
      </c>
      <c r="E41" s="3">
        <v>1</v>
      </c>
      <c r="F41" s="2" t="s">
        <v>67</v>
      </c>
      <c r="G41" s="3"/>
      <c r="H41" s="5"/>
      <c r="I41" s="3"/>
      <c r="J41" s="3"/>
      <c r="K41" t="s">
        <v>6633</v>
      </c>
      <c r="L41" t="str">
        <f t="shared" si="0"/>
        <v>VARCHAR(1),</v>
      </c>
      <c r="N41" s="38" t="str">
        <f t="shared" si="1"/>
        <v>COMMENT ON COLUMN compass_sales_approval.special_approval_measures_mobile_profit IS '決裁特別施策(モバイル黒字)';</v>
      </c>
    </row>
    <row r="42" spans="1:14" ht="19.5" thickBot="1">
      <c r="A42" s="6"/>
      <c r="B42" s="6">
        <v>34</v>
      </c>
      <c r="C42" s="6" t="s">
        <v>6634</v>
      </c>
      <c r="D42" s="6" t="s">
        <v>66</v>
      </c>
      <c r="E42" s="6">
        <v>1</v>
      </c>
      <c r="F42" s="7" t="s">
        <v>67</v>
      </c>
      <c r="G42" s="6"/>
      <c r="H42" s="8"/>
      <c r="I42" s="6"/>
      <c r="J42" s="6"/>
      <c r="K42" t="s">
        <v>6635</v>
      </c>
      <c r="L42" t="str">
        <f t="shared" si="0"/>
        <v>VARCHAR(1),</v>
      </c>
      <c r="N42" s="38" t="str">
        <f t="shared" si="1"/>
        <v>COMMENT ON COLUMN compass_sales_approval.contract_conclusion_after_proposal_approval IS '契約締結(提案決裁承認後)';</v>
      </c>
    </row>
    <row r="43" spans="1:14" ht="19.5" thickBot="1">
      <c r="A43" s="3"/>
      <c r="B43" s="3">
        <v>35</v>
      </c>
      <c r="C43" s="3" t="s">
        <v>6636</v>
      </c>
      <c r="D43" s="3" t="s">
        <v>66</v>
      </c>
      <c r="E43" s="3">
        <v>1</v>
      </c>
      <c r="F43" s="2" t="s">
        <v>67</v>
      </c>
      <c r="G43" s="3"/>
      <c r="H43" s="5"/>
      <c r="I43" s="3"/>
      <c r="J43" s="3"/>
      <c r="K43" t="s">
        <v>6637</v>
      </c>
      <c r="L43" t="str">
        <f t="shared" si="0"/>
        <v>VARCHAR(1),</v>
      </c>
      <c r="N43" s="38" t="str">
        <f t="shared" si="1"/>
        <v>COMMENT ON COLUMN compass_sales_approval.deemed_corporation IS 'みなし法人';</v>
      </c>
    </row>
    <row r="44" spans="1:14" ht="19.5" thickBot="1">
      <c r="A44" s="6"/>
      <c r="B44" s="6">
        <v>36</v>
      </c>
      <c r="C44" s="6" t="s">
        <v>6638</v>
      </c>
      <c r="D44" s="6" t="s">
        <v>66</v>
      </c>
      <c r="E44" s="6">
        <v>1</v>
      </c>
      <c r="F44" s="7" t="s">
        <v>67</v>
      </c>
      <c r="G44" s="6"/>
      <c r="H44" s="8"/>
      <c r="I44" s="6"/>
      <c r="J44" s="6"/>
      <c r="K44" t="s">
        <v>6639</v>
      </c>
      <c r="L44" t="str">
        <f t="shared" si="0"/>
        <v>VARCHAR(1),</v>
      </c>
      <c r="N44" s="38" t="str">
        <f t="shared" si="1"/>
        <v>COMMENT ON COLUMN compass_sales_approval.under_3_million_yen_profit IS '仕入れ販売(300万円以下＆黒字)';</v>
      </c>
    </row>
    <row r="45" spans="1:14" ht="19.5" thickBot="1">
      <c r="A45" s="3"/>
      <c r="B45" s="3">
        <v>37</v>
      </c>
      <c r="C45" s="3" t="s">
        <v>6640</v>
      </c>
      <c r="D45" s="3" t="s">
        <v>66</v>
      </c>
      <c r="E45" s="3">
        <v>1</v>
      </c>
      <c r="F45" s="2" t="s">
        <v>67</v>
      </c>
      <c r="G45" s="3"/>
      <c r="H45" s="5"/>
      <c r="I45" s="3"/>
      <c r="J45" s="3"/>
      <c r="K45" t="s">
        <v>6641</v>
      </c>
      <c r="L45" t="str">
        <f t="shared" si="0"/>
        <v>VARCHAR(1),</v>
      </c>
      <c r="N45" s="38" t="str">
        <f t="shared" si="1"/>
        <v>COMMENT ON COLUMN compass_sales_approval.data_resale_commission_type IS 'データ系再販(手数料型)';</v>
      </c>
    </row>
    <row r="46" spans="1:14" ht="19.5" thickBot="1">
      <c r="A46" s="6"/>
      <c r="B46" s="6">
        <v>38</v>
      </c>
      <c r="C46" s="6" t="s">
        <v>6642</v>
      </c>
      <c r="D46" s="6" t="s">
        <v>66</v>
      </c>
      <c r="E46" s="6">
        <v>1</v>
      </c>
      <c r="F46" s="7" t="s">
        <v>67</v>
      </c>
      <c r="G46" s="6"/>
      <c r="H46" s="8"/>
      <c r="I46" s="6"/>
      <c r="J46" s="6"/>
      <c r="K46" t="s">
        <v>6643</v>
      </c>
      <c r="L46" t="str">
        <f t="shared" si="0"/>
        <v>VARCHAR(1),</v>
      </c>
      <c r="N46" s="38" t="str">
        <f t="shared" si="1"/>
        <v>COMMENT ON COLUMN compass_sales_approval.common_special_discounts_special_tariffs_individual_tariffs IS '【共通】特殊値引(特別タリフ・個別タリフなど)';</v>
      </c>
    </row>
    <row r="47" spans="1:14" ht="19.5" thickBot="1">
      <c r="A47" s="3"/>
      <c r="B47" s="3">
        <v>39</v>
      </c>
      <c r="C47" s="3" t="s">
        <v>6644</v>
      </c>
      <c r="D47" s="3" t="s">
        <v>66</v>
      </c>
      <c r="E47" s="3">
        <v>1</v>
      </c>
      <c r="F47" s="2" t="s">
        <v>67</v>
      </c>
      <c r="G47" s="3"/>
      <c r="H47" s="5"/>
      <c r="I47" s="3"/>
      <c r="J47" s="3"/>
      <c r="K47" t="s">
        <v>6645</v>
      </c>
      <c r="L47" t="str">
        <f t="shared" si="0"/>
        <v>VARCHAR(1),</v>
      </c>
      <c r="N47" s="38" t="str">
        <f t="shared" si="1"/>
        <v>COMMENT ON COLUMN compass_sales_approval.id_data_resale_id IS '【ID(データ)】再販(ID)';</v>
      </c>
    </row>
    <row r="48" spans="1:14" ht="19.5" thickBot="1">
      <c r="A48" s="6"/>
      <c r="B48" s="6">
        <v>40</v>
      </c>
      <c r="C48" s="6" t="s">
        <v>6646</v>
      </c>
      <c r="D48" s="6" t="s">
        <v>66</v>
      </c>
      <c r="E48" s="6">
        <v>1</v>
      </c>
      <c r="F48" s="7" t="s">
        <v>67</v>
      </c>
      <c r="G48" s="6"/>
      <c r="H48" s="8"/>
      <c r="I48" s="6"/>
      <c r="J48" s="6"/>
      <c r="K48" t="s">
        <v>6647</v>
      </c>
      <c r="L48" t="str">
        <f t="shared" si="0"/>
        <v>VARCHAR(1),</v>
      </c>
      <c r="N48" s="38" t="str">
        <f t="shared" si="1"/>
        <v>COMMENT ON COLUMN compass_sales_approval.is_ni_product_sales_resale_is IS '【IS(NI・物販)】再販(IS)';</v>
      </c>
    </row>
    <row r="49" spans="1:14" ht="19.5" thickBot="1">
      <c r="A49" s="3"/>
      <c r="B49" s="3">
        <v>41</v>
      </c>
      <c r="C49" s="3" t="s">
        <v>6648</v>
      </c>
      <c r="D49" s="3" t="s">
        <v>66</v>
      </c>
      <c r="E49" s="3">
        <v>1</v>
      </c>
      <c r="F49" s="2" t="s">
        <v>67</v>
      </c>
      <c r="G49" s="3"/>
      <c r="H49" s="5"/>
      <c r="I49" s="3"/>
      <c r="J49" s="3"/>
      <c r="K49" t="s">
        <v>6649</v>
      </c>
      <c r="L49" t="str">
        <f t="shared" si="0"/>
        <v>VARCHAR(1),</v>
      </c>
      <c r="N49" s="38" t="str">
        <f t="shared" si="1"/>
        <v>COMMENT ON COLUMN compass_sales_approval.pre_order IS '先行発注';</v>
      </c>
    </row>
    <row r="50" spans="1:14" ht="19.5" thickBot="1">
      <c r="A50" s="6"/>
      <c r="B50" s="6">
        <v>42</v>
      </c>
      <c r="C50" s="6" t="s">
        <v>6650</v>
      </c>
      <c r="D50" s="6" t="s">
        <v>66</v>
      </c>
      <c r="E50" s="6">
        <v>1</v>
      </c>
      <c r="F50" s="7" t="s">
        <v>67</v>
      </c>
      <c r="G50" s="6"/>
      <c r="H50" s="8"/>
      <c r="I50" s="6"/>
      <c r="J50" s="6"/>
      <c r="K50" t="s">
        <v>6651</v>
      </c>
      <c r="L50" t="str">
        <f t="shared" si="0"/>
        <v>VARCHAR(1),</v>
      </c>
      <c r="N50" s="38" t="str">
        <f t="shared" si="1"/>
        <v>COMMENT ON COLUMN compass_sales_approval.reseller_contract_data IS '再販契約(データ)';</v>
      </c>
    </row>
    <row r="51" spans="1:14" ht="19.5" thickBot="1">
      <c r="A51" s="3"/>
      <c r="B51" s="3">
        <v>43</v>
      </c>
      <c r="C51" s="3" t="s">
        <v>6652</v>
      </c>
      <c r="D51" s="3" t="s">
        <v>66</v>
      </c>
      <c r="E51" s="3">
        <v>1</v>
      </c>
      <c r="F51" s="2" t="s">
        <v>67</v>
      </c>
      <c r="G51" s="3"/>
      <c r="H51" s="5"/>
      <c r="I51" s="3"/>
      <c r="J51" s="3"/>
      <c r="K51" t="s">
        <v>6653</v>
      </c>
      <c r="L51" t="str">
        <f t="shared" si="0"/>
        <v>VARCHAR(1),</v>
      </c>
      <c r="N51" s="38" t="str">
        <f t="shared" si="1"/>
        <v>COMMENT ON COLUMN compass_sales_approval.contract_conclusion_single IS '契約締結(単独)';</v>
      </c>
    </row>
    <row r="52" spans="1:14" ht="19.5" thickBot="1">
      <c r="A52" s="6"/>
      <c r="B52" s="6">
        <v>44</v>
      </c>
      <c r="C52" s="6" t="s">
        <v>6654</v>
      </c>
      <c r="D52" s="6" t="s">
        <v>66</v>
      </c>
      <c r="E52" s="6">
        <v>1</v>
      </c>
      <c r="F52" s="7" t="s">
        <v>67</v>
      </c>
      <c r="G52" s="6"/>
      <c r="H52" s="8"/>
      <c r="I52" s="6"/>
      <c r="J52" s="6"/>
      <c r="K52" t="s">
        <v>6655</v>
      </c>
      <c r="L52" t="str">
        <f t="shared" si="0"/>
        <v>VARCHAR(1),</v>
      </c>
      <c r="N52" s="38" t="str">
        <f t="shared" si="1"/>
        <v>COMMENT ON COLUMN compass_sales_approval.external_document_submission IS '社外文書提出';</v>
      </c>
    </row>
    <row r="53" spans="1:14" ht="19.5" thickBot="1">
      <c r="A53" s="3"/>
      <c r="B53" s="3">
        <v>45</v>
      </c>
      <c r="C53" s="3" t="s">
        <v>6656</v>
      </c>
      <c r="D53" s="3" t="s">
        <v>66</v>
      </c>
      <c r="E53" s="3">
        <v>1</v>
      </c>
      <c r="F53" s="2" t="s">
        <v>67</v>
      </c>
      <c r="G53" s="3"/>
      <c r="H53" s="5"/>
      <c r="I53" s="3"/>
      <c r="J53" s="3"/>
      <c r="K53" t="s">
        <v>6657</v>
      </c>
      <c r="L53" t="str">
        <f t="shared" si="0"/>
        <v>VARCHAR(1),</v>
      </c>
      <c r="N53" s="38" t="str">
        <f t="shared" si="1"/>
        <v>COMMENT ON COLUMN compass_sales_approval.nda_agreement IS 'NDA契約';</v>
      </c>
    </row>
    <row r="54" spans="1:14" ht="19.5" thickBot="1">
      <c r="A54" s="6"/>
      <c r="B54" s="6">
        <v>46</v>
      </c>
      <c r="C54" s="6" t="s">
        <v>6658</v>
      </c>
      <c r="D54" s="6" t="s">
        <v>66</v>
      </c>
      <c r="E54" s="6">
        <v>1</v>
      </c>
      <c r="F54" s="7" t="s">
        <v>67</v>
      </c>
      <c r="G54" s="6"/>
      <c r="H54" s="8"/>
      <c r="I54" s="6"/>
      <c r="J54" s="6"/>
      <c r="K54" t="s">
        <v>6659</v>
      </c>
      <c r="L54" t="str">
        <f t="shared" si="0"/>
        <v>VARCHAR(1),</v>
      </c>
      <c r="N54" s="38" t="str">
        <f t="shared" si="1"/>
        <v>COMMENT ON COLUMN compass_sales_approval.other_type IS 'その他';</v>
      </c>
    </row>
    <row r="55" spans="1:14" ht="19.5" thickBot="1">
      <c r="A55" s="3"/>
      <c r="B55" s="3">
        <v>47</v>
      </c>
      <c r="C55" s="3" t="s">
        <v>6179</v>
      </c>
      <c r="D55" s="3" t="s">
        <v>66</v>
      </c>
      <c r="E55" s="3">
        <v>765</v>
      </c>
      <c r="F55" s="2" t="s">
        <v>67</v>
      </c>
      <c r="G55" s="3"/>
      <c r="H55" s="5"/>
      <c r="I55" s="3"/>
      <c r="J55" s="3"/>
      <c r="K55" t="s">
        <v>6660</v>
      </c>
      <c r="L55" t="str">
        <f t="shared" si="0"/>
        <v>VARCHAR(765),</v>
      </c>
      <c r="N55" s="38" t="str">
        <f t="shared" si="1"/>
        <v>COMMENT ON COLUMN compass_sales_approval.originators_name IS '起案者名';</v>
      </c>
    </row>
    <row r="56" spans="1:14" ht="19.5" thickBot="1">
      <c r="A56" s="6"/>
      <c r="B56" s="6">
        <v>48</v>
      </c>
      <c r="C56" s="6" t="s">
        <v>6661</v>
      </c>
      <c r="D56" s="6" t="s">
        <v>66</v>
      </c>
      <c r="E56" s="6">
        <v>765</v>
      </c>
      <c r="F56" s="7" t="s">
        <v>67</v>
      </c>
      <c r="G56" s="6"/>
      <c r="H56" s="8"/>
      <c r="I56" s="6"/>
      <c r="J56" s="6"/>
      <c r="K56" t="s">
        <v>6662</v>
      </c>
      <c r="L56" t="str">
        <f t="shared" si="0"/>
        <v>VARCHAR(765),</v>
      </c>
      <c r="N56" s="38" t="str">
        <f t="shared" si="1"/>
        <v>COMMENT ON COLUMN compass_sales_approval.originators_phone_number IS '起案者電話番号';</v>
      </c>
    </row>
    <row r="57" spans="1:14" ht="19.5" thickBot="1">
      <c r="A57" s="3"/>
      <c r="B57" s="3">
        <v>49</v>
      </c>
      <c r="C57" s="3" t="s">
        <v>6663</v>
      </c>
      <c r="D57" s="3" t="s">
        <v>66</v>
      </c>
      <c r="E57" s="3">
        <v>12000</v>
      </c>
      <c r="F57" s="2" t="s">
        <v>67</v>
      </c>
      <c r="G57" s="3"/>
      <c r="H57" s="5"/>
      <c r="I57" s="3"/>
      <c r="J57" s="3"/>
      <c r="K57" t="s">
        <v>6664</v>
      </c>
      <c r="L57" t="str">
        <f t="shared" si="0"/>
        <v>VARCHAR(12000),</v>
      </c>
      <c r="N57" s="38" t="str">
        <f t="shared" si="1"/>
        <v>COMMENT ON COLUMN compass_sales_approval.affiliated_org_address_list IS '起案者の所属組織情報一覧';</v>
      </c>
    </row>
    <row r="58" spans="1:14" ht="19.5" thickBot="1">
      <c r="A58" s="6"/>
      <c r="B58" s="6">
        <v>50</v>
      </c>
      <c r="C58" s="6" t="s">
        <v>6295</v>
      </c>
      <c r="D58" s="6" t="s">
        <v>66</v>
      </c>
      <c r="E58" s="6">
        <v>240</v>
      </c>
      <c r="F58" s="7" t="s">
        <v>67</v>
      </c>
      <c r="G58" s="6"/>
      <c r="H58" s="8"/>
      <c r="I58" s="6"/>
      <c r="J58" s="6"/>
      <c r="K58" t="s">
        <v>6665</v>
      </c>
      <c r="L58" t="str">
        <f t="shared" si="0"/>
        <v>VARCHAR(240),</v>
      </c>
      <c r="N58" s="38" t="str">
        <f t="shared" si="1"/>
        <v>COMMENT ON COLUMN compass_sales_approval.source_aggregation_sheet_info IS '情報元集約シート';</v>
      </c>
    </row>
    <row r="59" spans="1:14" ht="19.5" thickBot="1">
      <c r="A59" s="3"/>
      <c r="B59" s="3">
        <v>51</v>
      </c>
      <c r="C59" s="3" t="s">
        <v>6666</v>
      </c>
      <c r="D59" s="3" t="s">
        <v>66</v>
      </c>
      <c r="E59" s="3">
        <v>765</v>
      </c>
      <c r="F59" s="2" t="s">
        <v>67</v>
      </c>
      <c r="G59" s="3"/>
      <c r="H59" s="5"/>
      <c r="I59" s="3"/>
      <c r="J59" s="3"/>
      <c r="K59" t="s">
        <v>6667</v>
      </c>
      <c r="L59" t="str">
        <f t="shared" si="0"/>
        <v>VARCHAR(765),</v>
      </c>
      <c r="N59" s="38" t="str">
        <f t="shared" si="1"/>
        <v>COMMENT ON COLUMN compass_sales_approval.aggregation_number IS '集約番号';</v>
      </c>
    </row>
    <row r="60" spans="1:14" ht="19.5" thickBot="1">
      <c r="A60" s="6"/>
      <c r="B60" s="6">
        <v>52</v>
      </c>
      <c r="C60" s="6" t="s">
        <v>6668</v>
      </c>
      <c r="D60" s="6" t="s">
        <v>66</v>
      </c>
      <c r="E60" s="6">
        <v>10</v>
      </c>
      <c r="F60" s="7" t="s">
        <v>67</v>
      </c>
      <c r="G60" s="6" t="s">
        <v>6669</v>
      </c>
      <c r="H60" s="8"/>
      <c r="I60" s="6"/>
      <c r="J60" s="6"/>
      <c r="K60" t="s">
        <v>6264</v>
      </c>
      <c r="L60" t="str">
        <f t="shared" si="0"/>
        <v>VARCHAR(10),</v>
      </c>
      <c r="N60" s="38" t="str">
        <f t="shared" si="1"/>
        <v>COMMENT ON COLUMN compass_sales_approval.scheduled_execution_date IS '実行予定日（提案/処理依頼予定日)';</v>
      </c>
    </row>
    <row r="61" spans="1:14" ht="19.5" thickBot="1">
      <c r="A61" s="3"/>
      <c r="B61" s="3">
        <v>53</v>
      </c>
      <c r="C61" s="3" t="s">
        <v>6213</v>
      </c>
      <c r="D61" s="3" t="s">
        <v>66</v>
      </c>
      <c r="E61" s="3">
        <v>765</v>
      </c>
      <c r="F61" s="2" t="s">
        <v>67</v>
      </c>
      <c r="G61" s="3"/>
      <c r="H61" s="5"/>
      <c r="I61" s="3"/>
      <c r="J61" s="3"/>
      <c r="K61" t="s">
        <v>6670</v>
      </c>
      <c r="L61" t="str">
        <f t="shared" si="0"/>
        <v>VARCHAR(765),</v>
      </c>
      <c r="N61" s="38" t="str">
        <f t="shared" si="1"/>
        <v>COMMENT ON COLUMN compass_sales_approval.approval_document_period_months IS '決裁書有効期間（ヶ月）';</v>
      </c>
    </row>
    <row r="62" spans="1:14" ht="19.5" thickBot="1">
      <c r="A62" s="6"/>
      <c r="B62" s="6">
        <v>54</v>
      </c>
      <c r="C62" s="6" t="s">
        <v>6227</v>
      </c>
      <c r="D62" s="6" t="s">
        <v>66</v>
      </c>
      <c r="E62" s="6">
        <v>765</v>
      </c>
      <c r="F62" s="7" t="s">
        <v>67</v>
      </c>
      <c r="G62" s="6"/>
      <c r="H62" s="8"/>
      <c r="I62" s="6"/>
      <c r="J62" s="6"/>
      <c r="K62" t="s">
        <v>6228</v>
      </c>
      <c r="L62" t="str">
        <f t="shared" si="0"/>
        <v>VARCHAR(765),</v>
      </c>
      <c r="N62" s="38" t="str">
        <f t="shared" si="1"/>
        <v>COMMENT ON COLUMN compass_sales_approval.credit_alert IS '与信アラート';</v>
      </c>
    </row>
    <row r="63" spans="1:14" ht="19.5" thickBot="1">
      <c r="A63" s="3"/>
      <c r="B63" s="3">
        <v>55</v>
      </c>
      <c r="C63" s="3" t="s">
        <v>6239</v>
      </c>
      <c r="D63" s="3" t="s">
        <v>66</v>
      </c>
      <c r="E63" s="3">
        <v>765</v>
      </c>
      <c r="F63" s="2" t="s">
        <v>67</v>
      </c>
      <c r="G63" s="3"/>
      <c r="H63" s="5"/>
      <c r="I63" s="3"/>
      <c r="J63" s="3"/>
      <c r="K63" t="s">
        <v>6671</v>
      </c>
      <c r="L63" t="str">
        <f t="shared" si="0"/>
        <v>VARCHAR(765),</v>
      </c>
      <c r="N63" s="38" t="str">
        <f t="shared" si="1"/>
        <v>COMMENT ON COLUMN compass_sales_approval.whether_credit_review IS '与信審査実施有無';</v>
      </c>
    </row>
    <row r="64" spans="1:14" ht="19.5" thickBot="1">
      <c r="A64" s="6"/>
      <c r="B64" s="6">
        <v>56</v>
      </c>
      <c r="C64" s="6" t="s">
        <v>6672</v>
      </c>
      <c r="D64" s="6" t="s">
        <v>66</v>
      </c>
      <c r="E64" s="6">
        <v>765</v>
      </c>
      <c r="F64" s="7" t="s">
        <v>67</v>
      </c>
      <c r="G64" s="6"/>
      <c r="H64" s="8"/>
      <c r="I64" s="6"/>
      <c r="J64" s="6"/>
      <c r="K64" t="s">
        <v>6673</v>
      </c>
      <c r="L64" t="str">
        <f t="shared" si="0"/>
        <v>VARCHAR(765),</v>
      </c>
      <c r="N64" s="38" t="str">
        <f t="shared" si="1"/>
        <v>COMMENT ON COLUMN compass_sales_approval.credit_review_request_name_compass IS '与信審査依頼名（COMPASS）';</v>
      </c>
    </row>
    <row r="65" spans="1:14" ht="19.5" thickBot="1">
      <c r="A65" s="3"/>
      <c r="B65" s="3">
        <v>57</v>
      </c>
      <c r="C65" s="3" t="s">
        <v>6674</v>
      </c>
      <c r="D65" s="3" t="s">
        <v>66</v>
      </c>
      <c r="E65" s="3">
        <v>765</v>
      </c>
      <c r="F65" s="2" t="s">
        <v>67</v>
      </c>
      <c r="G65" s="3"/>
      <c r="H65" s="5"/>
      <c r="I65" s="3"/>
      <c r="J65" s="3"/>
      <c r="K65" t="s">
        <v>6675</v>
      </c>
      <c r="L65" t="str">
        <f t="shared" si="0"/>
        <v>VARCHAR(765),</v>
      </c>
      <c r="N65" s="38" t="str">
        <f t="shared" si="1"/>
        <v>COMMENT ON COLUMN compass_sales_approval.credit_review_request_name_bfs IS '与信審査依頼名（BFS）';</v>
      </c>
    </row>
    <row r="66" spans="1:14" ht="19.5" thickBot="1">
      <c r="A66" s="6"/>
      <c r="B66" s="6">
        <v>58</v>
      </c>
      <c r="C66" s="6" t="s">
        <v>6248</v>
      </c>
      <c r="D66" s="6" t="s">
        <v>66</v>
      </c>
      <c r="E66" s="6">
        <v>765</v>
      </c>
      <c r="F66" s="7" t="s">
        <v>67</v>
      </c>
      <c r="G66" s="6"/>
      <c r="H66" s="8"/>
      <c r="I66" s="6"/>
      <c r="J66" s="6"/>
      <c r="K66" t="s">
        <v>6676</v>
      </c>
      <c r="L66" t="str">
        <f t="shared" si="0"/>
        <v>VARCHAR(765),</v>
      </c>
      <c r="N66" s="38" t="str">
        <f t="shared" si="1"/>
        <v>COMMENT ON COLUMN compass_sales_approval.whether_legal_pre_review_conducted IS '法務事前審査実施有無';</v>
      </c>
    </row>
    <row r="67" spans="1:14" ht="19.5" thickBot="1">
      <c r="A67" s="3"/>
      <c r="B67" s="3">
        <v>59</v>
      </c>
      <c r="C67" s="3" t="s">
        <v>6677</v>
      </c>
      <c r="D67" s="3" t="s">
        <v>66</v>
      </c>
      <c r="E67" s="3">
        <v>765</v>
      </c>
      <c r="F67" s="2" t="s">
        <v>67</v>
      </c>
      <c r="G67" s="3"/>
      <c r="H67" s="5"/>
      <c r="I67" s="3"/>
      <c r="J67" s="3"/>
      <c r="K67" t="s">
        <v>6678</v>
      </c>
      <c r="L67" t="str">
        <f t="shared" si="0"/>
        <v>VARCHAR(765),</v>
      </c>
      <c r="N67" s="38" t="str">
        <f t="shared" si="1"/>
        <v>COMMENT ON COLUMN compass_sales_approval.legal_pre_review_request_number IS '法務事前審査依頼番号';</v>
      </c>
    </row>
    <row r="68" spans="1:14" ht="19.5" thickBot="1">
      <c r="A68" s="6"/>
      <c r="B68" s="6">
        <v>60</v>
      </c>
      <c r="C68" s="6" t="s">
        <v>6679</v>
      </c>
      <c r="D68" s="6" t="s">
        <v>66</v>
      </c>
      <c r="E68" s="6">
        <v>765</v>
      </c>
      <c r="F68" s="7" t="s">
        <v>67</v>
      </c>
      <c r="G68" s="6"/>
      <c r="H68" s="8"/>
      <c r="I68" s="6"/>
      <c r="J68" s="6"/>
      <c r="K68" t="s">
        <v>6255</v>
      </c>
      <c r="L68" t="str">
        <f t="shared" si="0"/>
        <v>VARCHAR(765),</v>
      </c>
      <c r="N68" s="38" t="str">
        <f t="shared" si="1"/>
        <v>COMMENT ON COLUMN compass_sales_approval.re_approval_draft_flag IS '再決裁・起案フラグ';</v>
      </c>
    </row>
    <row r="69" spans="1:14" ht="19.5" thickBot="1">
      <c r="A69" s="3"/>
      <c r="B69" s="3">
        <v>61</v>
      </c>
      <c r="C69" s="3" t="s">
        <v>6257</v>
      </c>
      <c r="D69" s="3" t="s">
        <v>66</v>
      </c>
      <c r="E69" s="3">
        <v>765</v>
      </c>
      <c r="F69" s="2" t="s">
        <v>67</v>
      </c>
      <c r="G69" s="3"/>
      <c r="H69" s="5"/>
      <c r="I69" s="3"/>
      <c r="J69" s="3"/>
      <c r="K69" t="s">
        <v>6258</v>
      </c>
      <c r="L69" t="str">
        <f t="shared" si="0"/>
        <v>VARCHAR(765),</v>
      </c>
      <c r="N69" s="38" t="str">
        <f t="shared" si="1"/>
        <v>COMMENT ON COLUMN compass_sales_approval.service_type IS 'サービス種別';</v>
      </c>
    </row>
    <row r="70" spans="1:14" ht="19.5" thickBot="1">
      <c r="A70" s="6"/>
      <c r="B70" s="6">
        <v>62</v>
      </c>
      <c r="C70" s="6" t="s">
        <v>6230</v>
      </c>
      <c r="D70" s="6" t="s">
        <v>66</v>
      </c>
      <c r="E70" s="6">
        <v>765</v>
      </c>
      <c r="F70" s="7" t="s">
        <v>67</v>
      </c>
      <c r="G70" s="6"/>
      <c r="H70" s="8"/>
      <c r="I70" s="6"/>
      <c r="J70" s="6"/>
      <c r="K70" t="s">
        <v>6231</v>
      </c>
      <c r="L70" t="str">
        <f t="shared" si="0"/>
        <v>VARCHAR(765),</v>
      </c>
      <c r="N70" s="38" t="str">
        <f t="shared" si="1"/>
        <v>COMMENT ON COLUMN compass_sales_approval.sales_channel IS '販路';</v>
      </c>
    </row>
    <row r="71" spans="1:14" ht="19.5" thickBot="1">
      <c r="A71" s="3"/>
      <c r="B71" s="3">
        <v>63</v>
      </c>
      <c r="C71" s="3" t="s">
        <v>6233</v>
      </c>
      <c r="D71" s="3" t="s">
        <v>66</v>
      </c>
      <c r="E71" s="3">
        <v>765</v>
      </c>
      <c r="F71" s="2" t="s">
        <v>67</v>
      </c>
      <c r="G71" s="3"/>
      <c r="H71" s="5"/>
      <c r="I71" s="3"/>
      <c r="J71" s="3"/>
      <c r="K71" t="s">
        <v>6234</v>
      </c>
      <c r="L71" t="str">
        <f t="shared" si="0"/>
        <v>VARCHAR(765),</v>
      </c>
      <c r="N71" s="38" t="str">
        <f t="shared" si="1"/>
        <v>COMMENT ON COLUMN compass_sales_approval.legal_personal_classification IS '法個人区分';</v>
      </c>
    </row>
    <row r="72" spans="1:14" ht="19.5" thickBot="1">
      <c r="A72" s="6"/>
      <c r="B72" s="6">
        <v>64</v>
      </c>
      <c r="C72" s="6" t="s">
        <v>6236</v>
      </c>
      <c r="D72" s="6" t="s">
        <v>66</v>
      </c>
      <c r="E72" s="6">
        <v>765</v>
      </c>
      <c r="F72" s="7" t="s">
        <v>67</v>
      </c>
      <c r="G72" s="6"/>
      <c r="H72" s="8"/>
      <c r="I72" s="6"/>
      <c r="J72" s="6"/>
      <c r="K72" t="s">
        <v>6237</v>
      </c>
      <c r="L72" t="str">
        <f t="shared" si="0"/>
        <v>VARCHAR(765),</v>
      </c>
      <c r="N72" s="38" t="str">
        <f t="shared" si="1"/>
        <v>COMMENT ON COLUMN compass_sales_approval.billing_form IS '請求形態';</v>
      </c>
    </row>
    <row r="73" spans="1:14" ht="19.5" thickBot="1">
      <c r="A73" s="3"/>
      <c r="B73" s="3">
        <v>65</v>
      </c>
      <c r="C73" s="3" t="s">
        <v>6322</v>
      </c>
      <c r="D73" s="3" t="s">
        <v>66</v>
      </c>
      <c r="E73" s="3">
        <v>765</v>
      </c>
      <c r="F73" s="2" t="s">
        <v>67</v>
      </c>
      <c r="G73" s="3"/>
      <c r="H73" s="5"/>
      <c r="I73" s="3"/>
      <c r="J73" s="3"/>
      <c r="K73" t="s">
        <v>6323</v>
      </c>
      <c r="L73" t="str">
        <f t="shared" ref="L73:L136" si="2">D73&amp;"("&amp;E73&amp;"),"</f>
        <v>VARCHAR(765),</v>
      </c>
      <c r="N73" s="38" t="str">
        <f t="shared" si="1"/>
        <v>COMMENT ON COLUMN compass_sales_approval.agency_collaboration_conditions IS '代理店協業の条件';</v>
      </c>
    </row>
    <row r="74" spans="1:14" ht="19.5" thickBot="1">
      <c r="A74" s="6"/>
      <c r="B74" s="6">
        <v>66</v>
      </c>
      <c r="C74" s="6" t="s">
        <v>6325</v>
      </c>
      <c r="D74" s="6" t="s">
        <v>66</v>
      </c>
      <c r="E74" s="6">
        <v>765</v>
      </c>
      <c r="F74" s="7" t="s">
        <v>67</v>
      </c>
      <c r="G74" s="6"/>
      <c r="H74" s="8"/>
      <c r="I74" s="6"/>
      <c r="J74" s="6"/>
      <c r="K74" t="s">
        <v>6326</v>
      </c>
      <c r="L74" t="str">
        <f t="shared" si="2"/>
        <v>VARCHAR(765),</v>
      </c>
      <c r="N74" s="38" t="str">
        <f t="shared" ref="N74:N137" si="3">"COMMENT ON COLUMN "&amp;$K$3&amp;"."&amp;$K74&amp;" IS '"&amp;C74&amp;"';"</f>
        <v>COMMENT ON COLUMN compass_sales_approval.borderline_payment_amount IS '水際支払金額';</v>
      </c>
    </row>
    <row r="75" spans="1:14" ht="19.5" thickBot="1">
      <c r="A75" s="3"/>
      <c r="B75" s="3">
        <v>67</v>
      </c>
      <c r="C75" s="3" t="s">
        <v>6680</v>
      </c>
      <c r="D75" s="3" t="s">
        <v>66</v>
      </c>
      <c r="E75" s="3">
        <v>765</v>
      </c>
      <c r="F75" s="2" t="s">
        <v>67</v>
      </c>
      <c r="G75" s="3"/>
      <c r="H75" s="5"/>
      <c r="I75" s="3"/>
      <c r="J75" s="3"/>
      <c r="K75" t="s">
        <v>6681</v>
      </c>
      <c r="L75" t="str">
        <f t="shared" si="2"/>
        <v>VARCHAR(765),</v>
      </c>
      <c r="N75" s="38" t="str">
        <f t="shared" si="3"/>
        <v>COMMENT ON COLUMN compass_sales_approval.pre_approval_flag IS '決裁前事前承認フラグ';</v>
      </c>
    </row>
    <row r="76" spans="1:14" ht="19.5" thickBot="1">
      <c r="A76" s="6"/>
      <c r="B76" s="6">
        <v>68</v>
      </c>
      <c r="C76" s="6" t="s">
        <v>6275</v>
      </c>
      <c r="D76" s="6" t="s">
        <v>66</v>
      </c>
      <c r="E76" s="6">
        <v>765</v>
      </c>
      <c r="F76" s="7" t="s">
        <v>67</v>
      </c>
      <c r="G76" s="6"/>
      <c r="H76" s="8"/>
      <c r="I76" s="6"/>
      <c r="J76" s="6"/>
      <c r="K76" t="s">
        <v>6276</v>
      </c>
      <c r="L76" t="str">
        <f t="shared" si="2"/>
        <v>VARCHAR(765),</v>
      </c>
      <c r="N76" s="38" t="str">
        <f t="shared" si="3"/>
        <v>COMMENT ON COLUMN compass_sales_approval.name_of_approved_person IS '承認を受けた者の氏名';</v>
      </c>
    </row>
    <row r="77" spans="1:14" ht="19.5" thickBot="1">
      <c r="A77" s="3"/>
      <c r="B77" s="3">
        <v>69</v>
      </c>
      <c r="C77" s="3" t="s">
        <v>6280</v>
      </c>
      <c r="D77" s="3" t="s">
        <v>66</v>
      </c>
      <c r="E77" s="3">
        <v>12000</v>
      </c>
      <c r="F77" s="2" t="s">
        <v>67</v>
      </c>
      <c r="G77" s="3"/>
      <c r="H77" s="5"/>
      <c r="I77" s="3"/>
      <c r="J77" s="3"/>
      <c r="K77" t="s">
        <v>6281</v>
      </c>
      <c r="L77" t="str">
        <f t="shared" si="2"/>
        <v>VARCHAR(12000),</v>
      </c>
      <c r="N77" s="38" t="str">
        <f t="shared" si="3"/>
        <v>COMMENT ON COLUMN compass_sales_approval.reason_for_post_approval IS '事後決裁となった理由';</v>
      </c>
    </row>
    <row r="78" spans="1:14" ht="19.5" thickBot="1">
      <c r="A78" s="6"/>
      <c r="B78" s="6">
        <v>70</v>
      </c>
      <c r="C78" s="6" t="s">
        <v>6269</v>
      </c>
      <c r="D78" s="6" t="s">
        <v>66</v>
      </c>
      <c r="E78" s="6">
        <v>765</v>
      </c>
      <c r="F78" s="7" t="s">
        <v>67</v>
      </c>
      <c r="G78" s="6"/>
      <c r="H78" s="8"/>
      <c r="I78" s="6"/>
      <c r="J78" s="6"/>
      <c r="K78" t="s">
        <v>6270</v>
      </c>
      <c r="L78" t="str">
        <f t="shared" si="2"/>
        <v>VARCHAR(765),</v>
      </c>
      <c r="N78" s="38" t="str">
        <f t="shared" si="3"/>
        <v>COMMENT ON COLUMN compass_sales_approval.approver IS '承認者';</v>
      </c>
    </row>
    <row r="79" spans="1:14" ht="19.5" thickBot="1">
      <c r="A79" s="3"/>
      <c r="B79" s="3">
        <v>71</v>
      </c>
      <c r="C79" s="3" t="s">
        <v>6682</v>
      </c>
      <c r="D79" s="3" t="s">
        <v>66</v>
      </c>
      <c r="E79" s="3">
        <v>765</v>
      </c>
      <c r="F79" s="2" t="s">
        <v>67</v>
      </c>
      <c r="G79" s="3"/>
      <c r="H79" s="5"/>
      <c r="I79" s="3"/>
      <c r="J79" s="3"/>
      <c r="K79" t="s">
        <v>6683</v>
      </c>
      <c r="L79" t="str">
        <f t="shared" si="2"/>
        <v>VARCHAR(765),</v>
      </c>
      <c r="N79" s="38" t="str">
        <f t="shared" si="3"/>
        <v>COMMENT ON COLUMN compass_sales_approval.applicant IS '申請者';</v>
      </c>
    </row>
    <row r="80" spans="1:14" ht="19.5" thickBot="1">
      <c r="A80" s="6"/>
      <c r="B80" s="6">
        <v>72</v>
      </c>
      <c r="C80" s="6" t="s">
        <v>6684</v>
      </c>
      <c r="D80" s="6" t="s">
        <v>66</v>
      </c>
      <c r="E80" s="6">
        <v>765</v>
      </c>
      <c r="F80" s="7" t="s">
        <v>67</v>
      </c>
      <c r="G80" s="6"/>
      <c r="H80" s="8"/>
      <c r="I80" s="6"/>
      <c r="J80" s="6"/>
      <c r="K80" t="s">
        <v>6685</v>
      </c>
      <c r="L80" t="str">
        <f t="shared" si="2"/>
        <v>VARCHAR(765),</v>
      </c>
      <c r="N80" s="38" t="str">
        <f t="shared" si="3"/>
        <v>COMMENT ON COLUMN compass_sales_approval.orgl_route_proposers_duties IS '承認ルートとして利用する組織（起案者の本務/兼務）';</v>
      </c>
    </row>
    <row r="81" spans="1:14" ht="19.5" thickBot="1">
      <c r="A81" s="3"/>
      <c r="B81" s="3">
        <v>73</v>
      </c>
      <c r="C81" s="3" t="s">
        <v>6686</v>
      </c>
      <c r="D81" s="3" t="s">
        <v>66</v>
      </c>
      <c r="E81" s="3">
        <v>765</v>
      </c>
      <c r="F81" s="2" t="s">
        <v>67</v>
      </c>
      <c r="G81" s="3"/>
      <c r="H81" s="5"/>
      <c r="I81" s="3"/>
      <c r="J81" s="3"/>
      <c r="K81" t="s">
        <v>6687</v>
      </c>
      <c r="L81" t="str">
        <f t="shared" si="2"/>
        <v>VARCHAR(765),</v>
      </c>
      <c r="N81" s="38" t="str">
        <f t="shared" si="3"/>
        <v>COMMENT ON COLUMN compass_sales_approval.orgl_route_sales_duties IS '承認ルートとして利用する組織（営業担当者の本務/兼務）';</v>
      </c>
    </row>
    <row r="82" spans="1:14" ht="19.5" thickBot="1">
      <c r="A82" s="6"/>
      <c r="B82" s="6">
        <v>74</v>
      </c>
      <c r="C82" s="6" t="s">
        <v>6688</v>
      </c>
      <c r="D82" s="6" t="s">
        <v>66</v>
      </c>
      <c r="E82" s="6">
        <v>12000</v>
      </c>
      <c r="F82" s="7" t="s">
        <v>67</v>
      </c>
      <c r="G82" s="6"/>
      <c r="H82" s="8"/>
      <c r="I82" s="6"/>
      <c r="J82" s="6"/>
      <c r="K82" t="s">
        <v>6689</v>
      </c>
      <c r="L82" t="str">
        <f t="shared" si="2"/>
        <v>VARCHAR(12000),</v>
      </c>
      <c r="N82" s="38" t="str">
        <f t="shared" si="3"/>
        <v>COMMENT ON COLUMN compass_sales_approval.sales_representatives_list IS '営業担当者の所属組織情報一覧';</v>
      </c>
    </row>
    <row r="83" spans="1:14" ht="19.5" thickBot="1">
      <c r="A83" s="3"/>
      <c r="B83" s="3">
        <v>75</v>
      </c>
      <c r="C83" s="3" t="s">
        <v>6690</v>
      </c>
      <c r="D83" s="3" t="s">
        <v>66</v>
      </c>
      <c r="E83" s="3">
        <v>1</v>
      </c>
      <c r="F83" s="2" t="s">
        <v>67</v>
      </c>
      <c r="G83" s="3"/>
      <c r="H83" s="5"/>
      <c r="I83" s="3"/>
      <c r="J83" s="3"/>
      <c r="K83" t="s">
        <v>6691</v>
      </c>
      <c r="L83" t="str">
        <f t="shared" si="2"/>
        <v>VARCHAR(1),</v>
      </c>
      <c r="N83" s="38" t="str">
        <f t="shared" si="3"/>
        <v>COMMENT ON COLUMN compass_sales_approval.comprehensive_approval IS '包括決裁';</v>
      </c>
    </row>
    <row r="84" spans="1:14" ht="19.5" thickBot="1">
      <c r="A84" s="6"/>
      <c r="B84" s="6">
        <v>76</v>
      </c>
      <c r="C84" s="6" t="s">
        <v>6692</v>
      </c>
      <c r="D84" s="6" t="s">
        <v>66</v>
      </c>
      <c r="E84" s="6">
        <v>1</v>
      </c>
      <c r="F84" s="7" t="s">
        <v>67</v>
      </c>
      <c r="G84" s="6"/>
      <c r="H84" s="8"/>
      <c r="I84" s="6"/>
      <c r="J84" s="6"/>
      <c r="K84" t="s">
        <v>6693</v>
      </c>
      <c r="L84" t="str">
        <f t="shared" si="2"/>
        <v>VARCHAR(1),</v>
      </c>
      <c r="N84" s="38" t="str">
        <f t="shared" si="3"/>
        <v>COMMENT ON COLUMN compass_sales_approval.group_comprehensive_approval IS 'グループ包括決裁';</v>
      </c>
    </row>
    <row r="85" spans="1:14" ht="19.5" thickBot="1">
      <c r="A85" s="3"/>
      <c r="B85" s="3">
        <v>77</v>
      </c>
      <c r="C85" s="3" t="s">
        <v>6694</v>
      </c>
      <c r="D85" s="3" t="s">
        <v>66</v>
      </c>
      <c r="E85" s="3">
        <v>1</v>
      </c>
      <c r="F85" s="2" t="s">
        <v>67</v>
      </c>
      <c r="G85" s="3"/>
      <c r="H85" s="5"/>
      <c r="I85" s="3"/>
      <c r="J85" s="3"/>
      <c r="K85" t="s">
        <v>6695</v>
      </c>
      <c r="L85" t="str">
        <f t="shared" si="2"/>
        <v>VARCHAR(1),</v>
      </c>
      <c r="N85" s="38" t="str">
        <f t="shared" si="3"/>
        <v>COMMENT ON COLUMN compass_sales_approval.used_in_other_projects IS '他案件で利用';</v>
      </c>
    </row>
    <row r="86" spans="1:14" ht="19.5" thickBot="1">
      <c r="A86" s="6"/>
      <c r="B86" s="6">
        <v>78</v>
      </c>
      <c r="C86" s="6" t="s">
        <v>2398</v>
      </c>
      <c r="D86" s="6" t="s">
        <v>66</v>
      </c>
      <c r="E86" s="6">
        <v>765</v>
      </c>
      <c r="F86" s="7" t="s">
        <v>67</v>
      </c>
      <c r="G86" s="6"/>
      <c r="H86" s="8"/>
      <c r="I86" s="6"/>
      <c r="J86" s="6"/>
      <c r="K86" t="s">
        <v>6696</v>
      </c>
      <c r="L86" t="str">
        <f t="shared" si="2"/>
        <v>VARCHAR(765),</v>
      </c>
      <c r="N86" s="38" t="str">
        <f t="shared" si="3"/>
        <v>COMMENT ON COLUMN compass_sales_approval.contact_name IS '担当者名';</v>
      </c>
    </row>
    <row r="87" spans="1:14" ht="19.5" thickBot="1">
      <c r="A87" s="3"/>
      <c r="B87" s="3">
        <v>79</v>
      </c>
      <c r="C87" s="3" t="s">
        <v>6697</v>
      </c>
      <c r="D87" s="3" t="s">
        <v>66</v>
      </c>
      <c r="E87" s="3">
        <v>765</v>
      </c>
      <c r="F87" s="2" t="s">
        <v>67</v>
      </c>
      <c r="G87" s="3"/>
      <c r="H87" s="5"/>
      <c r="I87" s="3"/>
      <c r="J87" s="3"/>
      <c r="K87" t="s">
        <v>6698</v>
      </c>
      <c r="L87" t="str">
        <f t="shared" si="2"/>
        <v>VARCHAR(765),</v>
      </c>
      <c r="N87" s="38" t="str">
        <f t="shared" si="3"/>
        <v>COMMENT ON COLUMN compass_sales_approval.contact_phone_number IS '担当者電話番号';</v>
      </c>
    </row>
    <row r="88" spans="1:14" ht="19.5" thickBot="1">
      <c r="A88" s="6"/>
      <c r="B88" s="6">
        <v>80</v>
      </c>
      <c r="C88" s="6" t="s">
        <v>6340</v>
      </c>
      <c r="D88" s="6" t="s">
        <v>66</v>
      </c>
      <c r="E88" s="6">
        <v>765</v>
      </c>
      <c r="F88" s="7" t="s">
        <v>67</v>
      </c>
      <c r="G88" s="6"/>
      <c r="H88" s="8"/>
      <c r="I88" s="6"/>
      <c r="J88" s="6"/>
      <c r="K88" t="s">
        <v>6699</v>
      </c>
      <c r="L88" t="str">
        <f t="shared" si="2"/>
        <v>VARCHAR(765),</v>
      </c>
      <c r="N88" s="38" t="str">
        <f t="shared" si="3"/>
        <v>COMMENT ON COLUMN compass_sales_approval.pre_confirmation IS '事前相談有無';</v>
      </c>
    </row>
    <row r="89" spans="1:14" ht="19.5" thickBot="1">
      <c r="A89" s="3"/>
      <c r="B89" s="3">
        <v>81</v>
      </c>
      <c r="C89" s="3" t="s">
        <v>6700</v>
      </c>
      <c r="D89" s="3" t="s">
        <v>66</v>
      </c>
      <c r="E89" s="3">
        <v>765</v>
      </c>
      <c r="F89" s="2" t="s">
        <v>67</v>
      </c>
      <c r="G89" s="3"/>
      <c r="H89" s="5"/>
      <c r="I89" s="3"/>
      <c r="J89" s="3"/>
      <c r="K89" t="s">
        <v>6701</v>
      </c>
      <c r="L89" t="str">
        <f t="shared" si="2"/>
        <v>VARCHAR(765),</v>
      </c>
      <c r="N89" s="38" t="str">
        <f t="shared" si="3"/>
        <v>COMMENT ON COLUMN compass_sales_approval.pre_approval_consultation_name IS '決裁事前相談名';</v>
      </c>
    </row>
    <row r="90" spans="1:14" ht="19.5" thickBot="1">
      <c r="A90" s="6"/>
      <c r="B90" s="6">
        <v>82</v>
      </c>
      <c r="C90" s="6" t="s">
        <v>6702</v>
      </c>
      <c r="D90" s="6" t="s">
        <v>66</v>
      </c>
      <c r="E90" s="6">
        <v>765</v>
      </c>
      <c r="F90" s="7" t="s">
        <v>67</v>
      </c>
      <c r="G90" s="6"/>
      <c r="H90" s="8"/>
      <c r="I90" s="6"/>
      <c r="J90" s="6"/>
      <c r="K90" t="s">
        <v>6703</v>
      </c>
      <c r="L90" t="str">
        <f t="shared" si="2"/>
        <v>VARCHAR(765),</v>
      </c>
      <c r="N90" s="38" t="str">
        <f t="shared" si="3"/>
        <v>COMMENT ON COLUMN compass_sales_approval.project_name IS '案件名';</v>
      </c>
    </row>
    <row r="91" spans="1:14" ht="19.5" thickBot="1">
      <c r="A91" s="3"/>
      <c r="B91" s="3">
        <v>83</v>
      </c>
      <c r="C91" s="3" t="s">
        <v>6704</v>
      </c>
      <c r="D91" s="3" t="s">
        <v>66</v>
      </c>
      <c r="E91" s="3">
        <v>765</v>
      </c>
      <c r="F91" s="2" t="s">
        <v>67</v>
      </c>
      <c r="G91" s="3"/>
      <c r="H91" s="5"/>
      <c r="I91" s="3"/>
      <c r="J91" s="3"/>
      <c r="K91" t="s">
        <v>6705</v>
      </c>
      <c r="L91" t="str">
        <f t="shared" si="2"/>
        <v>VARCHAR(765),</v>
      </c>
      <c r="N91" s="38" t="str">
        <f t="shared" si="3"/>
        <v>COMMENT ON COLUMN compass_sales_approval.project_id IS '案件ID';</v>
      </c>
    </row>
    <row r="92" spans="1:14" ht="19.5" thickBot="1">
      <c r="A92" s="6"/>
      <c r="B92" s="6">
        <v>84</v>
      </c>
      <c r="C92" s="6" t="s">
        <v>2299</v>
      </c>
      <c r="D92" s="6" t="s">
        <v>66</v>
      </c>
      <c r="E92" s="6">
        <v>765</v>
      </c>
      <c r="F92" s="7" t="s">
        <v>67</v>
      </c>
      <c r="G92" s="6"/>
      <c r="H92" s="8"/>
      <c r="I92" s="6"/>
      <c r="J92" s="6"/>
      <c r="K92" t="s">
        <v>2300</v>
      </c>
      <c r="L92" t="str">
        <f t="shared" si="2"/>
        <v>VARCHAR(765),</v>
      </c>
      <c r="N92" s="38" t="str">
        <f t="shared" si="3"/>
        <v>COMMENT ON COLUMN compass_sales_approval.company_name IS '企業名';</v>
      </c>
    </row>
    <row r="93" spans="1:14" ht="19.5" thickBot="1">
      <c r="A93" s="3"/>
      <c r="B93" s="3">
        <v>85</v>
      </c>
      <c r="C93" s="3" t="s">
        <v>6706</v>
      </c>
      <c r="D93" s="3" t="s">
        <v>66</v>
      </c>
      <c r="E93" s="3">
        <v>765</v>
      </c>
      <c r="F93" s="2" t="s">
        <v>67</v>
      </c>
      <c r="G93" s="3"/>
      <c r="H93" s="5"/>
      <c r="I93" s="3"/>
      <c r="J93" s="3"/>
      <c r="K93" t="s">
        <v>6196</v>
      </c>
      <c r="L93" t="str">
        <f t="shared" si="2"/>
        <v>VARCHAR(765),</v>
      </c>
      <c r="N93" s="38" t="str">
        <f t="shared" si="3"/>
        <v>COMMENT ON COLUMN compass_sales_approval.uniform_company_code IS '統一企業コード';</v>
      </c>
    </row>
    <row r="94" spans="1:14" ht="19.5" thickBot="1">
      <c r="A94" s="6"/>
      <c r="B94" s="6">
        <v>86</v>
      </c>
      <c r="C94" s="6" t="s">
        <v>6707</v>
      </c>
      <c r="D94" s="6" t="s">
        <v>66</v>
      </c>
      <c r="E94" s="6">
        <v>765</v>
      </c>
      <c r="F94" s="7" t="s">
        <v>67</v>
      </c>
      <c r="G94" s="6"/>
      <c r="H94" s="8"/>
      <c r="I94" s="6"/>
      <c r="J94" s="6"/>
      <c r="K94" t="s">
        <v>6202</v>
      </c>
      <c r="L94" t="str">
        <f t="shared" si="2"/>
        <v>VARCHAR(765),</v>
      </c>
      <c r="N94" s="38" t="str">
        <f t="shared" si="3"/>
        <v>COMMENT ON COLUMN compass_sales_approval.tsr_rating IS 'TSR評点';</v>
      </c>
    </row>
    <row r="95" spans="1:14" ht="19.5" thickBot="1">
      <c r="A95" s="3"/>
      <c r="B95" s="3">
        <v>87</v>
      </c>
      <c r="C95" s="3" t="s">
        <v>166</v>
      </c>
      <c r="D95" s="3" t="s">
        <v>89</v>
      </c>
      <c r="E95" s="3" t="s">
        <v>6708</v>
      </c>
      <c r="F95" s="2" t="s">
        <v>67</v>
      </c>
      <c r="G95" s="3"/>
      <c r="H95" s="5"/>
      <c r="I95" s="3"/>
      <c r="J95" s="3"/>
      <c r="K95" t="s">
        <v>167</v>
      </c>
      <c r="L95" t="str">
        <f t="shared" si="2"/>
        <v>DECIMAL(18,0),</v>
      </c>
      <c r="N95" s="38" t="str">
        <f t="shared" si="3"/>
        <v>COMMENT ON COLUMN compass_sales_approval.number_of_lines IS '回線数';</v>
      </c>
    </row>
    <row r="96" spans="1:14" ht="19.5" thickBot="1">
      <c r="A96" s="6"/>
      <c r="B96" s="6">
        <v>88</v>
      </c>
      <c r="C96" s="6" t="s">
        <v>6709</v>
      </c>
      <c r="D96" s="6" t="s">
        <v>89</v>
      </c>
      <c r="E96" s="6" t="s">
        <v>6708</v>
      </c>
      <c r="F96" s="7" t="s">
        <v>67</v>
      </c>
      <c r="G96" s="6"/>
      <c r="H96" s="8"/>
      <c r="I96" s="6"/>
      <c r="J96" s="6"/>
      <c r="K96" t="s">
        <v>6710</v>
      </c>
      <c r="L96" t="str">
        <f t="shared" si="2"/>
        <v>DECIMAL(18,0),</v>
      </c>
      <c r="N96" s="38" t="str">
        <f t="shared" si="3"/>
        <v>COMMENT ON COLUMN compass_sales_approval.contract_period_months IS '契約期間（ヶ月）';</v>
      </c>
    </row>
    <row r="97" spans="1:14" ht="19.5" thickBot="1">
      <c r="A97" s="3"/>
      <c r="B97" s="3">
        <v>89</v>
      </c>
      <c r="C97" s="3" t="s">
        <v>6711</v>
      </c>
      <c r="D97" s="3" t="s">
        <v>66</v>
      </c>
      <c r="E97" s="3">
        <v>10</v>
      </c>
      <c r="F97" s="2" t="s">
        <v>67</v>
      </c>
      <c r="G97" s="3" t="s">
        <v>6669</v>
      </c>
      <c r="H97" s="5"/>
      <c r="I97" s="3"/>
      <c r="J97" s="3"/>
      <c r="K97" t="s">
        <v>3127</v>
      </c>
      <c r="L97" t="str">
        <f t="shared" si="2"/>
        <v>VARCHAR(10),</v>
      </c>
      <c r="N97" s="38" t="str">
        <f t="shared" si="3"/>
        <v>COMMENT ON COLUMN compass_sales_approval.contract_start_date IS '契約開始予定日';</v>
      </c>
    </row>
    <row r="98" spans="1:14" ht="19.5" thickBot="1">
      <c r="A98" s="6"/>
      <c r="B98" s="6">
        <v>90</v>
      </c>
      <c r="C98" s="6" t="s">
        <v>6712</v>
      </c>
      <c r="D98" s="6" t="s">
        <v>89</v>
      </c>
      <c r="E98" s="6" t="s">
        <v>6708</v>
      </c>
      <c r="F98" s="7" t="s">
        <v>67</v>
      </c>
      <c r="G98" s="6"/>
      <c r="H98" s="8"/>
      <c r="I98" s="6"/>
      <c r="J98" s="6"/>
      <c r="K98" t="s">
        <v>6713</v>
      </c>
      <c r="L98" t="str">
        <f t="shared" si="2"/>
        <v>DECIMAL(18,0),</v>
      </c>
      <c r="N98" s="38" t="str">
        <f t="shared" si="3"/>
        <v>COMMENT ON COLUMN compass_sales_approval.number_of_lines_attended_opening IS 'SBTM直轄現調・開通立会い回線数';</v>
      </c>
    </row>
    <row r="99" spans="1:14" ht="19.5" thickBot="1">
      <c r="A99" s="3"/>
      <c r="B99" s="3">
        <v>91</v>
      </c>
      <c r="C99" s="3" t="s">
        <v>6714</v>
      </c>
      <c r="D99" s="3" t="s">
        <v>66</v>
      </c>
      <c r="E99" s="3">
        <v>765</v>
      </c>
      <c r="F99" s="2" t="s">
        <v>67</v>
      </c>
      <c r="G99" s="3"/>
      <c r="H99" s="5"/>
      <c r="I99" s="3"/>
      <c r="J99" s="3"/>
      <c r="K99" t="s">
        <v>6715</v>
      </c>
      <c r="L99" t="str">
        <f t="shared" si="2"/>
        <v>VARCHAR(765),</v>
      </c>
      <c r="N99" s="38" t="str">
        <f t="shared" si="3"/>
        <v>COMMENT ON COLUMN compass_sales_approval.activation_installation_fee IS '開通工事費無料';</v>
      </c>
    </row>
    <row r="100" spans="1:14" ht="19.5" thickBot="1">
      <c r="A100" s="6"/>
      <c r="B100" s="6">
        <v>92</v>
      </c>
      <c r="C100" s="6" t="s">
        <v>6716</v>
      </c>
      <c r="D100" s="6" t="s">
        <v>66</v>
      </c>
      <c r="E100" s="6">
        <v>765</v>
      </c>
      <c r="F100" s="7" t="s">
        <v>67</v>
      </c>
      <c r="G100" s="6"/>
      <c r="H100" s="8"/>
      <c r="I100" s="6"/>
      <c r="J100" s="6"/>
      <c r="K100" t="s">
        <v>6717</v>
      </c>
      <c r="L100" t="str">
        <f t="shared" si="2"/>
        <v>VARCHAR(765),</v>
      </c>
      <c r="N100" s="38" t="str">
        <f t="shared" si="3"/>
        <v>COMMENT ON COLUMN compass_sales_approval.free_installation_and_additional_service_fee IS '番ポ工事費＋付加サービス_工事費無料';</v>
      </c>
    </row>
    <row r="101" spans="1:14" ht="19.5" thickBot="1">
      <c r="A101" s="3"/>
      <c r="B101" s="3">
        <v>93</v>
      </c>
      <c r="C101" s="3" t="s">
        <v>6718</v>
      </c>
      <c r="D101" s="3" t="s">
        <v>66</v>
      </c>
      <c r="E101" s="3">
        <v>12000</v>
      </c>
      <c r="F101" s="2" t="s">
        <v>67</v>
      </c>
      <c r="G101" s="3"/>
      <c r="H101" s="5"/>
      <c r="I101" s="3"/>
      <c r="J101" s="3"/>
      <c r="K101" t="s">
        <v>6719</v>
      </c>
      <c r="L101" t="str">
        <f t="shared" si="2"/>
        <v>VARCHAR(12000),</v>
      </c>
      <c r="N101" s="38" t="str">
        <f t="shared" si="3"/>
        <v>COMMENT ON COLUMN compass_sales_approval.free_installation_fee IS '負担内容1';</v>
      </c>
    </row>
    <row r="102" spans="1:14" ht="19.5" thickBot="1">
      <c r="A102" s="6"/>
      <c r="B102" s="6">
        <v>94</v>
      </c>
      <c r="C102" s="6" t="s">
        <v>6720</v>
      </c>
      <c r="D102" s="6" t="s">
        <v>89</v>
      </c>
      <c r="E102" s="6" t="s">
        <v>6708</v>
      </c>
      <c r="F102" s="7" t="s">
        <v>67</v>
      </c>
      <c r="G102" s="6"/>
      <c r="H102" s="8"/>
      <c r="I102" s="6"/>
      <c r="J102" s="6"/>
      <c r="K102" t="s">
        <v>6721</v>
      </c>
      <c r="L102" t="str">
        <f t="shared" si="2"/>
        <v>DECIMAL(18,0),</v>
      </c>
      <c r="N102" s="38" t="str">
        <f t="shared" si="3"/>
        <v>COMMENT ON COLUMN compass_sales_approval.banner_installation_fee_additional_services IS '負担費用　月額1（円）';</v>
      </c>
    </row>
    <row r="103" spans="1:14" ht="19.5" thickBot="1">
      <c r="A103" s="3"/>
      <c r="B103" s="3">
        <v>95</v>
      </c>
      <c r="C103" s="3" t="s">
        <v>6722</v>
      </c>
      <c r="D103" s="3" t="s">
        <v>89</v>
      </c>
      <c r="E103" s="3" t="s">
        <v>6708</v>
      </c>
      <c r="F103" s="2" t="s">
        <v>67</v>
      </c>
      <c r="G103" s="3"/>
      <c r="H103" s="5"/>
      <c r="I103" s="3"/>
      <c r="J103" s="3"/>
      <c r="K103" t="s">
        <v>6723</v>
      </c>
      <c r="L103" t="str">
        <f t="shared" si="2"/>
        <v>DECIMAL(18,0),</v>
      </c>
      <c r="N103" s="38" t="str">
        <f t="shared" si="3"/>
        <v>COMMENT ON COLUMN compass_sales_approval.cost_1 IS '負担費用　一時金1（円）';</v>
      </c>
    </row>
    <row r="104" spans="1:14" ht="19.5" thickBot="1">
      <c r="A104" s="6"/>
      <c r="B104" s="6">
        <v>96</v>
      </c>
      <c r="C104" s="6" t="s">
        <v>6724</v>
      </c>
      <c r="D104" s="6" t="s">
        <v>66</v>
      </c>
      <c r="E104" s="6">
        <v>12000</v>
      </c>
      <c r="F104" s="7" t="s">
        <v>67</v>
      </c>
      <c r="G104" s="6"/>
      <c r="H104" s="8"/>
      <c r="I104" s="6"/>
      <c r="J104" s="6"/>
      <c r="K104" t="s">
        <v>6725</v>
      </c>
      <c r="L104" t="str">
        <f t="shared" si="2"/>
        <v>VARCHAR(12000),</v>
      </c>
      <c r="N104" s="38" t="str">
        <f t="shared" si="3"/>
        <v>COMMENT ON COLUMN compass_sales_approval.cost_monthly_per_yen1 IS '負担内容2';</v>
      </c>
    </row>
    <row r="105" spans="1:14" ht="19.5" thickBot="1">
      <c r="A105" s="3"/>
      <c r="B105" s="3">
        <v>97</v>
      </c>
      <c r="C105" s="3" t="s">
        <v>6726</v>
      </c>
      <c r="D105" s="3" t="s">
        <v>89</v>
      </c>
      <c r="E105" s="3" t="s">
        <v>6708</v>
      </c>
      <c r="F105" s="2" t="s">
        <v>67</v>
      </c>
      <c r="G105" s="3"/>
      <c r="H105" s="5"/>
      <c r="I105" s="3"/>
      <c r="J105" s="3"/>
      <c r="K105" t="s">
        <v>6727</v>
      </c>
      <c r="L105" t="str">
        <f t="shared" si="2"/>
        <v>DECIMAL(18,0),</v>
      </c>
      <c r="N105" s="38" t="str">
        <f t="shared" si="3"/>
        <v>COMMENT ON COLUMN compass_sales_approval.cost_lump_sum_per_yen1 IS '負担費用　月額2（円）';</v>
      </c>
    </row>
    <row r="106" spans="1:14" ht="19.5" thickBot="1">
      <c r="A106" s="6"/>
      <c r="B106" s="6">
        <v>98</v>
      </c>
      <c r="C106" s="6" t="s">
        <v>6728</v>
      </c>
      <c r="D106" s="6" t="s">
        <v>89</v>
      </c>
      <c r="E106" s="6" t="s">
        <v>6708</v>
      </c>
      <c r="F106" s="7" t="s">
        <v>67</v>
      </c>
      <c r="G106" s="6"/>
      <c r="H106" s="8"/>
      <c r="I106" s="6"/>
      <c r="J106" s="6"/>
      <c r="K106" t="s">
        <v>6729</v>
      </c>
      <c r="L106" t="str">
        <f t="shared" si="2"/>
        <v>DECIMAL(18,0),</v>
      </c>
      <c r="N106" s="38" t="str">
        <f t="shared" si="3"/>
        <v>COMMENT ON COLUMN compass_sales_approval.cost_monthly_per_yen2 IS '負担費用　一時金2（円）';</v>
      </c>
    </row>
    <row r="107" spans="1:14" ht="19.5" thickBot="1">
      <c r="A107" s="3"/>
      <c r="B107" s="3">
        <v>99</v>
      </c>
      <c r="C107" s="3" t="s">
        <v>6730</v>
      </c>
      <c r="D107" s="3" t="s">
        <v>66</v>
      </c>
      <c r="E107" s="3">
        <v>12000</v>
      </c>
      <c r="F107" s="2" t="s">
        <v>67</v>
      </c>
      <c r="G107" s="3"/>
      <c r="H107" s="5"/>
      <c r="I107" s="3"/>
      <c r="J107" s="3"/>
      <c r="K107" t="s">
        <v>6731</v>
      </c>
      <c r="L107" t="str">
        <f t="shared" si="2"/>
        <v>VARCHAR(12000),</v>
      </c>
      <c r="N107" s="38" t="str">
        <f t="shared" si="3"/>
        <v>COMMENT ON COLUMN compass_sales_approval.cost_lump_sum_per_yen2 IS '負担内容3';</v>
      </c>
    </row>
    <row r="108" spans="1:14" ht="19.5" thickBot="1">
      <c r="A108" s="6"/>
      <c r="B108" s="6">
        <v>100</v>
      </c>
      <c r="C108" s="6" t="s">
        <v>6732</v>
      </c>
      <c r="D108" s="6" t="s">
        <v>89</v>
      </c>
      <c r="E108" s="6" t="s">
        <v>6708</v>
      </c>
      <c r="F108" s="7" t="s">
        <v>67</v>
      </c>
      <c r="G108" s="6"/>
      <c r="H108" s="8"/>
      <c r="I108" s="6"/>
      <c r="J108" s="6"/>
      <c r="K108" t="s">
        <v>6733</v>
      </c>
      <c r="L108" t="str">
        <f t="shared" si="2"/>
        <v>DECIMAL(18,0),</v>
      </c>
      <c r="N108" s="38" t="str">
        <f t="shared" si="3"/>
        <v>COMMENT ON COLUMN compass_sales_approval.cost_monthly_per_yen3 IS '負担費用　月額3（円）';</v>
      </c>
    </row>
    <row r="109" spans="1:14" ht="19.5" thickBot="1">
      <c r="A109" s="3"/>
      <c r="B109" s="3">
        <v>101</v>
      </c>
      <c r="C109" s="3" t="s">
        <v>6734</v>
      </c>
      <c r="D109" s="3" t="s">
        <v>89</v>
      </c>
      <c r="E109" s="3" t="s">
        <v>6708</v>
      </c>
      <c r="F109" s="2" t="s">
        <v>67</v>
      </c>
      <c r="G109" s="3"/>
      <c r="H109" s="5"/>
      <c r="I109" s="3"/>
      <c r="J109" s="3"/>
      <c r="K109" t="s">
        <v>6735</v>
      </c>
      <c r="L109" t="str">
        <f t="shared" si="2"/>
        <v>DECIMAL(18,0),</v>
      </c>
      <c r="N109" s="38" t="str">
        <f t="shared" si="3"/>
        <v>COMMENT ON COLUMN compass_sales_approval.cost_lump_sum_per_yen3 IS '負担費用　一時金3（円）';</v>
      </c>
    </row>
    <row r="110" spans="1:14" ht="19.5" thickBot="1">
      <c r="A110" s="6"/>
      <c r="B110" s="6">
        <v>102</v>
      </c>
      <c r="C110" s="6" t="s">
        <v>5335</v>
      </c>
      <c r="D110" s="6" t="s">
        <v>66</v>
      </c>
      <c r="E110" s="6">
        <v>765</v>
      </c>
      <c r="F110" s="7" t="s">
        <v>67</v>
      </c>
      <c r="G110" s="6"/>
      <c r="H110" s="8"/>
      <c r="I110" s="6"/>
      <c r="J110" s="6"/>
      <c r="K110" t="s">
        <v>5336</v>
      </c>
      <c r="L110" t="str">
        <f t="shared" si="2"/>
        <v>VARCHAR(765),</v>
      </c>
      <c r="N110" s="38" t="str">
        <f t="shared" si="3"/>
        <v>COMMENT ON COLUMN compass_sales_approval.proposal_type IS '提案種別';</v>
      </c>
    </row>
    <row r="111" spans="1:14" ht="19.5" thickBot="1">
      <c r="A111" s="3"/>
      <c r="B111" s="3">
        <v>103</v>
      </c>
      <c r="C111" s="3" t="s">
        <v>6736</v>
      </c>
      <c r="D111" s="3" t="s">
        <v>66</v>
      </c>
      <c r="E111" s="3">
        <v>12000</v>
      </c>
      <c r="F111" s="2" t="s">
        <v>67</v>
      </c>
      <c r="G111" s="3"/>
      <c r="H111" s="5"/>
      <c r="I111" s="3"/>
      <c r="J111" s="3"/>
      <c r="K111" t="s">
        <v>6737</v>
      </c>
      <c r="L111" t="str">
        <f t="shared" si="2"/>
        <v>VARCHAR(12000),</v>
      </c>
      <c r="N111" s="38" t="str">
        <f t="shared" si="3"/>
        <v>COMMENT ON COLUMN compass_sales_approval.project_summary_1_summary IS '案件概要①（要旨記述）';</v>
      </c>
    </row>
    <row r="112" spans="1:14" ht="19.5" thickBot="1">
      <c r="A112" s="6"/>
      <c r="B112" s="6">
        <v>104</v>
      </c>
      <c r="C112" s="6" t="s">
        <v>6738</v>
      </c>
      <c r="D112" s="6" t="s">
        <v>66</v>
      </c>
      <c r="E112" s="6">
        <v>12000</v>
      </c>
      <c r="F112" s="7" t="s">
        <v>67</v>
      </c>
      <c r="G112" s="6"/>
      <c r="H112" s="8"/>
      <c r="I112" s="6"/>
      <c r="J112" s="6"/>
      <c r="K112" t="s">
        <v>6739</v>
      </c>
      <c r="L112" t="str">
        <f t="shared" si="2"/>
        <v>VARCHAR(12000),</v>
      </c>
      <c r="N112" s="38" t="str">
        <f t="shared" si="3"/>
        <v>COMMENT ON COLUMN compass_sales_approval.project_summary_2_summary IS '案件概要②（要旨記述・その他）';</v>
      </c>
    </row>
    <row r="113" spans="1:14" ht="19.5" thickBot="1">
      <c r="A113" s="3"/>
      <c r="B113" s="3">
        <v>105</v>
      </c>
      <c r="C113" s="3" t="s">
        <v>6740</v>
      </c>
      <c r="D113" s="3" t="s">
        <v>89</v>
      </c>
      <c r="E113" s="3" t="s">
        <v>6708</v>
      </c>
      <c r="F113" s="2" t="s">
        <v>67</v>
      </c>
      <c r="G113" s="3"/>
      <c r="H113" s="5"/>
      <c r="I113" s="3"/>
      <c r="J113" s="3"/>
      <c r="K113" t="s">
        <v>6741</v>
      </c>
      <c r="L113" t="str">
        <f t="shared" si="2"/>
        <v>DECIMAL(18,0),</v>
      </c>
      <c r="N113" s="38" t="str">
        <f t="shared" si="3"/>
        <v>COMMENT ON COLUMN compass_sales_approval.other IS '見込回線数（上限）';</v>
      </c>
    </row>
    <row r="114" spans="1:14" ht="19.5" thickBot="1">
      <c r="A114" s="6"/>
      <c r="B114" s="6">
        <v>106</v>
      </c>
      <c r="C114" s="6" t="s">
        <v>5360</v>
      </c>
      <c r="D114" s="6" t="s">
        <v>66</v>
      </c>
      <c r="E114" s="6">
        <v>765</v>
      </c>
      <c r="F114" s="7" t="s">
        <v>67</v>
      </c>
      <c r="G114" s="6"/>
      <c r="H114" s="8"/>
      <c r="I114" s="6"/>
      <c r="J114" s="6"/>
      <c r="K114" t="s">
        <v>6742</v>
      </c>
      <c r="L114" t="str">
        <f t="shared" si="2"/>
        <v>VARCHAR(765),</v>
      </c>
      <c r="N114" s="38" t="str">
        <f t="shared" si="3"/>
        <v>COMMENT ON COLUMN compass_sales_approval.expected_number_of_lines_maximum IS '適用プラン';</v>
      </c>
    </row>
    <row r="115" spans="1:14" ht="19.5" thickBot="1">
      <c r="A115" s="3"/>
      <c r="B115" s="3">
        <v>107</v>
      </c>
      <c r="C115" s="3" t="s">
        <v>6743</v>
      </c>
      <c r="D115" s="3" t="s">
        <v>89</v>
      </c>
      <c r="E115" s="3" t="s">
        <v>6708</v>
      </c>
      <c r="F115" s="2" t="s">
        <v>67</v>
      </c>
      <c r="G115" s="3"/>
      <c r="H115" s="5"/>
      <c r="I115" s="3"/>
      <c r="J115" s="3"/>
      <c r="K115" t="s">
        <v>6744</v>
      </c>
      <c r="L115" t="str">
        <f t="shared" si="2"/>
        <v>DECIMAL(18,0),</v>
      </c>
      <c r="N115" s="38" t="str">
        <f t="shared" si="3"/>
        <v>COMMENT ON COLUMN compass_sales_approval.applicable_platform_discount_rate_percent IS '割引率（％）';</v>
      </c>
    </row>
    <row r="116" spans="1:14" ht="19.5" thickBot="1">
      <c r="A116" s="6"/>
      <c r="B116" s="6">
        <v>108</v>
      </c>
      <c r="C116" s="6" t="s">
        <v>2775</v>
      </c>
      <c r="D116" s="6" t="s">
        <v>66</v>
      </c>
      <c r="E116" s="6">
        <v>765</v>
      </c>
      <c r="F116" s="7" t="s">
        <v>67</v>
      </c>
      <c r="G116" s="6"/>
      <c r="H116" s="8"/>
      <c r="I116" s="6"/>
      <c r="J116" s="6"/>
      <c r="K116" t="s">
        <v>2776</v>
      </c>
      <c r="L116" t="str">
        <f t="shared" si="2"/>
        <v>VARCHAR(765),</v>
      </c>
      <c r="N116" s="38" t="str">
        <f t="shared" si="3"/>
        <v>COMMENT ON COLUMN compass_sales_approval.channel IS 'チャネル';</v>
      </c>
    </row>
    <row r="117" spans="1:14" ht="19.5" thickBot="1">
      <c r="A117" s="3"/>
      <c r="B117" s="3">
        <v>109</v>
      </c>
      <c r="C117" s="3" t="s">
        <v>5439</v>
      </c>
      <c r="D117" s="3" t="s">
        <v>66</v>
      </c>
      <c r="E117" s="3">
        <v>765</v>
      </c>
      <c r="F117" s="2" t="s">
        <v>67</v>
      </c>
      <c r="G117" s="3"/>
      <c r="H117" s="5"/>
      <c r="I117" s="3"/>
      <c r="J117" s="3"/>
      <c r="K117" t="s">
        <v>6745</v>
      </c>
      <c r="L117" t="str">
        <f t="shared" si="2"/>
        <v>VARCHAR(765),</v>
      </c>
      <c r="N117" s="38" t="str">
        <f t="shared" si="3"/>
        <v>COMMENT ON COLUMN compass_sales_approval.exemption_deduction IS '減免有無';</v>
      </c>
    </row>
    <row r="118" spans="1:14" ht="19.5" thickBot="1">
      <c r="A118" s="6"/>
      <c r="B118" s="6">
        <v>110</v>
      </c>
      <c r="C118" s="6" t="s">
        <v>6746</v>
      </c>
      <c r="D118" s="6" t="s">
        <v>89</v>
      </c>
      <c r="E118" s="6" t="s">
        <v>6708</v>
      </c>
      <c r="F118" s="7" t="s">
        <v>67</v>
      </c>
      <c r="G118" s="6"/>
      <c r="H118" s="8"/>
      <c r="I118" s="6"/>
      <c r="J118" s="6"/>
      <c r="K118" t="s">
        <v>6747</v>
      </c>
      <c r="L118" t="str">
        <f t="shared" si="2"/>
        <v>DECIMAL(18,0),</v>
      </c>
      <c r="N118" s="38" t="str">
        <f t="shared" si="3"/>
        <v>COMMENT ON COLUMN compass_sales_approval.exemption_amount_yen IS '減免額（円）';</v>
      </c>
    </row>
    <row r="119" spans="1:14" ht="19.5" thickBot="1">
      <c r="A119" s="3"/>
      <c r="B119" s="3">
        <v>111</v>
      </c>
      <c r="C119" s="3" t="s">
        <v>6748</v>
      </c>
      <c r="D119" s="3" t="s">
        <v>89</v>
      </c>
      <c r="E119" s="3" t="s">
        <v>6708</v>
      </c>
      <c r="F119" s="2" t="s">
        <v>67</v>
      </c>
      <c r="G119" s="3"/>
      <c r="H119" s="5"/>
      <c r="I119" s="3"/>
      <c r="J119" s="3"/>
      <c r="K119" t="s">
        <v>6749</v>
      </c>
      <c r="L119" t="str">
        <f t="shared" si="2"/>
        <v>DECIMAL(18,0),</v>
      </c>
      <c r="N119" s="38" t="str">
        <f t="shared" si="3"/>
        <v>COMMENT ON COLUMN compass_sales_approval.sales_yen IS '売上（円）';</v>
      </c>
    </row>
    <row r="120" spans="1:14" ht="19.5" thickBot="1">
      <c r="A120" s="6"/>
      <c r="B120" s="6">
        <v>112</v>
      </c>
      <c r="C120" s="6" t="s">
        <v>6750</v>
      </c>
      <c r="D120" s="6" t="s">
        <v>89</v>
      </c>
      <c r="E120" s="6" t="s">
        <v>6708</v>
      </c>
      <c r="F120" s="7" t="s">
        <v>67</v>
      </c>
      <c r="G120" s="6"/>
      <c r="H120" s="8"/>
      <c r="I120" s="6"/>
      <c r="J120" s="6"/>
      <c r="K120" t="s">
        <v>6751</v>
      </c>
      <c r="L120" t="str">
        <f t="shared" si="2"/>
        <v>DECIMAL(18,0),</v>
      </c>
      <c r="N120" s="38" t="str">
        <f t="shared" si="3"/>
        <v>COMMENT ON COLUMN compass_sales_approval.variable_operating_profit_yen IS '営業変動利益（円）';</v>
      </c>
    </row>
    <row r="121" spans="1:14" ht="19.5" thickBot="1">
      <c r="A121" s="3"/>
      <c r="B121" s="3">
        <v>113</v>
      </c>
      <c r="C121" s="3" t="s">
        <v>6752</v>
      </c>
      <c r="D121" s="3" t="s">
        <v>89</v>
      </c>
      <c r="E121" s="3" t="s">
        <v>6708</v>
      </c>
      <c r="F121" s="2" t="s">
        <v>67</v>
      </c>
      <c r="G121" s="3"/>
      <c r="H121" s="5"/>
      <c r="I121" s="3"/>
      <c r="J121" s="3"/>
      <c r="K121" t="s">
        <v>6753</v>
      </c>
      <c r="L121" t="str">
        <f t="shared" si="2"/>
        <v>DECIMAL(18,0),</v>
      </c>
      <c r="N121" s="38" t="str">
        <f t="shared" si="3"/>
        <v>COMMENT ON COLUMN compass_sales_approval.variable_operating_profit_margin_percent IS '営業変動利益率（％）';</v>
      </c>
    </row>
    <row r="122" spans="1:14" ht="19.5" thickBot="1">
      <c r="A122" s="6"/>
      <c r="B122" s="6">
        <v>114</v>
      </c>
      <c r="C122" s="6" t="s">
        <v>6754</v>
      </c>
      <c r="D122" s="6" t="s">
        <v>89</v>
      </c>
      <c r="E122" s="6" t="s">
        <v>6708</v>
      </c>
      <c r="F122" s="7" t="s">
        <v>67</v>
      </c>
      <c r="G122" s="6"/>
      <c r="H122" s="8"/>
      <c r="I122" s="6"/>
      <c r="J122" s="6"/>
      <c r="K122" t="s">
        <v>6755</v>
      </c>
      <c r="L122" t="str">
        <f t="shared" si="2"/>
        <v>DECIMAL(18,0),</v>
      </c>
      <c r="N122" s="38" t="str">
        <f t="shared" si="3"/>
        <v>COMMENT ON COLUMN compass_sales_approval.operating_contribution_margin_yen IS '営業貢献利益（円）';</v>
      </c>
    </row>
    <row r="123" spans="1:14" ht="19.5" thickBot="1">
      <c r="A123" s="3"/>
      <c r="B123" s="3">
        <v>115</v>
      </c>
      <c r="C123" s="3" t="s">
        <v>6756</v>
      </c>
      <c r="D123" s="3" t="s">
        <v>89</v>
      </c>
      <c r="E123" s="3" t="s">
        <v>6708</v>
      </c>
      <c r="F123" s="2" t="s">
        <v>67</v>
      </c>
      <c r="G123" s="3"/>
      <c r="H123" s="5"/>
      <c r="I123" s="3"/>
      <c r="J123" s="3"/>
      <c r="K123" t="s">
        <v>6757</v>
      </c>
      <c r="L123" t="str">
        <f t="shared" si="2"/>
        <v>DECIMAL(18,0),</v>
      </c>
      <c r="N123" s="38" t="str">
        <f t="shared" si="3"/>
        <v>COMMENT ON COLUMN compass_sales_approval.operating_contribution_margin_margin_percent IS '営業貢献利益率（％）';</v>
      </c>
    </row>
    <row r="124" spans="1:14" ht="19.5" thickBot="1">
      <c r="A124" s="6"/>
      <c r="B124" s="6">
        <v>116</v>
      </c>
      <c r="C124" s="6" t="s">
        <v>6758</v>
      </c>
      <c r="D124" s="6" t="s">
        <v>89</v>
      </c>
      <c r="E124" s="6" t="s">
        <v>6708</v>
      </c>
      <c r="F124" s="7" t="s">
        <v>67</v>
      </c>
      <c r="G124" s="6"/>
      <c r="H124" s="8"/>
      <c r="I124" s="6"/>
      <c r="J124" s="6"/>
      <c r="K124" t="s">
        <v>6759</v>
      </c>
      <c r="L124" t="str">
        <f t="shared" si="2"/>
        <v>DECIMAL(18,0),</v>
      </c>
      <c r="N124" s="38" t="str">
        <f t="shared" si="3"/>
        <v>COMMENT ON COLUMN compass_sales_approval.operating_profit_yen IS '営業利益（円）';</v>
      </c>
    </row>
    <row r="125" spans="1:14" ht="19.5" thickBot="1">
      <c r="A125" s="3"/>
      <c r="B125" s="3">
        <v>117</v>
      </c>
      <c r="C125" s="3" t="s">
        <v>6760</v>
      </c>
      <c r="D125" s="3" t="s">
        <v>89</v>
      </c>
      <c r="E125" s="3" t="s">
        <v>6708</v>
      </c>
      <c r="F125" s="2" t="s">
        <v>67</v>
      </c>
      <c r="G125" s="3"/>
      <c r="H125" s="5"/>
      <c r="I125" s="3"/>
      <c r="J125" s="3"/>
      <c r="K125" t="s">
        <v>6761</v>
      </c>
      <c r="L125" t="str">
        <f t="shared" si="2"/>
        <v>DECIMAL(18,0),</v>
      </c>
      <c r="N125" s="38" t="str">
        <f t="shared" si="3"/>
        <v>COMMENT ON COLUMN compass_sales_approval.operating_profit_margin_percent IS '営業利益率（％）';</v>
      </c>
    </row>
    <row r="126" spans="1:14" ht="19.5" thickBot="1">
      <c r="A126" s="6"/>
      <c r="B126" s="6">
        <v>118</v>
      </c>
      <c r="C126" s="6" t="s">
        <v>6762</v>
      </c>
      <c r="D126" s="6" t="s">
        <v>89</v>
      </c>
      <c r="E126" s="6" t="s">
        <v>6708</v>
      </c>
      <c r="F126" s="7" t="s">
        <v>67</v>
      </c>
      <c r="G126" s="6"/>
      <c r="H126" s="8"/>
      <c r="I126" s="6"/>
      <c r="J126" s="6"/>
      <c r="K126" t="s">
        <v>6763</v>
      </c>
      <c r="L126" t="str">
        <f t="shared" si="2"/>
        <v>DECIMAL(18,0),</v>
      </c>
      <c r="N126" s="38" t="str">
        <f t="shared" si="3"/>
        <v>COMMENT ON COLUMN compass_sales_approval.voice_sales_contribution_margin_yen IS '音声営業貢献利益（円）';</v>
      </c>
    </row>
    <row r="127" spans="1:14" ht="19.5" thickBot="1">
      <c r="A127" s="3"/>
      <c r="B127" s="3">
        <v>119</v>
      </c>
      <c r="C127" s="3" t="s">
        <v>6764</v>
      </c>
      <c r="D127" s="3" t="s">
        <v>89</v>
      </c>
      <c r="E127" s="3" t="s">
        <v>6708</v>
      </c>
      <c r="F127" s="2" t="s">
        <v>67</v>
      </c>
      <c r="G127" s="3"/>
      <c r="H127" s="5"/>
      <c r="I127" s="3"/>
      <c r="J127" s="3"/>
      <c r="K127" t="s">
        <v>6765</v>
      </c>
      <c r="L127" t="str">
        <f t="shared" si="2"/>
        <v>DECIMAL(18,0),</v>
      </c>
      <c r="N127" s="38" t="str">
        <f t="shared" si="3"/>
        <v>COMMENT ON COLUMN compass_sales_approval.voice_sales_contribution_margin_margin_percent IS '音声営業貢献利益率（％）';</v>
      </c>
    </row>
    <row r="128" spans="1:14" ht="19.5" thickBot="1">
      <c r="A128" s="6"/>
      <c r="B128" s="6">
        <v>120</v>
      </c>
      <c r="C128" s="6" t="s">
        <v>6766</v>
      </c>
      <c r="D128" s="6" t="s">
        <v>89</v>
      </c>
      <c r="E128" s="6" t="s">
        <v>6708</v>
      </c>
      <c r="F128" s="7" t="s">
        <v>67</v>
      </c>
      <c r="G128" s="6"/>
      <c r="H128" s="8"/>
      <c r="I128" s="6"/>
      <c r="J128" s="6"/>
      <c r="K128" t="s">
        <v>6767</v>
      </c>
      <c r="L128" t="str">
        <f t="shared" si="2"/>
        <v>DECIMAL(18,0),</v>
      </c>
      <c r="N128" s="38" t="str">
        <f t="shared" si="3"/>
        <v>COMMENT ON COLUMN compass_sales_approval.id_data_approval_base_profit_yen IS 'ID(データ)決裁基準利益（円）';</v>
      </c>
    </row>
    <row r="129" spans="1:14" ht="19.5" thickBot="1">
      <c r="A129" s="3"/>
      <c r="B129" s="3">
        <v>121</v>
      </c>
      <c r="C129" s="3" t="s">
        <v>6768</v>
      </c>
      <c r="D129" s="3" t="s">
        <v>89</v>
      </c>
      <c r="E129" s="3" t="s">
        <v>6708</v>
      </c>
      <c r="F129" s="2" t="s">
        <v>67</v>
      </c>
      <c r="G129" s="3"/>
      <c r="H129" s="5"/>
      <c r="I129" s="3"/>
      <c r="J129" s="3"/>
      <c r="K129" t="s">
        <v>6769</v>
      </c>
      <c r="L129" t="str">
        <f t="shared" si="2"/>
        <v>DECIMAL(18,0),</v>
      </c>
      <c r="N129" s="38" t="str">
        <f t="shared" si="3"/>
        <v>COMMENT ON COLUMN compass_sales_approval.id_data_approval_base_profit_margin_percent IS 'ID(データ)決裁基準利益率（％）';</v>
      </c>
    </row>
    <row r="130" spans="1:14" ht="19.5" thickBot="1">
      <c r="A130" s="6"/>
      <c r="B130" s="6">
        <v>122</v>
      </c>
      <c r="C130" s="6" t="s">
        <v>6770</v>
      </c>
      <c r="D130" s="6" t="s">
        <v>89</v>
      </c>
      <c r="E130" s="6" t="s">
        <v>6708</v>
      </c>
      <c r="F130" s="7" t="s">
        <v>67</v>
      </c>
      <c r="G130" s="6"/>
      <c r="H130" s="8"/>
      <c r="I130" s="6"/>
      <c r="J130" s="6"/>
      <c r="K130" t="s">
        <v>6771</v>
      </c>
      <c r="L130" t="str">
        <f t="shared" si="2"/>
        <v>DECIMAL(18,0),</v>
      </c>
      <c r="N130" s="38" t="str">
        <f t="shared" si="3"/>
        <v>COMMENT ON COLUMN compass_sales_approval.is_ni_product_sales_approval_base_profit_yen IS 'IS(NI・物販)決裁基準利益（円）';</v>
      </c>
    </row>
    <row r="131" spans="1:14" ht="19.5" thickBot="1">
      <c r="A131" s="3"/>
      <c r="B131" s="3">
        <v>123</v>
      </c>
      <c r="C131" s="3" t="s">
        <v>6772</v>
      </c>
      <c r="D131" s="3" t="s">
        <v>89</v>
      </c>
      <c r="E131" s="3" t="s">
        <v>6708</v>
      </c>
      <c r="F131" s="2" t="s">
        <v>67</v>
      </c>
      <c r="G131" s="3"/>
      <c r="H131" s="5"/>
      <c r="I131" s="3"/>
      <c r="J131" s="3"/>
      <c r="K131" t="s">
        <v>6773</v>
      </c>
      <c r="L131" t="str">
        <f t="shared" si="2"/>
        <v>DECIMAL(18,0),</v>
      </c>
      <c r="N131" s="38" t="str">
        <f t="shared" si="3"/>
        <v>COMMENT ON COLUMN compass_sales_approval.is_ni_product_sales_approval_base_profit_margin_percent IS 'IS(NI・物販)決裁基準利益率（％）';</v>
      </c>
    </row>
    <row r="132" spans="1:14" ht="19.5" thickBot="1">
      <c r="A132" s="6"/>
      <c r="B132" s="6">
        <v>124</v>
      </c>
      <c r="C132" s="6" t="s">
        <v>6774</v>
      </c>
      <c r="D132" s="6" t="s">
        <v>89</v>
      </c>
      <c r="E132" s="6" t="s">
        <v>6708</v>
      </c>
      <c r="F132" s="7" t="s">
        <v>67</v>
      </c>
      <c r="G132" s="6"/>
      <c r="H132" s="8"/>
      <c r="I132" s="6"/>
      <c r="J132" s="6"/>
      <c r="K132" t="s">
        <v>6775</v>
      </c>
      <c r="L132" t="str">
        <f t="shared" si="2"/>
        <v>DECIMAL(18,0),</v>
      </c>
      <c r="N132" s="38" t="str">
        <f t="shared" si="3"/>
        <v>COMMENT ON COLUMN compass_sales_approval.mobile_sales_contribution_margin_yen IS 'モバイル営業貢献利益（円）';</v>
      </c>
    </row>
    <row r="133" spans="1:14" ht="19.5" thickBot="1">
      <c r="A133" s="3"/>
      <c r="B133" s="3">
        <v>125</v>
      </c>
      <c r="C133" s="3" t="s">
        <v>6776</v>
      </c>
      <c r="D133" s="3" t="s">
        <v>89</v>
      </c>
      <c r="E133" s="3" t="s">
        <v>6708</v>
      </c>
      <c r="F133" s="2" t="s">
        <v>67</v>
      </c>
      <c r="G133" s="3"/>
      <c r="H133" s="5"/>
      <c r="I133" s="3"/>
      <c r="J133" s="3"/>
      <c r="K133" t="s">
        <v>6777</v>
      </c>
      <c r="L133" t="str">
        <f t="shared" si="2"/>
        <v>DECIMAL(18,0),</v>
      </c>
      <c r="N133" s="38" t="str">
        <f t="shared" si="3"/>
        <v>COMMENT ON COLUMN compass_sales_approval.mobile_sales_contribution_margin_margin_percent IS 'モバイル営業貢献利益率（％）';</v>
      </c>
    </row>
    <row r="134" spans="1:14" ht="19.5" thickBot="1">
      <c r="A134" s="6"/>
      <c r="B134" s="6">
        <v>126</v>
      </c>
      <c r="C134" s="6" t="s">
        <v>6778</v>
      </c>
      <c r="D134" s="6" t="s">
        <v>66</v>
      </c>
      <c r="E134" s="6">
        <v>1</v>
      </c>
      <c r="F134" s="7" t="s">
        <v>67</v>
      </c>
      <c r="G134" s="6"/>
      <c r="H134" s="8"/>
      <c r="I134" s="6"/>
      <c r="J134" s="6"/>
      <c r="K134" t="s">
        <v>6779</v>
      </c>
      <c r="L134" t="str">
        <f t="shared" si="2"/>
        <v>VARCHAR(1),</v>
      </c>
      <c r="N134" s="38" t="str">
        <f t="shared" si="3"/>
        <v>COMMENT ON COLUMN compass_sales_approval.agency_information_manual_input_flag IS '代理店情報手入力フラグ';</v>
      </c>
    </row>
    <row r="135" spans="1:14" ht="19.5" thickBot="1">
      <c r="A135" s="3"/>
      <c r="B135" s="3">
        <v>127</v>
      </c>
      <c r="C135" s="3" t="s">
        <v>6780</v>
      </c>
      <c r="D135" s="3" t="s">
        <v>66</v>
      </c>
      <c r="E135" s="3">
        <v>765</v>
      </c>
      <c r="F135" s="2" t="s">
        <v>67</v>
      </c>
      <c r="G135" s="3"/>
      <c r="H135" s="5"/>
      <c r="I135" s="3"/>
      <c r="J135" s="3"/>
      <c r="K135" t="s">
        <v>6781</v>
      </c>
      <c r="L135" t="str">
        <f t="shared" si="2"/>
        <v>VARCHAR(765),</v>
      </c>
      <c r="N135" s="38" t="str">
        <f t="shared" si="3"/>
        <v>COMMENT ON COLUMN compass_sales_approval.agency_name_reference IS '代理店名（参照）';</v>
      </c>
    </row>
    <row r="136" spans="1:14" ht="19.5" thickBot="1">
      <c r="A136" s="6"/>
      <c r="B136" s="6">
        <v>128</v>
      </c>
      <c r="C136" s="6" t="s">
        <v>6782</v>
      </c>
      <c r="D136" s="6" t="s">
        <v>66</v>
      </c>
      <c r="E136" s="6">
        <v>765</v>
      </c>
      <c r="F136" s="7" t="s">
        <v>67</v>
      </c>
      <c r="G136" s="6"/>
      <c r="H136" s="8"/>
      <c r="I136" s="6"/>
      <c r="J136" s="6"/>
      <c r="K136" t="s">
        <v>6783</v>
      </c>
      <c r="L136" t="str">
        <f t="shared" si="2"/>
        <v>VARCHAR(765),</v>
      </c>
      <c r="N136" s="38" t="str">
        <f t="shared" si="3"/>
        <v>COMMENT ON COLUMN compass_sales_approval.agency_name_estimate IS '代理店名（試算）';</v>
      </c>
    </row>
    <row r="137" spans="1:14" ht="19.5" thickBot="1">
      <c r="A137" s="3"/>
      <c r="B137" s="3">
        <v>129</v>
      </c>
      <c r="C137" s="3" t="s">
        <v>2308</v>
      </c>
      <c r="D137" s="3" t="s">
        <v>66</v>
      </c>
      <c r="E137" s="3">
        <v>54</v>
      </c>
      <c r="F137" s="2" t="s">
        <v>67</v>
      </c>
      <c r="G137" s="3"/>
      <c r="H137" s="5"/>
      <c r="I137" s="3"/>
      <c r="J137" s="3"/>
      <c r="K137" t="s">
        <v>2187</v>
      </c>
      <c r="L137" t="str">
        <f t="shared" ref="L137:L200" si="4">D137&amp;"("&amp;E137&amp;"),"</f>
        <v>VARCHAR(54),</v>
      </c>
      <c r="N137" s="38" t="str">
        <f t="shared" si="3"/>
        <v>COMMENT ON COLUMN compass_sales_approval.agency_code IS '代理店コード';</v>
      </c>
    </row>
    <row r="138" spans="1:14" ht="19.5" thickBot="1">
      <c r="A138" s="6"/>
      <c r="B138" s="6">
        <v>130</v>
      </c>
      <c r="C138" s="6" t="s">
        <v>6784</v>
      </c>
      <c r="D138" s="6" t="s">
        <v>89</v>
      </c>
      <c r="E138" s="6" t="s">
        <v>6708</v>
      </c>
      <c r="F138" s="7" t="s">
        <v>67</v>
      </c>
      <c r="G138" s="6"/>
      <c r="H138" s="8"/>
      <c r="I138" s="6"/>
      <c r="J138" s="6"/>
      <c r="K138" t="s">
        <v>6785</v>
      </c>
      <c r="L138" t="str">
        <f t="shared" si="4"/>
        <v>DECIMAL(18,0),</v>
      </c>
      <c r="N138" s="38" t="str">
        <f t="shared" ref="N138:N201" si="5">"COMMENT ON COLUMN "&amp;$K$3&amp;"."&amp;$K138&amp;" IS '"&amp;C138&amp;"';"</f>
        <v>COMMENT ON COLUMN compass_sales_approval.commission_rate_percent_incent IS '手数料率（％）';</v>
      </c>
    </row>
    <row r="139" spans="1:14" ht="19.5" thickBot="1">
      <c r="A139" s="3"/>
      <c r="B139" s="3">
        <v>131</v>
      </c>
      <c r="C139" s="3" t="s">
        <v>6786</v>
      </c>
      <c r="D139" s="3" t="s">
        <v>89</v>
      </c>
      <c r="E139" s="3" t="s">
        <v>6708</v>
      </c>
      <c r="F139" s="2" t="s">
        <v>67</v>
      </c>
      <c r="G139" s="3"/>
      <c r="H139" s="5"/>
      <c r="I139" s="3"/>
      <c r="J139" s="3"/>
      <c r="K139" t="s">
        <v>6787</v>
      </c>
      <c r="L139" t="str">
        <f t="shared" si="4"/>
        <v>DECIMAL(18,0),</v>
      </c>
      <c r="N139" s="38" t="str">
        <f t="shared" si="5"/>
        <v>COMMENT ON COLUMN compass_sales_approval.incentive_amount_yen IS 'インセンティブ額（円）';</v>
      </c>
    </row>
    <row r="140" spans="1:14" ht="19.5" thickBot="1">
      <c r="A140" s="6"/>
      <c r="B140" s="6">
        <v>132</v>
      </c>
      <c r="C140" s="6" t="s">
        <v>5460</v>
      </c>
      <c r="D140" s="6" t="s">
        <v>66</v>
      </c>
      <c r="E140" s="6">
        <v>12000</v>
      </c>
      <c r="F140" s="7" t="s">
        <v>67</v>
      </c>
      <c r="G140" s="6"/>
      <c r="H140" s="8"/>
      <c r="I140" s="6"/>
      <c r="J140" s="6"/>
      <c r="K140" t="s">
        <v>5461</v>
      </c>
      <c r="L140" t="str">
        <f t="shared" si="4"/>
        <v>VARCHAR(12000),</v>
      </c>
      <c r="N140" s="38" t="str">
        <f t="shared" si="5"/>
        <v>COMMENT ON COLUMN compass_sales_approval.reason_for_collaboration IS '協業理由';</v>
      </c>
    </row>
    <row r="141" spans="1:14" ht="19.5" thickBot="1">
      <c r="A141" s="3"/>
      <c r="B141" s="3">
        <v>133</v>
      </c>
      <c r="C141" s="3" t="s">
        <v>6788</v>
      </c>
      <c r="D141" s="3" t="s">
        <v>66</v>
      </c>
      <c r="E141" s="3">
        <v>765</v>
      </c>
      <c r="F141" s="2" t="s">
        <v>67</v>
      </c>
      <c r="G141" s="3"/>
      <c r="H141" s="5"/>
      <c r="I141" s="3"/>
      <c r="J141" s="3"/>
      <c r="K141" t="s">
        <v>6789</v>
      </c>
      <c r="L141" t="str">
        <f t="shared" si="4"/>
        <v>VARCHAR(765),</v>
      </c>
      <c r="N141" s="38" t="str">
        <f t="shared" si="5"/>
        <v>COMMENT ON COLUMN compass_sales_approval.automatic_renewal IS '自動更新有無';</v>
      </c>
    </row>
    <row r="142" spans="1:14" ht="19.5" thickBot="1">
      <c r="A142" s="6"/>
      <c r="B142" s="6">
        <v>134</v>
      </c>
      <c r="C142" s="6" t="s">
        <v>6790</v>
      </c>
      <c r="D142" s="6" t="s">
        <v>89</v>
      </c>
      <c r="E142" s="6" t="s">
        <v>6708</v>
      </c>
      <c r="F142" s="7" t="s">
        <v>67</v>
      </c>
      <c r="G142" s="6"/>
      <c r="H142" s="8"/>
      <c r="I142" s="6"/>
      <c r="J142" s="6"/>
      <c r="K142" t="s">
        <v>6791</v>
      </c>
      <c r="L142" t="str">
        <f t="shared" si="4"/>
        <v>DECIMAL(18,0),</v>
      </c>
      <c r="N142" s="38" t="str">
        <f t="shared" si="5"/>
        <v>COMMENT ON COLUMN compass_sales_approval.sbm_line_count_upper IS 'SBM回線数（上限）';</v>
      </c>
    </row>
    <row r="143" spans="1:14" ht="19.5" thickBot="1">
      <c r="A143" s="3"/>
      <c r="B143" s="3">
        <v>135</v>
      </c>
      <c r="C143" s="3" t="s">
        <v>6792</v>
      </c>
      <c r="D143" s="3" t="s">
        <v>89</v>
      </c>
      <c r="E143" s="3" t="s">
        <v>6708</v>
      </c>
      <c r="F143" s="2" t="s">
        <v>67</v>
      </c>
      <c r="G143" s="3"/>
      <c r="H143" s="5"/>
      <c r="I143" s="3"/>
      <c r="J143" s="3"/>
      <c r="K143" t="s">
        <v>6793</v>
      </c>
      <c r="L143" t="str">
        <f t="shared" si="4"/>
        <v>DECIMAL(18,0),</v>
      </c>
      <c r="N143" s="38" t="str">
        <f t="shared" si="5"/>
        <v>COMMENT ON COLUMN compass_sales_approval.sbm_line_count_lower IS 'SBM回線数（下限）';</v>
      </c>
    </row>
    <row r="144" spans="1:14" ht="19.5" thickBot="1">
      <c r="A144" s="6"/>
      <c r="B144" s="6">
        <v>136</v>
      </c>
      <c r="C144" s="6" t="s">
        <v>6794</v>
      </c>
      <c r="D144" s="6" t="s">
        <v>89</v>
      </c>
      <c r="E144" s="6" t="s">
        <v>6708</v>
      </c>
      <c r="F144" s="7" t="s">
        <v>67</v>
      </c>
      <c r="G144" s="6"/>
      <c r="H144" s="8"/>
      <c r="I144" s="6"/>
      <c r="J144" s="6"/>
      <c r="K144" t="s">
        <v>6795</v>
      </c>
      <c r="L144" t="str">
        <f t="shared" si="4"/>
        <v>DECIMAL(18,0),</v>
      </c>
      <c r="N144" s="38" t="str">
        <f t="shared" si="5"/>
        <v>COMMENT ON COLUMN compass_sales_approval.mobile_ym_line_count_upper IS 'ﾓﾊﾞｲﾙ(YM)回線数(上限)';</v>
      </c>
    </row>
    <row r="145" spans="1:14" ht="19.5" thickBot="1">
      <c r="A145" s="3"/>
      <c r="B145" s="3">
        <v>137</v>
      </c>
      <c r="C145" s="3" t="s">
        <v>6796</v>
      </c>
      <c r="D145" s="3" t="s">
        <v>89</v>
      </c>
      <c r="E145" s="3" t="s">
        <v>6708</v>
      </c>
      <c r="F145" s="2" t="s">
        <v>67</v>
      </c>
      <c r="G145" s="3"/>
      <c r="H145" s="5"/>
      <c r="I145" s="3"/>
      <c r="J145" s="3"/>
      <c r="K145" t="s">
        <v>6797</v>
      </c>
      <c r="L145" t="str">
        <f t="shared" si="4"/>
        <v>DECIMAL(18,0),</v>
      </c>
      <c r="N145" s="38" t="str">
        <f t="shared" si="5"/>
        <v>COMMENT ON COLUMN compass_sales_approval.mobile_ym_line_count_lower IS 'ﾓﾊﾞｲﾙ(YM)回線数(下限）';</v>
      </c>
    </row>
    <row r="146" spans="1:14" ht="19.5" thickBot="1">
      <c r="A146" s="6"/>
      <c r="B146" s="6">
        <v>138</v>
      </c>
      <c r="C146" s="6" t="s">
        <v>6798</v>
      </c>
      <c r="D146" s="6" t="s">
        <v>89</v>
      </c>
      <c r="E146" s="6" t="s">
        <v>6708</v>
      </c>
      <c r="F146" s="7" t="s">
        <v>67</v>
      </c>
      <c r="G146" s="6"/>
      <c r="H146" s="8"/>
      <c r="I146" s="6"/>
      <c r="J146" s="6"/>
      <c r="K146" t="s">
        <v>6799</v>
      </c>
      <c r="L146" t="str">
        <f t="shared" si="4"/>
        <v>DECIMAL(18,0),</v>
      </c>
      <c r="N146" s="38" t="str">
        <f t="shared" si="5"/>
        <v>COMMENT ON COLUMN compass_sales_approval.total_external_expenses_purchases_yen IS '外部支出総額・仕入額（円）';</v>
      </c>
    </row>
    <row r="147" spans="1:14" ht="19.5" thickBot="1">
      <c r="A147" s="3"/>
      <c r="B147" s="3">
        <v>139</v>
      </c>
      <c r="C147" s="3" t="s">
        <v>6800</v>
      </c>
      <c r="D147" s="3" t="s">
        <v>89</v>
      </c>
      <c r="E147" s="3" t="s">
        <v>6708</v>
      </c>
      <c r="F147" s="2" t="s">
        <v>67</v>
      </c>
      <c r="G147" s="3"/>
      <c r="H147" s="5"/>
      <c r="I147" s="3"/>
      <c r="J147" s="3"/>
      <c r="K147" t="s">
        <v>6801</v>
      </c>
      <c r="L147" t="str">
        <f t="shared" si="4"/>
        <v>DECIMAL(18,0),</v>
      </c>
      <c r="N147" s="38" t="str">
        <f t="shared" si="5"/>
        <v>COMMENT ON COLUMN compass_sales_approval.voice_otoku_hikari_phone_sales_contribution_margin_yen IS '音声(おとく光電話)営業貢献利益（円）';</v>
      </c>
    </row>
    <row r="148" spans="1:14" ht="19.5" thickBot="1">
      <c r="A148" s="6"/>
      <c r="B148" s="6">
        <v>140</v>
      </c>
      <c r="C148" s="6" t="s">
        <v>6802</v>
      </c>
      <c r="D148" s="6" t="s">
        <v>89</v>
      </c>
      <c r="E148" s="6" t="s">
        <v>6708</v>
      </c>
      <c r="F148" s="7" t="s">
        <v>67</v>
      </c>
      <c r="G148" s="6"/>
      <c r="H148" s="8"/>
      <c r="I148" s="6"/>
      <c r="J148" s="6"/>
      <c r="K148" t="s">
        <v>6803</v>
      </c>
      <c r="L148" t="str">
        <f t="shared" si="4"/>
        <v>DECIMAL(18,0),</v>
      </c>
      <c r="N148" s="38" t="str">
        <f t="shared" si="5"/>
        <v>COMMENT ON COLUMN compass_sales_approval.voice_otoku_hikari_phone_sales_contribution_margin_rate_percent IS '音声(おとく光電話)営業貢献利益率（％）';</v>
      </c>
    </row>
    <row r="149" spans="1:14" ht="19.5" thickBot="1">
      <c r="A149" s="3"/>
      <c r="B149" s="3">
        <v>141</v>
      </c>
      <c r="C149" s="3" t="s">
        <v>6804</v>
      </c>
      <c r="D149" s="3" t="s">
        <v>89</v>
      </c>
      <c r="E149" s="3" t="s">
        <v>6708</v>
      </c>
      <c r="F149" s="2" t="s">
        <v>67</v>
      </c>
      <c r="G149" s="3"/>
      <c r="H149" s="5"/>
      <c r="I149" s="3"/>
      <c r="J149" s="3"/>
      <c r="K149" t="s">
        <v>6805</v>
      </c>
      <c r="L149" t="str">
        <f t="shared" si="4"/>
        <v>DECIMAL(18,0),</v>
      </c>
      <c r="N149" s="38" t="str">
        <f t="shared" si="5"/>
        <v>COMMENT ON COLUMN compass_sales_approval.deduction_adjustment_refund_recovery_amount_yen IS '減免・調整・返還・回収金額（円）';</v>
      </c>
    </row>
    <row r="150" spans="1:14" ht="19.5" thickBot="1">
      <c r="A150" s="6"/>
      <c r="B150" s="6">
        <v>142</v>
      </c>
      <c r="C150" s="6" t="s">
        <v>6806</v>
      </c>
      <c r="D150" s="6" t="s">
        <v>89</v>
      </c>
      <c r="E150" s="6" t="s">
        <v>6708</v>
      </c>
      <c r="F150" s="7" t="s">
        <v>67</v>
      </c>
      <c r="G150" s="6"/>
      <c r="H150" s="8"/>
      <c r="I150" s="6"/>
      <c r="J150" s="6"/>
      <c r="K150" t="s">
        <v>6807</v>
      </c>
      <c r="L150" t="str">
        <f t="shared" si="4"/>
        <v>DECIMAL(18,0),</v>
      </c>
      <c r="N150" s="38" t="str">
        <f t="shared" si="5"/>
        <v>COMMENT ON COLUMN compass_sales_approval.total_external_expenses_yen IS '外部支出総額（円）';</v>
      </c>
    </row>
    <row r="151" spans="1:14" ht="19.5" thickBot="1">
      <c r="A151" s="3"/>
      <c r="B151" s="3">
        <v>143</v>
      </c>
      <c r="C151" s="3" t="s">
        <v>5251</v>
      </c>
      <c r="D151" s="3" t="s">
        <v>66</v>
      </c>
      <c r="E151" s="3">
        <v>765</v>
      </c>
      <c r="F151" s="2" t="s">
        <v>67</v>
      </c>
      <c r="G151" s="3"/>
      <c r="H151" s="5"/>
      <c r="I151" s="3"/>
      <c r="J151" s="3"/>
      <c r="K151" t="s">
        <v>5252</v>
      </c>
      <c r="L151" t="str">
        <f t="shared" si="4"/>
        <v>VARCHAR(765),</v>
      </c>
      <c r="N151" s="38" t="str">
        <f t="shared" si="5"/>
        <v>COMMENT ON COLUMN compass_sales_approval.applicable_period IS '対象期間';</v>
      </c>
    </row>
    <row r="152" spans="1:14" ht="19.5" thickBot="1">
      <c r="A152" s="6"/>
      <c r="B152" s="6">
        <v>144</v>
      </c>
      <c r="C152" s="6" t="s">
        <v>5254</v>
      </c>
      <c r="D152" s="6" t="s">
        <v>66</v>
      </c>
      <c r="E152" s="6">
        <v>765</v>
      </c>
      <c r="F152" s="7" t="s">
        <v>67</v>
      </c>
      <c r="G152" s="6"/>
      <c r="H152" s="8"/>
      <c r="I152" s="6"/>
      <c r="J152" s="6"/>
      <c r="K152" t="s">
        <v>5255</v>
      </c>
      <c r="L152" t="str">
        <f t="shared" si="4"/>
        <v>VARCHAR(765),</v>
      </c>
      <c r="N152" s="38" t="str">
        <f t="shared" si="5"/>
        <v>COMMENT ON COLUMN compass_sales_approval.payment_date IS '支払い時期';</v>
      </c>
    </row>
    <row r="153" spans="1:14" ht="19.5" thickBot="1">
      <c r="A153" s="3"/>
      <c r="B153" s="3">
        <v>145</v>
      </c>
      <c r="C153" s="3" t="s">
        <v>6808</v>
      </c>
      <c r="D153" s="3" t="s">
        <v>89</v>
      </c>
      <c r="E153" s="3" t="s">
        <v>6708</v>
      </c>
      <c r="F153" s="2" t="s">
        <v>67</v>
      </c>
      <c r="G153" s="3"/>
      <c r="H153" s="5"/>
      <c r="I153" s="3"/>
      <c r="J153" s="3"/>
      <c r="K153" t="s">
        <v>6809</v>
      </c>
      <c r="L153" t="str">
        <f t="shared" si="4"/>
        <v>DECIMAL(18,0),</v>
      </c>
      <c r="N153" s="38" t="str">
        <f t="shared" si="5"/>
        <v>COMMENT ON COLUMN compass_sales_approval.total_sales_amount_yen IS '売上総合計金額（円）';</v>
      </c>
    </row>
    <row r="154" spans="1:14" ht="19.5" thickBot="1">
      <c r="A154" s="6"/>
      <c r="B154" s="6">
        <v>146</v>
      </c>
      <c r="C154" s="6" t="s">
        <v>5261</v>
      </c>
      <c r="D154" s="6" t="s">
        <v>66</v>
      </c>
      <c r="E154" s="6">
        <v>765</v>
      </c>
      <c r="F154" s="7" t="s">
        <v>67</v>
      </c>
      <c r="G154" s="6"/>
      <c r="H154" s="8"/>
      <c r="I154" s="6"/>
      <c r="J154" s="6"/>
      <c r="K154" t="s">
        <v>6810</v>
      </c>
      <c r="L154" t="str">
        <f t="shared" si="4"/>
        <v>VARCHAR(765),</v>
      </c>
      <c r="N154" s="38" t="str">
        <f t="shared" si="5"/>
        <v>COMMENT ON COLUMN compass_sales_approval.invoice_reissue IS '請求書再発行有無';</v>
      </c>
    </row>
    <row r="155" spans="1:14" ht="19.5" thickBot="1">
      <c r="A155" s="3"/>
      <c r="B155" s="3">
        <v>147</v>
      </c>
      <c r="C155" s="3" t="s">
        <v>6811</v>
      </c>
      <c r="D155" s="3" t="s">
        <v>66</v>
      </c>
      <c r="E155" s="3">
        <v>765</v>
      </c>
      <c r="F155" s="2" t="s">
        <v>67</v>
      </c>
      <c r="G155" s="3"/>
      <c r="H155" s="5"/>
      <c r="I155" s="3"/>
      <c r="J155" s="3"/>
      <c r="K155" t="s">
        <v>6812</v>
      </c>
      <c r="L155" t="str">
        <f t="shared" si="4"/>
        <v>VARCHAR(765),</v>
      </c>
      <c r="N155" s="38" t="str">
        <f t="shared" si="5"/>
        <v>COMMENT ON COLUMN compass_sales_approval.related_approvals_compass IS '関連する決裁（COMPASS）';</v>
      </c>
    </row>
    <row r="156" spans="1:14" ht="19.5" thickBot="1">
      <c r="A156" s="6"/>
      <c r="B156" s="6">
        <v>148</v>
      </c>
      <c r="C156" s="6" t="s">
        <v>6813</v>
      </c>
      <c r="D156" s="6" t="s">
        <v>66</v>
      </c>
      <c r="E156" s="6">
        <v>765</v>
      </c>
      <c r="F156" s="7" t="s">
        <v>67</v>
      </c>
      <c r="G156" s="6"/>
      <c r="H156" s="8"/>
      <c r="I156" s="6"/>
      <c r="J156" s="6"/>
      <c r="K156" t="s">
        <v>6814</v>
      </c>
      <c r="L156" t="str">
        <f t="shared" si="4"/>
        <v>VARCHAR(765),</v>
      </c>
      <c r="N156" s="38" t="str">
        <f t="shared" si="5"/>
        <v>COMMENT ON COLUMN compass_sales_approval.approval_request_number_other_than_compass IS '稟議申請番号（COMPASS以外）';</v>
      </c>
    </row>
    <row r="157" spans="1:14" ht="19.5" thickBot="1">
      <c r="A157" s="3"/>
      <c r="B157" s="3">
        <v>149</v>
      </c>
      <c r="C157" s="3" t="s">
        <v>6815</v>
      </c>
      <c r="D157" s="3" t="s">
        <v>89</v>
      </c>
      <c r="E157" s="3" t="s">
        <v>6708</v>
      </c>
      <c r="F157" s="2" t="s">
        <v>67</v>
      </c>
      <c r="G157" s="3"/>
      <c r="H157" s="5"/>
      <c r="I157" s="3"/>
      <c r="J157" s="3"/>
      <c r="K157" t="s">
        <v>6816</v>
      </c>
      <c r="L157" t="str">
        <f t="shared" si="4"/>
        <v>DECIMAL(18,0),</v>
      </c>
      <c r="N157" s="38" t="str">
        <f t="shared" si="5"/>
        <v>COMMENT ON COLUMN compass_sales_approval.solution_sales_management_system_quote_number IS 'ソリューション販売管理システム見積番号';</v>
      </c>
    </row>
    <row r="158" spans="1:14" ht="19.5" thickBot="1">
      <c r="A158" s="6"/>
      <c r="B158" s="6">
        <v>150</v>
      </c>
      <c r="C158" s="6" t="s">
        <v>6817</v>
      </c>
      <c r="D158" s="6" t="s">
        <v>66</v>
      </c>
      <c r="E158" s="6">
        <v>765</v>
      </c>
      <c r="F158" s="7" t="s">
        <v>67</v>
      </c>
      <c r="G158" s="6"/>
      <c r="H158" s="8"/>
      <c r="I158" s="6"/>
      <c r="J158" s="6"/>
      <c r="K158" t="s">
        <v>6293</v>
      </c>
      <c r="L158" t="str">
        <f t="shared" si="4"/>
        <v>VARCHAR(765),</v>
      </c>
      <c r="N158" s="38" t="str">
        <f t="shared" si="5"/>
        <v>COMMENT ON COLUMN compass_sales_approval.asset_db_number IS 'アセットDB番号';</v>
      </c>
    </row>
    <row r="159" spans="1:14" ht="19.5" thickBot="1">
      <c r="A159" s="3"/>
      <c r="B159" s="3">
        <v>151</v>
      </c>
      <c r="C159" s="3" t="s">
        <v>6818</v>
      </c>
      <c r="D159" s="3" t="s">
        <v>66</v>
      </c>
      <c r="E159" s="3">
        <v>765</v>
      </c>
      <c r="F159" s="2" t="s">
        <v>67</v>
      </c>
      <c r="G159" s="3"/>
      <c r="H159" s="5"/>
      <c r="I159" s="3"/>
      <c r="J159" s="3"/>
      <c r="K159" t="s">
        <v>6819</v>
      </c>
      <c r="L159" t="str">
        <f t="shared" si="4"/>
        <v>VARCHAR(765),</v>
      </c>
      <c r="N159" s="38" t="str">
        <f t="shared" si="5"/>
        <v>COMMENT ON COLUMN compass_sales_approval.agency_application_number IS '代理店申請書番号';</v>
      </c>
    </row>
    <row r="160" spans="1:14" ht="19.5" thickBot="1">
      <c r="A160" s="6"/>
      <c r="B160" s="6">
        <v>152</v>
      </c>
      <c r="C160" s="6" t="s">
        <v>6820</v>
      </c>
      <c r="D160" s="6" t="s">
        <v>66</v>
      </c>
      <c r="E160" s="6">
        <v>765</v>
      </c>
      <c r="F160" s="7" t="s">
        <v>67</v>
      </c>
      <c r="G160" s="6"/>
      <c r="H160" s="8"/>
      <c r="I160" s="6"/>
      <c r="J160" s="6"/>
      <c r="K160" t="s">
        <v>6821</v>
      </c>
      <c r="L160" t="str">
        <f t="shared" si="4"/>
        <v>VARCHAR(765),</v>
      </c>
      <c r="N160" s="38" t="str">
        <f t="shared" si="5"/>
        <v>COMMENT ON COLUMN compass_sales_approval.agency_application_number_sd_wf IS '代理店申請書番号（SDWF）';</v>
      </c>
    </row>
    <row r="161" spans="1:14" ht="19.5" thickBot="1">
      <c r="A161" s="3"/>
      <c r="B161" s="3">
        <v>153</v>
      </c>
      <c r="C161" s="3" t="s">
        <v>62</v>
      </c>
      <c r="D161" s="3" t="s">
        <v>66</v>
      </c>
      <c r="E161" s="3">
        <v>12000</v>
      </c>
      <c r="F161" s="2" t="s">
        <v>67</v>
      </c>
      <c r="G161" s="3"/>
      <c r="H161" s="5"/>
      <c r="I161" s="3"/>
      <c r="J161" s="3"/>
      <c r="K161" t="s">
        <v>6314</v>
      </c>
      <c r="L161" t="str">
        <f t="shared" si="4"/>
        <v>VARCHAR(12000),</v>
      </c>
      <c r="N161" s="38" t="str">
        <f t="shared" si="5"/>
        <v>COMMENT ON COLUMN compass_sales_approval.notes IS '備考';</v>
      </c>
    </row>
    <row r="162" spans="1:14" ht="19.5" thickBot="1">
      <c r="A162" s="6"/>
      <c r="B162" s="6">
        <v>154</v>
      </c>
      <c r="C162" s="6" t="s">
        <v>6311</v>
      </c>
      <c r="D162" s="6" t="s">
        <v>66</v>
      </c>
      <c r="E162" s="6">
        <v>765</v>
      </c>
      <c r="F162" s="7" t="s">
        <v>67</v>
      </c>
      <c r="G162" s="6"/>
      <c r="H162" s="8"/>
      <c r="I162" s="6"/>
      <c r="J162" s="6"/>
      <c r="K162" t="s">
        <v>6312</v>
      </c>
      <c r="L162" t="str">
        <f t="shared" si="4"/>
        <v>VARCHAR(765),</v>
      </c>
      <c r="N162" s="38" t="str">
        <f t="shared" si="5"/>
        <v>COMMENT ON COLUMN compass_sales_approval.viewability IS '閲覧範囲';</v>
      </c>
    </row>
    <row r="163" spans="1:14" ht="19.5" thickBot="1">
      <c r="A163" s="3"/>
      <c r="B163" s="3">
        <v>155</v>
      </c>
      <c r="C163" s="3" t="s">
        <v>6822</v>
      </c>
      <c r="D163" s="3" t="s">
        <v>66</v>
      </c>
      <c r="E163" s="3">
        <v>12000</v>
      </c>
      <c r="F163" s="2" t="s">
        <v>67</v>
      </c>
      <c r="G163" s="3"/>
      <c r="H163" s="5"/>
      <c r="I163" s="3"/>
      <c r="J163" s="3"/>
      <c r="K163" t="s">
        <v>6823</v>
      </c>
      <c r="L163" t="str">
        <f t="shared" si="4"/>
        <v>VARCHAR(12000),</v>
      </c>
      <c r="N163" s="38" t="str">
        <f t="shared" si="5"/>
        <v>COMMENT ON COLUMN compass_sales_approval.additions_changes IS '追加・変更内容';</v>
      </c>
    </row>
    <row r="164" spans="1:14" ht="19.5" thickBot="1">
      <c r="A164" s="6"/>
      <c r="B164" s="6">
        <v>156</v>
      </c>
      <c r="C164" s="6" t="s">
        <v>6824</v>
      </c>
      <c r="D164" s="6" t="s">
        <v>66</v>
      </c>
      <c r="E164" s="6">
        <v>765</v>
      </c>
      <c r="F164" s="7" t="s">
        <v>67</v>
      </c>
      <c r="G164" s="6"/>
      <c r="H164" s="8"/>
      <c r="I164" s="6"/>
      <c r="J164" s="6"/>
      <c r="K164" t="s">
        <v>6825</v>
      </c>
      <c r="L164" t="str">
        <f t="shared" si="4"/>
        <v>VARCHAR(765),</v>
      </c>
      <c r="N164" s="38" t="str">
        <f t="shared" si="5"/>
        <v>COMMENT ON COLUMN compass_sales_approval.inputter IS '入力者';</v>
      </c>
    </row>
    <row r="165" spans="1:14" ht="19.5" thickBot="1">
      <c r="A165" s="3"/>
      <c r="B165" s="3">
        <v>157</v>
      </c>
      <c r="C165" s="3" t="s">
        <v>6826</v>
      </c>
      <c r="D165" s="3" t="s">
        <v>66</v>
      </c>
      <c r="E165" s="3">
        <v>765</v>
      </c>
      <c r="F165" s="2" t="s">
        <v>67</v>
      </c>
      <c r="G165" s="3"/>
      <c r="H165" s="5"/>
      <c r="I165" s="3"/>
      <c r="J165" s="3"/>
      <c r="K165" t="s">
        <v>6827</v>
      </c>
      <c r="L165" t="str">
        <f t="shared" si="4"/>
        <v>VARCHAR(765),</v>
      </c>
      <c r="N165" s="38" t="str">
        <f t="shared" si="5"/>
        <v>COMMENT ON COLUMN compass_sales_approval.input_date IS '入力日';</v>
      </c>
    </row>
    <row r="166" spans="1:14" ht="19.5" thickBot="1">
      <c r="A166" s="6"/>
      <c r="B166" s="6">
        <v>158</v>
      </c>
      <c r="C166" s="6" t="s">
        <v>6828</v>
      </c>
      <c r="D166" s="6" t="s">
        <v>66</v>
      </c>
      <c r="E166" s="6">
        <v>12000</v>
      </c>
      <c r="F166" s="7" t="s">
        <v>67</v>
      </c>
      <c r="G166" s="6"/>
      <c r="H166" s="8"/>
      <c r="I166" s="6"/>
      <c r="J166" s="6"/>
      <c r="K166" t="s">
        <v>6829</v>
      </c>
      <c r="L166" t="str">
        <f t="shared" si="4"/>
        <v>VARCHAR(12000),</v>
      </c>
      <c r="N166" s="38" t="str">
        <f t="shared" si="5"/>
        <v>COMMENT ON COLUMN compass_sales_approval.contractual_condition_1 IS '契約化必須条件1';</v>
      </c>
    </row>
    <row r="167" spans="1:14" ht="19.5" thickBot="1">
      <c r="A167" s="3"/>
      <c r="B167" s="3">
        <v>159</v>
      </c>
      <c r="C167" s="3" t="s">
        <v>6830</v>
      </c>
      <c r="D167" s="3" t="s">
        <v>66</v>
      </c>
      <c r="E167" s="3">
        <v>12000</v>
      </c>
      <c r="F167" s="2" t="s">
        <v>67</v>
      </c>
      <c r="G167" s="3"/>
      <c r="H167" s="5"/>
      <c r="I167" s="3"/>
      <c r="J167" s="3"/>
      <c r="K167" t="s">
        <v>6831</v>
      </c>
      <c r="L167" t="str">
        <f t="shared" si="4"/>
        <v>VARCHAR(12000),</v>
      </c>
      <c r="N167" s="38" t="str">
        <f t="shared" si="5"/>
        <v>COMMENT ON COLUMN compass_sales_approval.contractual_condition_2 IS '契約化必須条件2';</v>
      </c>
    </row>
    <row r="168" spans="1:14" ht="19.5" thickBot="1">
      <c r="A168" s="6"/>
      <c r="B168" s="6">
        <v>160</v>
      </c>
      <c r="C168" s="6" t="s">
        <v>6832</v>
      </c>
      <c r="D168" s="6" t="s">
        <v>66</v>
      </c>
      <c r="E168" s="6">
        <v>1</v>
      </c>
      <c r="F168" s="7" t="s">
        <v>67</v>
      </c>
      <c r="G168" s="6"/>
      <c r="H168" s="8"/>
      <c r="I168" s="6"/>
      <c r="J168" s="6"/>
      <c r="K168" t="s">
        <v>6833</v>
      </c>
      <c r="L168" t="str">
        <f t="shared" si="4"/>
        <v>VARCHAR(1),</v>
      </c>
      <c r="N168" s="38" t="str">
        <f t="shared" si="5"/>
        <v>COMMENT ON COLUMN compass_sales_approval.create_sub_approval_from_flow_flag IS 'フローから子決裁作成フラグ';</v>
      </c>
    </row>
    <row r="169" spans="1:14" ht="19.5" thickBot="1">
      <c r="A169" s="3"/>
      <c r="B169" s="3">
        <v>161</v>
      </c>
      <c r="C169" s="3" t="s">
        <v>6834</v>
      </c>
      <c r="D169" s="3" t="s">
        <v>66</v>
      </c>
      <c r="E169" s="3">
        <v>1</v>
      </c>
      <c r="F169" s="2" t="s">
        <v>67</v>
      </c>
      <c r="G169" s="3"/>
      <c r="H169" s="5"/>
      <c r="I169" s="3"/>
      <c r="J169" s="3"/>
      <c r="K169" t="s">
        <v>6835</v>
      </c>
      <c r="L169" t="str">
        <f t="shared" si="4"/>
        <v>VARCHAR(1),</v>
      </c>
      <c r="N169" s="38" t="str">
        <f t="shared" si="5"/>
        <v>COMMENT ON COLUMN compass_sales_approval.private_flag IS '非公開フラグ';</v>
      </c>
    </row>
    <row r="170" spans="1:14" ht="19.5" thickBot="1">
      <c r="A170" s="6"/>
      <c r="B170" s="6">
        <v>162</v>
      </c>
      <c r="C170" s="6" t="s">
        <v>6836</v>
      </c>
      <c r="D170" s="6" t="s">
        <v>66</v>
      </c>
      <c r="E170" s="6">
        <v>23</v>
      </c>
      <c r="F170" s="7" t="s">
        <v>67</v>
      </c>
      <c r="G170" s="6" t="s">
        <v>6579</v>
      </c>
      <c r="H170" s="8"/>
      <c r="I170" s="6"/>
      <c r="J170" s="6"/>
      <c r="K170" t="s">
        <v>2607</v>
      </c>
      <c r="L170" t="str">
        <f t="shared" si="4"/>
        <v>VARCHAR(23),</v>
      </c>
      <c r="N170" s="38" t="str">
        <f t="shared" si="5"/>
        <v>COMMENT ON COLUMN compass_sales_approval.approval_date IS '承認日時';</v>
      </c>
    </row>
    <row r="171" spans="1:14" ht="19.5" thickBot="1">
      <c r="A171" s="3"/>
      <c r="B171" s="3">
        <v>163</v>
      </c>
      <c r="C171" s="3" t="s">
        <v>5224</v>
      </c>
      <c r="D171" s="3" t="s">
        <v>66</v>
      </c>
      <c r="E171" s="3">
        <v>765</v>
      </c>
      <c r="F171" s="2" t="s">
        <v>67</v>
      </c>
      <c r="G171" s="3"/>
      <c r="H171" s="5"/>
      <c r="I171" s="3"/>
      <c r="J171" s="3"/>
      <c r="K171" t="s">
        <v>5225</v>
      </c>
      <c r="L171" t="str">
        <f t="shared" si="4"/>
        <v>VARCHAR(765),</v>
      </c>
      <c r="N171" s="38" t="str">
        <f t="shared" si="5"/>
        <v>COMMENT ON COLUMN compass_sales_approval.business_category IS '事業区分';</v>
      </c>
    </row>
    <row r="172" spans="1:14" ht="19.5" thickBot="1">
      <c r="A172" s="6"/>
      <c r="B172" s="6">
        <v>164</v>
      </c>
      <c r="C172" s="6" t="s">
        <v>6837</v>
      </c>
      <c r="D172" s="6" t="s">
        <v>66</v>
      </c>
      <c r="E172" s="6">
        <v>10</v>
      </c>
      <c r="F172" s="7" t="s">
        <v>67</v>
      </c>
      <c r="G172" s="6" t="s">
        <v>6669</v>
      </c>
      <c r="H172" s="8"/>
      <c r="I172" s="6"/>
      <c r="J172" s="6"/>
      <c r="K172" t="s">
        <v>6838</v>
      </c>
      <c r="L172" t="str">
        <f t="shared" si="4"/>
        <v>VARCHAR(10),</v>
      </c>
      <c r="N172" s="38" t="str">
        <f t="shared" si="5"/>
        <v>COMMENT ON COLUMN compass_sales_approval.expiration_date IS '有効期限';</v>
      </c>
    </row>
    <row r="173" spans="1:14" ht="19.5" thickBot="1">
      <c r="A173" s="3"/>
      <c r="B173" s="3">
        <v>165</v>
      </c>
      <c r="C173" s="3" t="s">
        <v>6839</v>
      </c>
      <c r="D173" s="3" t="s">
        <v>66</v>
      </c>
      <c r="E173" s="3">
        <v>12000</v>
      </c>
      <c r="F173" s="2" t="s">
        <v>67</v>
      </c>
      <c r="G173" s="3"/>
      <c r="H173" s="5"/>
      <c r="I173" s="3"/>
      <c r="J173" s="3"/>
      <c r="K173" t="s">
        <v>6840</v>
      </c>
      <c r="L173" t="str">
        <f t="shared" si="4"/>
        <v>VARCHAR(12000),</v>
      </c>
      <c r="N173" s="38" t="str">
        <f t="shared" si="5"/>
        <v>COMMENT ON COLUMN compass_sales_approval.additional_information_field IS '追加情報欄';</v>
      </c>
    </row>
    <row r="174" spans="1:14" ht="19.5" thickBot="1">
      <c r="A174" s="6"/>
      <c r="B174" s="6">
        <v>166</v>
      </c>
      <c r="C174" s="6" t="s">
        <v>6841</v>
      </c>
      <c r="D174" s="6" t="s">
        <v>66</v>
      </c>
      <c r="E174" s="6">
        <v>240</v>
      </c>
      <c r="F174" s="7" t="s">
        <v>67</v>
      </c>
      <c r="G174" s="6"/>
      <c r="H174" s="8"/>
      <c r="I174" s="6"/>
      <c r="J174" s="6"/>
      <c r="K174" t="s">
        <v>6842</v>
      </c>
      <c r="L174" t="str">
        <f t="shared" si="4"/>
        <v>VARCHAR(240),</v>
      </c>
      <c r="N174" s="38" t="str">
        <f t="shared" si="5"/>
        <v>COMMENT ON COLUMN compass_sales_approval.based_proposal_approval IS '基となる提案決裁';</v>
      </c>
    </row>
    <row r="175" spans="1:14" ht="19.5" thickBot="1">
      <c r="A175" s="3"/>
      <c r="B175" s="3">
        <v>167</v>
      </c>
      <c r="C175" s="3" t="s">
        <v>5227</v>
      </c>
      <c r="D175" s="3" t="s">
        <v>66</v>
      </c>
      <c r="E175" s="3">
        <v>765</v>
      </c>
      <c r="F175" s="2" t="s">
        <v>67</v>
      </c>
      <c r="G175" s="3"/>
      <c r="H175" s="5"/>
      <c r="I175" s="3"/>
      <c r="J175" s="3"/>
      <c r="K175" t="s">
        <v>5326</v>
      </c>
      <c r="L175" t="str">
        <f t="shared" si="4"/>
        <v>VARCHAR(765),</v>
      </c>
      <c r="N175" s="38" t="str">
        <f t="shared" si="5"/>
        <v>COMMENT ON COLUMN compass_sales_approval.approval_content IS '決裁内容';</v>
      </c>
    </row>
    <row r="176" spans="1:14" ht="19.5" thickBot="1">
      <c r="A176" s="6"/>
      <c r="B176" s="6">
        <v>168</v>
      </c>
      <c r="C176" s="6" t="s">
        <v>6843</v>
      </c>
      <c r="D176" s="6" t="s">
        <v>66</v>
      </c>
      <c r="E176" s="6">
        <v>765</v>
      </c>
      <c r="F176" s="7" t="s">
        <v>67</v>
      </c>
      <c r="G176" s="6"/>
      <c r="H176" s="8"/>
      <c r="I176" s="6"/>
      <c r="J176" s="6"/>
      <c r="K176" t="s">
        <v>6844</v>
      </c>
      <c r="L176" t="str">
        <f t="shared" si="4"/>
        <v>VARCHAR(765),</v>
      </c>
      <c r="N176" s="38" t="str">
        <f t="shared" si="5"/>
        <v>COMMENT ON COLUMN compass_sales_approval.approval_route_criteria IS '承認ルート基準';</v>
      </c>
    </row>
    <row r="177" spans="1:14" ht="19.5" thickBot="1">
      <c r="A177" s="3"/>
      <c r="B177" s="3">
        <v>169</v>
      </c>
      <c r="C177" s="3" t="s">
        <v>6845</v>
      </c>
      <c r="D177" s="3" t="s">
        <v>66</v>
      </c>
      <c r="E177" s="3">
        <v>240</v>
      </c>
      <c r="F177" s="2" t="s">
        <v>67</v>
      </c>
      <c r="G177" s="3"/>
      <c r="H177" s="5"/>
      <c r="I177" s="3"/>
      <c r="J177" s="3"/>
      <c r="K177" t="s">
        <v>6846</v>
      </c>
      <c r="L177" t="str">
        <f t="shared" si="4"/>
        <v>VARCHAR(240),</v>
      </c>
      <c r="N177" s="38" t="str">
        <f t="shared" si="5"/>
        <v>COMMENT ON COLUMN compass_sales_approval.supplier_credit IS '仕入先与信';</v>
      </c>
    </row>
    <row r="178" spans="1:14" ht="19.5" thickBot="1">
      <c r="A178" s="6"/>
      <c r="B178" s="6">
        <v>170</v>
      </c>
      <c r="C178" s="6" t="s">
        <v>6847</v>
      </c>
      <c r="D178" s="6" t="s">
        <v>66</v>
      </c>
      <c r="E178" s="6">
        <v>1</v>
      </c>
      <c r="F178" s="7" t="s">
        <v>67</v>
      </c>
      <c r="G178" s="6"/>
      <c r="H178" s="8"/>
      <c r="I178" s="6"/>
      <c r="J178" s="6"/>
      <c r="K178" t="s">
        <v>6848</v>
      </c>
      <c r="L178" t="str">
        <f t="shared" si="4"/>
        <v>VARCHAR(1),</v>
      </c>
      <c r="N178" s="38" t="str">
        <f t="shared" si="5"/>
        <v>COMMENT ON COLUMN compass_sales_approval.valid_flg IS '有効';</v>
      </c>
    </row>
    <row r="179" spans="1:14" ht="19.5" thickBot="1">
      <c r="A179" s="3"/>
      <c r="B179" s="3">
        <v>171</v>
      </c>
      <c r="C179" s="3" t="s">
        <v>6849</v>
      </c>
      <c r="D179" s="3" t="s">
        <v>66</v>
      </c>
      <c r="E179" s="3">
        <v>3900</v>
      </c>
      <c r="F179" s="2" t="s">
        <v>67</v>
      </c>
      <c r="G179" s="3"/>
      <c r="H179" s="5"/>
      <c r="I179" s="3"/>
      <c r="J179" s="3"/>
      <c r="K179" t="s">
        <v>6850</v>
      </c>
      <c r="L179" t="str">
        <f t="shared" si="4"/>
        <v>VARCHAR(3900),</v>
      </c>
      <c r="N179" s="38" t="str">
        <f t="shared" si="5"/>
        <v>COMMENT ON COLUMN compass_sales_approval.record_id_formula IS 'レコードID（数式）';</v>
      </c>
    </row>
    <row r="180" spans="1:14" ht="19.5" thickBot="1">
      <c r="A180" s="6"/>
      <c r="B180" s="6">
        <v>172</v>
      </c>
      <c r="C180" s="6" t="s">
        <v>6851</v>
      </c>
      <c r="D180" s="6" t="s">
        <v>66</v>
      </c>
      <c r="E180" s="6">
        <v>765</v>
      </c>
      <c r="F180" s="7" t="s">
        <v>67</v>
      </c>
      <c r="G180" s="6"/>
      <c r="H180" s="8"/>
      <c r="I180" s="6"/>
      <c r="J180" s="6"/>
      <c r="K180" t="s">
        <v>6852</v>
      </c>
      <c r="L180" t="str">
        <f t="shared" si="4"/>
        <v>VARCHAR(765),</v>
      </c>
      <c r="N180" s="38" t="str">
        <f t="shared" si="5"/>
        <v>COMMENT ON COLUMN compass_sales_approval.creator_id IS '作成者ID';</v>
      </c>
    </row>
    <row r="181" spans="1:14" ht="19.5" thickBot="1">
      <c r="A181" s="3"/>
      <c r="B181" s="3">
        <v>173</v>
      </c>
      <c r="C181" s="3" t="s">
        <v>3581</v>
      </c>
      <c r="D181" s="3" t="s">
        <v>66</v>
      </c>
      <c r="E181" s="3">
        <v>23</v>
      </c>
      <c r="F181" s="2" t="s">
        <v>67</v>
      </c>
      <c r="G181" s="3" t="s">
        <v>6579</v>
      </c>
      <c r="H181" s="5"/>
      <c r="I181" s="3"/>
      <c r="J181" s="3"/>
      <c r="K181" t="s">
        <v>6853</v>
      </c>
      <c r="L181" t="str">
        <f t="shared" si="4"/>
        <v>VARCHAR(23),</v>
      </c>
      <c r="N181" s="38" t="str">
        <f t="shared" si="5"/>
        <v>COMMENT ON COLUMN compass_sales_approval.creation_date IS '作成日';</v>
      </c>
    </row>
    <row r="182" spans="1:14" ht="19.5" thickBot="1">
      <c r="A182" s="6"/>
      <c r="B182" s="6">
        <v>174</v>
      </c>
      <c r="C182" s="6" t="s">
        <v>6854</v>
      </c>
      <c r="D182" s="6" t="s">
        <v>66</v>
      </c>
      <c r="E182" s="6">
        <v>1</v>
      </c>
      <c r="F182" s="7" t="s">
        <v>67</v>
      </c>
      <c r="G182" s="6"/>
      <c r="H182" s="8"/>
      <c r="I182" s="6"/>
      <c r="J182" s="6"/>
      <c r="K182" t="s">
        <v>6855</v>
      </c>
      <c r="L182" t="str">
        <f t="shared" si="4"/>
        <v>VARCHAR(1),</v>
      </c>
      <c r="N182" s="38" t="str">
        <f t="shared" si="5"/>
        <v>COMMENT ON COLUMN compass_sales_approval.deleted_flg IS '削除';</v>
      </c>
    </row>
    <row r="183" spans="1:14" ht="19.5" thickBot="1">
      <c r="A183" s="3"/>
      <c r="B183" s="3">
        <v>175</v>
      </c>
      <c r="C183" s="3" t="s">
        <v>6856</v>
      </c>
      <c r="D183" s="3" t="s">
        <v>66</v>
      </c>
      <c r="E183" s="3">
        <v>765</v>
      </c>
      <c r="F183" s="2" t="s">
        <v>67</v>
      </c>
      <c r="G183" s="3"/>
      <c r="H183" s="5"/>
      <c r="I183" s="3"/>
      <c r="J183" s="3"/>
      <c r="K183" t="s">
        <v>6857</v>
      </c>
      <c r="L183" t="str">
        <f t="shared" si="4"/>
        <v>VARCHAR(765),</v>
      </c>
      <c r="N183" s="38" t="str">
        <f t="shared" si="5"/>
        <v>COMMENT ON COLUMN compass_sales_approval.last_updated_by_id IS '最終更新者ID';</v>
      </c>
    </row>
    <row r="184" spans="1:14" ht="19.5" thickBot="1">
      <c r="A184" s="6"/>
      <c r="B184" s="6">
        <v>176</v>
      </c>
      <c r="C184" s="6" t="s">
        <v>6858</v>
      </c>
      <c r="D184" s="6" t="s">
        <v>66</v>
      </c>
      <c r="E184" s="6">
        <v>23</v>
      </c>
      <c r="F184" s="7" t="s">
        <v>67</v>
      </c>
      <c r="G184" s="6" t="s">
        <v>6579</v>
      </c>
      <c r="H184" s="8"/>
      <c r="I184" s="6"/>
      <c r="J184" s="6"/>
      <c r="K184" t="s">
        <v>6859</v>
      </c>
      <c r="L184" t="str">
        <f t="shared" si="4"/>
        <v>VARCHAR(23),</v>
      </c>
      <c r="N184" s="38" t="str">
        <f t="shared" si="5"/>
        <v>COMMENT ON COLUMN compass_sales_approval.last_updated_date IS '最終更新日';</v>
      </c>
    </row>
    <row r="185" spans="1:14" ht="19.5" thickBot="1">
      <c r="A185" s="3"/>
      <c r="B185" s="3">
        <v>177</v>
      </c>
      <c r="C185" s="3" t="s">
        <v>6860</v>
      </c>
      <c r="D185" s="3" t="s">
        <v>66</v>
      </c>
      <c r="E185" s="3">
        <v>23</v>
      </c>
      <c r="F185" s="2" t="s">
        <v>67</v>
      </c>
      <c r="G185" s="3" t="s">
        <v>6579</v>
      </c>
      <c r="H185" s="5"/>
      <c r="I185" s="3"/>
      <c r="J185" s="3"/>
      <c r="K185" t="s">
        <v>6861</v>
      </c>
      <c r="L185" t="str">
        <f t="shared" si="4"/>
        <v>VARCHAR(23),</v>
      </c>
      <c r="N185" s="38" t="str">
        <f t="shared" si="5"/>
        <v>COMMENT ON COLUMN compass_sales_approval.last_reference_date IS '最終参照日';</v>
      </c>
    </row>
    <row r="186" spans="1:14" ht="19.5" thickBot="1">
      <c r="A186" s="6"/>
      <c r="B186" s="6">
        <v>178</v>
      </c>
      <c r="C186" s="6" t="s">
        <v>6862</v>
      </c>
      <c r="D186" s="6" t="s">
        <v>66</v>
      </c>
      <c r="E186" s="6">
        <v>23</v>
      </c>
      <c r="F186" s="7" t="s">
        <v>67</v>
      </c>
      <c r="G186" s="6" t="s">
        <v>6579</v>
      </c>
      <c r="H186" s="8"/>
      <c r="I186" s="6"/>
      <c r="J186" s="6"/>
      <c r="K186" t="s">
        <v>6863</v>
      </c>
      <c r="L186" t="str">
        <f t="shared" si="4"/>
        <v>VARCHAR(23),</v>
      </c>
      <c r="N186" s="38" t="str">
        <f t="shared" si="5"/>
        <v>COMMENT ON COLUMN compass_sales_approval.last_viewed_date IS '最終閲覧日';</v>
      </c>
    </row>
    <row r="187" spans="1:14" ht="19.5" thickBot="1">
      <c r="A187" s="3"/>
      <c r="B187" s="3">
        <v>179</v>
      </c>
      <c r="C187" s="3" t="s">
        <v>6864</v>
      </c>
      <c r="D187" s="3" t="s">
        <v>66</v>
      </c>
      <c r="E187" s="3">
        <v>765</v>
      </c>
      <c r="F187" s="2" t="s">
        <v>67</v>
      </c>
      <c r="G187" s="3"/>
      <c r="H187" s="5"/>
      <c r="I187" s="3"/>
      <c r="J187" s="3"/>
      <c r="K187" t="s">
        <v>6865</v>
      </c>
      <c r="L187" t="str">
        <f t="shared" si="4"/>
        <v>VARCHAR(765),</v>
      </c>
      <c r="N187" s="38" t="str">
        <f t="shared" si="5"/>
        <v>COMMENT ON COLUMN compass_sales_approval.owner_id IS '所有者ID';</v>
      </c>
    </row>
    <row r="188" spans="1:14" ht="19.5" thickBot="1">
      <c r="A188" s="6"/>
      <c r="B188" s="6">
        <v>180</v>
      </c>
      <c r="C188" s="6" t="s">
        <v>6866</v>
      </c>
      <c r="D188" s="6" t="s">
        <v>66</v>
      </c>
      <c r="E188" s="6">
        <v>3900</v>
      </c>
      <c r="F188" s="7" t="s">
        <v>67</v>
      </c>
      <c r="G188" s="6"/>
      <c r="H188" s="8"/>
      <c r="I188" s="6"/>
      <c r="J188" s="6"/>
      <c r="K188" t="s">
        <v>6867</v>
      </c>
      <c r="L188" t="str">
        <f t="shared" si="4"/>
        <v>VARCHAR(3900),</v>
      </c>
      <c r="N188" s="38" t="str">
        <f t="shared" si="5"/>
        <v>COMMENT ON COLUMN compass_sales_approval.record_type_id IS 'レコードタイプID';</v>
      </c>
    </row>
    <row r="189" spans="1:14" ht="19.5" thickBot="1">
      <c r="A189" s="3"/>
      <c r="B189" s="3">
        <v>181</v>
      </c>
      <c r="C189" s="3" t="s">
        <v>6868</v>
      </c>
      <c r="D189" s="3" t="s">
        <v>66</v>
      </c>
      <c r="E189" s="3">
        <v>23</v>
      </c>
      <c r="F189" s="2" t="s">
        <v>67</v>
      </c>
      <c r="G189" s="3" t="s">
        <v>6579</v>
      </c>
      <c r="H189" s="5"/>
      <c r="I189" s="3"/>
      <c r="J189" s="3"/>
      <c r="K189" t="s">
        <v>6869</v>
      </c>
      <c r="L189" t="str">
        <f t="shared" si="4"/>
        <v>VARCHAR(23),</v>
      </c>
      <c r="N189" s="38" t="str">
        <f t="shared" si="5"/>
        <v>COMMENT ON COLUMN compass_sales_approval.systemmodstamp IS 'SystemModstamp';</v>
      </c>
    </row>
    <row r="190" spans="1:14" ht="19.5" thickBot="1">
      <c r="A190" s="6"/>
      <c r="B190" s="6">
        <v>182</v>
      </c>
      <c r="C190" s="6" t="s">
        <v>6298</v>
      </c>
      <c r="D190" s="6" t="s">
        <v>66</v>
      </c>
      <c r="E190" s="6">
        <v>12000</v>
      </c>
      <c r="F190" s="7" t="s">
        <v>67</v>
      </c>
      <c r="G190" s="6"/>
      <c r="H190" s="8"/>
      <c r="I190" s="6"/>
      <c r="J190" s="6"/>
      <c r="K190" t="s">
        <v>6299</v>
      </c>
      <c r="L190" t="str">
        <f t="shared" si="4"/>
        <v>VARCHAR(12000),</v>
      </c>
      <c r="N190" s="38" t="str">
        <f t="shared" si="5"/>
        <v>COMMENT ON COLUMN compass_sales_approval.estimate_sheet_number IS '試算シート番号';</v>
      </c>
    </row>
    <row r="191" spans="1:14" ht="19.5" thickBot="1">
      <c r="A191" s="3"/>
      <c r="B191" s="3">
        <v>183</v>
      </c>
      <c r="C191" s="3" t="s">
        <v>6870</v>
      </c>
      <c r="D191" s="3" t="s">
        <v>66</v>
      </c>
      <c r="E191" s="3">
        <v>1</v>
      </c>
      <c r="F191" s="2" t="s">
        <v>67</v>
      </c>
      <c r="G191" s="3"/>
      <c r="H191" s="5"/>
      <c r="I191" s="3"/>
      <c r="J191" s="3"/>
      <c r="K191" t="s">
        <v>6871</v>
      </c>
      <c r="L191" t="str">
        <f t="shared" si="4"/>
        <v>VARCHAR(1),</v>
      </c>
      <c r="N191" s="38" t="str">
        <f t="shared" si="5"/>
        <v>COMMENT ON COLUMN compass_sales_approval.summit_data_migration_flag IS 'SUMMITデータ移行フラグ';</v>
      </c>
    </row>
    <row r="192" spans="1:14" ht="19.5" thickBot="1">
      <c r="A192" s="6"/>
      <c r="B192" s="6">
        <v>184</v>
      </c>
      <c r="C192" s="6" t="s">
        <v>6872</v>
      </c>
      <c r="D192" s="6" t="s">
        <v>66</v>
      </c>
      <c r="E192" s="6">
        <v>1</v>
      </c>
      <c r="F192" s="7" t="s">
        <v>67</v>
      </c>
      <c r="G192" s="6"/>
      <c r="H192" s="8"/>
      <c r="I192" s="6"/>
      <c r="J192" s="6"/>
      <c r="K192" t="s">
        <v>6873</v>
      </c>
      <c r="L192" t="str">
        <f t="shared" si="4"/>
        <v>VARCHAR(1),</v>
      </c>
      <c r="N192" s="38" t="str">
        <f t="shared" si="5"/>
        <v>COMMENT ON COLUMN compass_sales_approval.credit_review_request_name_compass_presence_absence IS '与信審査依頼名（COMPASS）有無判定';</v>
      </c>
    </row>
    <row r="193" spans="1:14" ht="19.5" thickBot="1">
      <c r="A193" s="3"/>
      <c r="B193" s="3">
        <v>185</v>
      </c>
      <c r="C193" s="3" t="s">
        <v>6874</v>
      </c>
      <c r="D193" s="3" t="s">
        <v>66</v>
      </c>
      <c r="E193" s="3">
        <v>765</v>
      </c>
      <c r="F193" s="2" t="s">
        <v>67</v>
      </c>
      <c r="G193" s="3"/>
      <c r="H193" s="5"/>
      <c r="I193" s="3"/>
      <c r="J193" s="3"/>
      <c r="K193" t="s">
        <v>6875</v>
      </c>
      <c r="L193" t="str">
        <f t="shared" si="4"/>
        <v>VARCHAR(765),</v>
      </c>
      <c r="N193" s="38" t="str">
        <f t="shared" si="5"/>
        <v>COMMENT ON COLUMN compass_sales_approval.estimate_sheet_presence_absence IS '試算シート有無';</v>
      </c>
    </row>
    <row r="194" spans="1:14" ht="19.5" thickBot="1">
      <c r="A194" s="6"/>
      <c r="B194" s="6">
        <v>186</v>
      </c>
      <c r="C194" s="6" t="s">
        <v>6876</v>
      </c>
      <c r="D194" s="6" t="s">
        <v>66</v>
      </c>
      <c r="E194" s="6">
        <v>765</v>
      </c>
      <c r="F194" s="7" t="s">
        <v>67</v>
      </c>
      <c r="G194" s="6"/>
      <c r="H194" s="8"/>
      <c r="I194" s="6"/>
      <c r="J194" s="6"/>
      <c r="K194" t="s">
        <v>6877</v>
      </c>
      <c r="L194" t="str">
        <f t="shared" si="4"/>
        <v>VARCHAR(765),</v>
      </c>
      <c r="N194" s="38" t="str">
        <f t="shared" si="5"/>
        <v>COMMENT ON COLUMN compass_sales_approval.product_pre_consultation IS 'プロダクト事前相談';</v>
      </c>
    </row>
    <row r="195" spans="1:14" ht="19.5" thickBot="1">
      <c r="A195" s="3"/>
      <c r="B195" s="3">
        <v>187</v>
      </c>
      <c r="C195" s="3" t="s">
        <v>6878</v>
      </c>
      <c r="D195" s="3" t="s">
        <v>66</v>
      </c>
      <c r="E195" s="3">
        <v>12000</v>
      </c>
      <c r="F195" s="2" t="s">
        <v>67</v>
      </c>
      <c r="G195" s="3"/>
      <c r="H195" s="5"/>
      <c r="I195" s="3"/>
      <c r="J195" s="3"/>
      <c r="K195" t="s">
        <v>6879</v>
      </c>
      <c r="L195" t="str">
        <f t="shared" si="4"/>
        <v>VARCHAR(12000),</v>
      </c>
      <c r="N195" s="38" t="str">
        <f t="shared" si="5"/>
        <v>COMMENT ON COLUMN compass_sales_approval.mobile_p2p_consultation_approval_conditions IS 'モバイル相対相談承認条件';</v>
      </c>
    </row>
    <row r="196" spans="1:14" ht="19.5" thickBot="1">
      <c r="A196" s="6"/>
      <c r="B196" s="6">
        <v>188</v>
      </c>
      <c r="C196" s="6" t="s">
        <v>6880</v>
      </c>
      <c r="D196" s="6" t="s">
        <v>66</v>
      </c>
      <c r="E196" s="6">
        <v>12000</v>
      </c>
      <c r="F196" s="7" t="s">
        <v>67</v>
      </c>
      <c r="G196" s="6"/>
      <c r="H196" s="8"/>
      <c r="I196" s="6"/>
      <c r="J196" s="6"/>
      <c r="K196" t="s">
        <v>6881</v>
      </c>
      <c r="L196" t="str">
        <f t="shared" si="4"/>
        <v>VARCHAR(12000),</v>
      </c>
      <c r="N196" s="38" t="str">
        <f t="shared" si="5"/>
        <v>COMMENT ON COLUMN compass_sales_approval.pre_consultation_approval_conditions IS '事前相談承認条件';</v>
      </c>
    </row>
    <row r="197" spans="1:14" ht="19.5" thickBot="1">
      <c r="A197" s="3"/>
      <c r="B197" s="3">
        <v>189</v>
      </c>
      <c r="C197" s="3" t="s">
        <v>6882</v>
      </c>
      <c r="D197" s="3" t="s">
        <v>66</v>
      </c>
      <c r="E197" s="3">
        <v>12000</v>
      </c>
      <c r="F197" s="2" t="s">
        <v>67</v>
      </c>
      <c r="G197" s="3"/>
      <c r="H197" s="5"/>
      <c r="I197" s="3"/>
      <c r="J197" s="3"/>
      <c r="K197" t="s">
        <v>6883</v>
      </c>
      <c r="L197" t="str">
        <f t="shared" si="4"/>
        <v>VARCHAR(12000),</v>
      </c>
      <c r="N197" s="38" t="str">
        <f t="shared" si="5"/>
        <v>COMMENT ON COLUMN compass_sales_approval.summary_supplement_applicant_only IS '要旨補足（申請者専用）';</v>
      </c>
    </row>
    <row r="198" spans="1:14" ht="19.5" thickBot="1">
      <c r="A198" s="6"/>
      <c r="B198" s="6">
        <v>190</v>
      </c>
      <c r="C198" s="6" t="s">
        <v>6884</v>
      </c>
      <c r="D198" s="6" t="s">
        <v>66</v>
      </c>
      <c r="E198" s="6">
        <v>765</v>
      </c>
      <c r="F198" s="7" t="s">
        <v>67</v>
      </c>
      <c r="G198" s="6"/>
      <c r="H198" s="8"/>
      <c r="I198" s="6"/>
      <c r="J198" s="6"/>
      <c r="K198" t="s">
        <v>6885</v>
      </c>
      <c r="L198" t="str">
        <f t="shared" si="4"/>
        <v>VARCHAR(765),</v>
      </c>
      <c r="N198" s="38" t="str">
        <f t="shared" si="5"/>
        <v>COMMENT ON COLUMN compass_sales_approval.approval_date_and_time_unixtime IS '承認日時（UnixTime）';</v>
      </c>
    </row>
    <row r="199" spans="1:14" ht="19.5" thickBot="1">
      <c r="A199" s="3"/>
      <c r="B199" s="3">
        <v>191</v>
      </c>
      <c r="C199" s="3" t="s">
        <v>6886</v>
      </c>
      <c r="D199" s="3" t="s">
        <v>66</v>
      </c>
      <c r="E199" s="3">
        <v>12000</v>
      </c>
      <c r="F199" s="2" t="s">
        <v>67</v>
      </c>
      <c r="G199" s="3"/>
      <c r="H199" s="5"/>
      <c r="I199" s="3"/>
      <c r="J199" s="3"/>
      <c r="K199" t="s">
        <v>6887</v>
      </c>
      <c r="L199" t="str">
        <f t="shared" si="4"/>
        <v>VARCHAR(12000),</v>
      </c>
      <c r="N199" s="38" t="str">
        <f t="shared" si="5"/>
        <v>COMMENT ON COLUMN compass_sales_approval.comment_1 IS 'コメント１';</v>
      </c>
    </row>
    <row r="200" spans="1:14" ht="19.5" thickBot="1">
      <c r="A200" s="6"/>
      <c r="B200" s="6">
        <v>192</v>
      </c>
      <c r="C200" s="6" t="s">
        <v>6888</v>
      </c>
      <c r="D200" s="6" t="s">
        <v>66</v>
      </c>
      <c r="E200" s="6">
        <v>12000</v>
      </c>
      <c r="F200" s="7" t="s">
        <v>67</v>
      </c>
      <c r="G200" s="6"/>
      <c r="H200" s="8"/>
      <c r="I200" s="6"/>
      <c r="J200" s="6"/>
      <c r="K200" t="s">
        <v>6889</v>
      </c>
      <c r="L200" t="str">
        <f t="shared" si="4"/>
        <v>VARCHAR(12000),</v>
      </c>
      <c r="N200" s="38" t="str">
        <f t="shared" si="5"/>
        <v>COMMENT ON COLUMN compass_sales_approval.comment_2 IS 'コメント２';</v>
      </c>
    </row>
    <row r="201" spans="1:14" ht="19.5" thickBot="1">
      <c r="A201" s="3"/>
      <c r="B201" s="3">
        <v>193</v>
      </c>
      <c r="C201" s="3" t="s">
        <v>6890</v>
      </c>
      <c r="D201" s="3" t="s">
        <v>66</v>
      </c>
      <c r="E201" s="3">
        <v>12000</v>
      </c>
      <c r="F201" s="2" t="s">
        <v>67</v>
      </c>
      <c r="G201" s="3"/>
      <c r="H201" s="5"/>
      <c r="I201" s="3"/>
      <c r="J201" s="3"/>
      <c r="K201" t="s">
        <v>6891</v>
      </c>
      <c r="L201" t="str">
        <f t="shared" ref="L201:L223" si="6">D201&amp;"("&amp;E201&amp;"),"</f>
        <v>VARCHAR(12000),</v>
      </c>
      <c r="N201" s="38" t="str">
        <f t="shared" si="5"/>
        <v>COMMENT ON COLUMN compass_sales_approval.comment_3 IS 'コメント３';</v>
      </c>
    </row>
    <row r="202" spans="1:14" ht="19.5" thickBot="1">
      <c r="A202" s="6"/>
      <c r="B202" s="6">
        <v>194</v>
      </c>
      <c r="C202" s="6" t="s">
        <v>6892</v>
      </c>
      <c r="D202" s="6" t="s">
        <v>66</v>
      </c>
      <c r="E202" s="6">
        <v>12000</v>
      </c>
      <c r="F202" s="7" t="s">
        <v>67</v>
      </c>
      <c r="G202" s="6"/>
      <c r="H202" s="8"/>
      <c r="I202" s="6"/>
      <c r="J202" s="6"/>
      <c r="K202" t="s">
        <v>6893</v>
      </c>
      <c r="L202" t="str">
        <f t="shared" si="6"/>
        <v>VARCHAR(12000),</v>
      </c>
      <c r="N202" s="38" t="str">
        <f t="shared" ref="N202:N223" si="7">"COMMENT ON COLUMN "&amp;$K$3&amp;"."&amp;$K202&amp;" IS '"&amp;C202&amp;"';"</f>
        <v>COMMENT ON COLUMN compass_sales_approval.comment_4 IS 'コメント４';</v>
      </c>
    </row>
    <row r="203" spans="1:14" ht="19.5" thickBot="1">
      <c r="A203" s="3"/>
      <c r="B203" s="3">
        <v>195</v>
      </c>
      <c r="C203" s="3" t="s">
        <v>6894</v>
      </c>
      <c r="D203" s="3" t="s">
        <v>66</v>
      </c>
      <c r="E203" s="3">
        <v>12000</v>
      </c>
      <c r="F203" s="2" t="s">
        <v>67</v>
      </c>
      <c r="G203" s="3"/>
      <c r="H203" s="5"/>
      <c r="I203" s="3"/>
      <c r="J203" s="3"/>
      <c r="K203" t="s">
        <v>6895</v>
      </c>
      <c r="L203" t="str">
        <f t="shared" si="6"/>
        <v>VARCHAR(12000),</v>
      </c>
      <c r="N203" s="38" t="str">
        <f t="shared" si="7"/>
        <v>COMMENT ON COLUMN compass_sales_approval.comment_5 IS 'コメント５';</v>
      </c>
    </row>
    <row r="204" spans="1:14" ht="19.5" thickBot="1">
      <c r="A204" s="6"/>
      <c r="B204" s="6">
        <v>196</v>
      </c>
      <c r="C204" s="6" t="s">
        <v>6896</v>
      </c>
      <c r="D204" s="6" t="s">
        <v>66</v>
      </c>
      <c r="E204" s="6">
        <v>150</v>
      </c>
      <c r="F204" s="7" t="s">
        <v>67</v>
      </c>
      <c r="G204" s="6"/>
      <c r="H204" s="8"/>
      <c r="I204" s="6"/>
      <c r="J204" s="6"/>
      <c r="K204" t="s">
        <v>6897</v>
      </c>
      <c r="L204" t="str">
        <f t="shared" si="6"/>
        <v>VARCHAR(150),</v>
      </c>
      <c r="N204" s="38" t="str">
        <f t="shared" si="7"/>
        <v>COMMENT ON COLUMN compass_sales_approval.shared_email_address_1 IS '共有用メールアドレス①';</v>
      </c>
    </row>
    <row r="205" spans="1:14" ht="19.5" thickBot="1">
      <c r="A205" s="3"/>
      <c r="B205" s="3">
        <v>197</v>
      </c>
      <c r="C205" s="3" t="s">
        <v>6898</v>
      </c>
      <c r="D205" s="3" t="s">
        <v>66</v>
      </c>
      <c r="E205" s="3">
        <v>150</v>
      </c>
      <c r="F205" s="2" t="s">
        <v>67</v>
      </c>
      <c r="G205" s="3"/>
      <c r="H205" s="5"/>
      <c r="I205" s="3"/>
      <c r="J205" s="3"/>
      <c r="K205" t="s">
        <v>6899</v>
      </c>
      <c r="L205" t="str">
        <f t="shared" si="6"/>
        <v>VARCHAR(150),</v>
      </c>
      <c r="N205" s="38" t="str">
        <f t="shared" si="7"/>
        <v>COMMENT ON COLUMN compass_sales_approval.shared_email_address_2 IS '共有用メールアドレス②';</v>
      </c>
    </row>
    <row r="206" spans="1:14" ht="19.5" thickBot="1">
      <c r="A206" s="6"/>
      <c r="B206" s="6">
        <v>198</v>
      </c>
      <c r="C206" s="6" t="s">
        <v>6900</v>
      </c>
      <c r="D206" s="6" t="s">
        <v>66</v>
      </c>
      <c r="E206" s="6">
        <v>150</v>
      </c>
      <c r="F206" s="7" t="s">
        <v>67</v>
      </c>
      <c r="G206" s="6"/>
      <c r="H206" s="8"/>
      <c r="I206" s="6"/>
      <c r="J206" s="6"/>
      <c r="K206" t="s">
        <v>6901</v>
      </c>
      <c r="L206" t="str">
        <f t="shared" si="6"/>
        <v>VARCHAR(150),</v>
      </c>
      <c r="N206" s="38" t="str">
        <f t="shared" si="7"/>
        <v>COMMENT ON COLUMN compass_sales_approval.shared_email_address_3 IS '共有用メールアドレス③';</v>
      </c>
    </row>
    <row r="207" spans="1:14" ht="19.5" thickBot="1">
      <c r="A207" s="3"/>
      <c r="B207" s="3">
        <v>199</v>
      </c>
      <c r="C207" s="3" t="s">
        <v>6902</v>
      </c>
      <c r="D207" s="3" t="s">
        <v>66</v>
      </c>
      <c r="E207" s="3">
        <v>765</v>
      </c>
      <c r="F207" s="2" t="s">
        <v>67</v>
      </c>
      <c r="G207" s="3"/>
      <c r="H207" s="5"/>
      <c r="I207" s="3"/>
      <c r="J207" s="3"/>
      <c r="K207" t="s">
        <v>6903</v>
      </c>
      <c r="L207" t="str">
        <f t="shared" si="6"/>
        <v>VARCHAR(765),</v>
      </c>
      <c r="N207" s="38" t="str">
        <f t="shared" si="7"/>
        <v>COMMENT ON COLUMN compass_sales_approval.proposers_common_employee_id IS '起案者共通社員番号';</v>
      </c>
    </row>
    <row r="208" spans="1:14" ht="19.5" thickBot="1">
      <c r="A208" s="6"/>
      <c r="B208" s="6">
        <v>200</v>
      </c>
      <c r="C208" s="6" t="s">
        <v>6904</v>
      </c>
      <c r="D208" s="6" t="s">
        <v>66</v>
      </c>
      <c r="E208" s="6">
        <v>765</v>
      </c>
      <c r="F208" s="7" t="s">
        <v>67</v>
      </c>
      <c r="G208" s="6"/>
      <c r="H208" s="8"/>
      <c r="I208" s="6"/>
      <c r="J208" s="6"/>
      <c r="K208" t="s">
        <v>6905</v>
      </c>
      <c r="L208" t="str">
        <f t="shared" si="6"/>
        <v>VARCHAR(765),</v>
      </c>
      <c r="N208" s="38" t="str">
        <f t="shared" si="7"/>
        <v>COMMENT ON COLUMN compass_sales_approval.proposers_dept IS '起案者部署';</v>
      </c>
    </row>
    <row r="209" spans="1:14" ht="19.5" thickBot="1">
      <c r="A209" s="3"/>
      <c r="B209" s="3">
        <v>201</v>
      </c>
      <c r="C209" s="3" t="s">
        <v>6906</v>
      </c>
      <c r="D209" s="3" t="s">
        <v>66</v>
      </c>
      <c r="E209" s="3">
        <v>765</v>
      </c>
      <c r="F209" s="2" t="s">
        <v>67</v>
      </c>
      <c r="G209" s="3"/>
      <c r="H209" s="5"/>
      <c r="I209" s="3"/>
      <c r="J209" s="3"/>
      <c r="K209" t="s">
        <v>6907</v>
      </c>
      <c r="L209" t="str">
        <f t="shared" si="6"/>
        <v>VARCHAR(765),</v>
      </c>
      <c r="N209" s="38" t="str">
        <f t="shared" si="7"/>
        <v>COMMENT ON COLUMN compass_sales_approval.proposal_dept_org_code_headquarters IS '起案部署_組織コード(本部)';</v>
      </c>
    </row>
    <row r="210" spans="1:14" ht="19.5" thickBot="1">
      <c r="A210" s="6"/>
      <c r="B210" s="6">
        <v>202</v>
      </c>
      <c r="C210" s="6" t="s">
        <v>6908</v>
      </c>
      <c r="D210" s="6" t="s">
        <v>66</v>
      </c>
      <c r="E210" s="6">
        <v>765</v>
      </c>
      <c r="F210" s="7" t="s">
        <v>67</v>
      </c>
      <c r="G210" s="6"/>
      <c r="H210" s="8"/>
      <c r="I210" s="6"/>
      <c r="J210" s="6"/>
      <c r="K210" t="s">
        <v>6909</v>
      </c>
      <c r="L210" t="str">
        <f t="shared" si="6"/>
        <v>VARCHAR(765),</v>
      </c>
      <c r="N210" s="38" t="str">
        <f t="shared" si="7"/>
        <v>COMMENT ON COLUMN compass_sales_approval.proposal_dept_org_general_affairs_dept IS '起案部署_組織コード(統括部)';</v>
      </c>
    </row>
    <row r="211" spans="1:14" ht="19.5" thickBot="1">
      <c r="A211" s="3"/>
      <c r="B211" s="3">
        <v>203</v>
      </c>
      <c r="C211" s="3" t="s">
        <v>6910</v>
      </c>
      <c r="D211" s="3" t="s">
        <v>66</v>
      </c>
      <c r="E211" s="3">
        <v>765</v>
      </c>
      <c r="F211" s="2" t="s">
        <v>67</v>
      </c>
      <c r="G211" s="3"/>
      <c r="H211" s="5"/>
      <c r="I211" s="3"/>
      <c r="J211" s="3"/>
      <c r="K211" t="s">
        <v>6911</v>
      </c>
      <c r="L211" t="str">
        <f t="shared" si="6"/>
        <v>VARCHAR(765),</v>
      </c>
      <c r="N211" s="38" t="str">
        <f t="shared" si="7"/>
        <v>COMMENT ON COLUMN compass_sales_approval.proposal_dept_org_code_dept IS '起案部署_組織コード(部)';</v>
      </c>
    </row>
    <row r="212" spans="1:14" ht="19.5" thickBot="1">
      <c r="A212" s="6"/>
      <c r="B212" s="6">
        <v>204</v>
      </c>
      <c r="C212" s="6" t="s">
        <v>6912</v>
      </c>
      <c r="D212" s="6" t="s">
        <v>66</v>
      </c>
      <c r="E212" s="6">
        <v>765</v>
      </c>
      <c r="F212" s="7" t="s">
        <v>67</v>
      </c>
      <c r="G212" s="6"/>
      <c r="H212" s="8"/>
      <c r="I212" s="6"/>
      <c r="J212" s="6"/>
      <c r="K212" t="s">
        <v>6913</v>
      </c>
      <c r="L212" t="str">
        <f t="shared" si="6"/>
        <v>VARCHAR(765),</v>
      </c>
      <c r="N212" s="38" t="str">
        <f t="shared" si="7"/>
        <v>COMMENT ON COLUMN compass_sales_approval.applicants_group_name IS '申請者（グループ名）';</v>
      </c>
    </row>
    <row r="213" spans="1:14" ht="19.5" thickBot="1">
      <c r="A213" s="3"/>
      <c r="B213" s="3">
        <v>205</v>
      </c>
      <c r="C213" s="3" t="s">
        <v>6914</v>
      </c>
      <c r="D213" s="3" t="s">
        <v>66</v>
      </c>
      <c r="E213" s="3">
        <v>765</v>
      </c>
      <c r="F213" s="2" t="s">
        <v>67</v>
      </c>
      <c r="G213" s="3"/>
      <c r="H213" s="5"/>
      <c r="I213" s="3"/>
      <c r="J213" s="3"/>
      <c r="K213" t="s">
        <v>6915</v>
      </c>
      <c r="L213" t="str">
        <f t="shared" si="6"/>
        <v>VARCHAR(765),</v>
      </c>
      <c r="N213" s="38" t="str">
        <f t="shared" si="7"/>
        <v>COMMENT ON COLUMN compass_sales_approval.applicants_user_id IS '申請者（ユーザーID）';</v>
      </c>
    </row>
    <row r="214" spans="1:14" ht="19.5" thickBot="1">
      <c r="A214" s="6"/>
      <c r="B214" s="6">
        <v>206</v>
      </c>
      <c r="C214" s="6" t="s">
        <v>6916</v>
      </c>
      <c r="D214" s="6" t="s">
        <v>66</v>
      </c>
      <c r="E214" s="6">
        <v>765</v>
      </c>
      <c r="F214" s="7" t="s">
        <v>67</v>
      </c>
      <c r="G214" s="6"/>
      <c r="H214" s="8"/>
      <c r="I214" s="6"/>
      <c r="J214" s="6"/>
      <c r="K214" t="s">
        <v>6917</v>
      </c>
      <c r="L214" t="str">
        <f t="shared" si="6"/>
        <v>VARCHAR(765),</v>
      </c>
      <c r="N214" s="38" t="str">
        <f t="shared" si="7"/>
        <v>COMMENT ON COLUMN compass_sales_approval.applicants_user_name IS '申請者（ユーザー名）';</v>
      </c>
    </row>
    <row r="215" spans="1:14" ht="19.5" thickBot="1">
      <c r="A215" s="3"/>
      <c r="B215" s="3">
        <v>207</v>
      </c>
      <c r="C215" s="3" t="s">
        <v>6918</v>
      </c>
      <c r="D215" s="3" t="s">
        <v>66</v>
      </c>
      <c r="E215" s="3">
        <v>765</v>
      </c>
      <c r="F215" s="2" t="s">
        <v>67</v>
      </c>
      <c r="G215" s="3"/>
      <c r="H215" s="5"/>
      <c r="I215" s="3"/>
      <c r="J215" s="3"/>
      <c r="K215" t="s">
        <v>6919</v>
      </c>
      <c r="L215" t="str">
        <f t="shared" si="6"/>
        <v>VARCHAR(765),</v>
      </c>
      <c r="N215" s="38" t="str">
        <f t="shared" si="7"/>
        <v>COMMENT ON COLUMN compass_sales_approval.consenters_group_name IS '同意者（グループ名）';</v>
      </c>
    </row>
    <row r="216" spans="1:14" ht="19.5" thickBot="1">
      <c r="A216" s="6"/>
      <c r="B216" s="6">
        <v>208</v>
      </c>
      <c r="C216" s="6" t="s">
        <v>6920</v>
      </c>
      <c r="D216" s="6" t="s">
        <v>66</v>
      </c>
      <c r="E216" s="6">
        <v>765</v>
      </c>
      <c r="F216" s="7" t="s">
        <v>67</v>
      </c>
      <c r="G216" s="6"/>
      <c r="H216" s="8"/>
      <c r="I216" s="6"/>
      <c r="J216" s="6"/>
      <c r="K216" t="s">
        <v>6921</v>
      </c>
      <c r="L216" t="str">
        <f t="shared" si="6"/>
        <v>VARCHAR(765),</v>
      </c>
      <c r="N216" s="38" t="str">
        <f t="shared" si="7"/>
        <v>COMMENT ON COLUMN compass_sales_approval.consenters_user_id IS '同意者（ユーザーID）';</v>
      </c>
    </row>
    <row r="217" spans="1:14" ht="19.5" thickBot="1">
      <c r="A217" s="3"/>
      <c r="B217" s="3">
        <v>209</v>
      </c>
      <c r="C217" s="3" t="s">
        <v>6922</v>
      </c>
      <c r="D217" s="3" t="s">
        <v>66</v>
      </c>
      <c r="E217" s="3">
        <v>765</v>
      </c>
      <c r="F217" s="2" t="s">
        <v>67</v>
      </c>
      <c r="G217" s="3"/>
      <c r="H217" s="5"/>
      <c r="I217" s="3"/>
      <c r="J217" s="3"/>
      <c r="K217" t="s">
        <v>6923</v>
      </c>
      <c r="L217" t="str">
        <f t="shared" si="6"/>
        <v>VARCHAR(765),</v>
      </c>
      <c r="N217" s="38" t="str">
        <f t="shared" si="7"/>
        <v>COMMENT ON COLUMN compass_sales_approval.consenters_user_name IS '同意者（ユーザー名）';</v>
      </c>
    </row>
    <row r="218" spans="1:14" ht="19.5" thickBot="1">
      <c r="A218" s="6"/>
      <c r="B218" s="6">
        <v>210</v>
      </c>
      <c r="C218" s="6" t="s">
        <v>6924</v>
      </c>
      <c r="D218" s="6" t="s">
        <v>66</v>
      </c>
      <c r="E218" s="6">
        <v>765</v>
      </c>
      <c r="F218" s="7" t="s">
        <v>67</v>
      </c>
      <c r="G218" s="6"/>
      <c r="H218" s="8"/>
      <c r="I218" s="6"/>
      <c r="J218" s="6"/>
      <c r="K218" t="s">
        <v>6925</v>
      </c>
      <c r="L218" t="str">
        <f t="shared" si="6"/>
        <v>VARCHAR(765),</v>
      </c>
      <c r="N218" s="38" t="str">
        <f t="shared" si="7"/>
        <v>COMMENT ON COLUMN compass_sales_approval.approvers_layer IS '承認者のレイヤー';</v>
      </c>
    </row>
    <row r="219" spans="1:14" ht="19.5" thickBot="1">
      <c r="A219" s="3"/>
      <c r="B219" s="3">
        <v>211</v>
      </c>
      <c r="C219" s="3" t="s">
        <v>6926</v>
      </c>
      <c r="D219" s="3" t="s">
        <v>66</v>
      </c>
      <c r="E219" s="3">
        <v>765</v>
      </c>
      <c r="F219" s="2" t="s">
        <v>67</v>
      </c>
      <c r="G219" s="3"/>
      <c r="H219" s="5"/>
      <c r="I219" s="3"/>
      <c r="J219" s="3"/>
      <c r="K219" t="s">
        <v>6927</v>
      </c>
      <c r="L219" t="str">
        <f t="shared" si="6"/>
        <v>VARCHAR(765),</v>
      </c>
      <c r="N219" s="38" t="str">
        <f t="shared" si="7"/>
        <v>COMMENT ON COLUMN compass_sales_approval.approvers_group_name IS '承認者（グループ名）';</v>
      </c>
    </row>
    <row r="220" spans="1:14" ht="19.5" thickBot="1">
      <c r="A220" s="6"/>
      <c r="B220" s="6">
        <v>212</v>
      </c>
      <c r="C220" s="6" t="s">
        <v>6928</v>
      </c>
      <c r="D220" s="6" t="s">
        <v>66</v>
      </c>
      <c r="E220" s="6">
        <v>765</v>
      </c>
      <c r="F220" s="7" t="s">
        <v>67</v>
      </c>
      <c r="G220" s="6"/>
      <c r="H220" s="8"/>
      <c r="I220" s="6"/>
      <c r="J220" s="6"/>
      <c r="K220" t="s">
        <v>6929</v>
      </c>
      <c r="L220" t="str">
        <f t="shared" si="6"/>
        <v>VARCHAR(765),</v>
      </c>
      <c r="N220" s="38" t="str">
        <f t="shared" si="7"/>
        <v>COMMENT ON COLUMN compass_sales_approval.approvers_user_id IS '承認者（ユーザーID）';</v>
      </c>
    </row>
    <row r="221" spans="1:14" ht="19.5" thickBot="1">
      <c r="A221" s="3"/>
      <c r="B221" s="3">
        <v>213</v>
      </c>
      <c r="C221" s="3" t="s">
        <v>6930</v>
      </c>
      <c r="D221" s="3" t="s">
        <v>66</v>
      </c>
      <c r="E221" s="3">
        <v>765</v>
      </c>
      <c r="F221" s="2" t="s">
        <v>67</v>
      </c>
      <c r="G221" s="3"/>
      <c r="H221" s="5"/>
      <c r="I221" s="3"/>
      <c r="J221" s="3"/>
      <c r="K221" t="s">
        <v>6931</v>
      </c>
      <c r="L221" t="str">
        <f t="shared" si="6"/>
        <v>VARCHAR(765),</v>
      </c>
      <c r="N221" s="38" t="str">
        <f t="shared" si="7"/>
        <v>COMMENT ON COLUMN compass_sales_approval.approvers_user_name IS '承認者（ユーザー名）';</v>
      </c>
    </row>
    <row r="222" spans="1:14" ht="19.5" thickBot="1">
      <c r="A222" s="6"/>
      <c r="B222" s="6">
        <v>214</v>
      </c>
      <c r="C222" s="6" t="s">
        <v>5216</v>
      </c>
      <c r="D222" s="6" t="s">
        <v>66</v>
      </c>
      <c r="E222" s="6">
        <v>765</v>
      </c>
      <c r="F222" s="7" t="s">
        <v>67</v>
      </c>
      <c r="G222" s="6"/>
      <c r="H222" s="8"/>
      <c r="I222" s="6"/>
      <c r="J222" s="6"/>
      <c r="K222" t="s">
        <v>6932</v>
      </c>
      <c r="L222" t="str">
        <f t="shared" si="6"/>
        <v>VARCHAR(765),</v>
      </c>
      <c r="N222" s="38" t="str">
        <f t="shared" si="7"/>
        <v>COMMENT ON COLUMN compass_sales_approval.last_processing_date_and_time IS '最終処理日時';</v>
      </c>
    </row>
    <row r="223" spans="1:14" ht="19.5" thickBot="1">
      <c r="A223" s="3"/>
      <c r="B223" s="3">
        <v>215</v>
      </c>
      <c r="C223" s="3" t="s">
        <v>6933</v>
      </c>
      <c r="D223" s="3" t="s">
        <v>66</v>
      </c>
      <c r="E223" s="3">
        <v>12000</v>
      </c>
      <c r="F223" s="2" t="s">
        <v>67</v>
      </c>
      <c r="G223" s="3"/>
      <c r="H223" s="5"/>
      <c r="I223" s="3"/>
      <c r="J223" s="3"/>
      <c r="K223" t="s">
        <v>6934</v>
      </c>
      <c r="L223" t="str">
        <f t="shared" si="6"/>
        <v>VARCHAR(12000),</v>
      </c>
      <c r="N223" s="38" t="str">
        <f t="shared" si="7"/>
        <v>COMMENT ON COLUMN compass_sales_approval.approval_history IS '承認履歴';</v>
      </c>
    </row>
    <row r="224" spans="1:14">
      <c r="K224" t="str">
        <f>"CONSTRAINT pk_"&amp;K3&amp;" PRIMARY KEY (id));"</f>
        <v>CONSTRAINT pk_compass_sales_approval PRIMARY KEY (id));</v>
      </c>
    </row>
  </sheetData>
  <mergeCells count="2">
    <mergeCell ref="F4:J4"/>
    <mergeCell ref="F5:J5"/>
  </mergeCells>
  <phoneticPr fontId="2"/>
  <hyperlinks>
    <hyperlink ref="H9" r:id="rId1" display="https://tools.l2.dwh.sb-sys.info/userhelp/data/komoku" xr:uid="{85E3D873-9F02-47EE-81C2-3A893F539801}"/>
    <hyperlink ref="H10" r:id="rId2" display="https://tools.l2.dwh.sb-sys.info/userhelp/data/komoku" xr:uid="{6F4007ED-7FA5-4F7A-A4EE-56AAD1DF8301}"/>
    <hyperlink ref="H11" r:id="rId3" display="https://tools.l2.dwh.sb-sys.info/userhelp/data/komoku" xr:uid="{9C5877A8-8447-4508-BBBC-10EB6712550B}"/>
    <hyperlink ref="H12" r:id="rId4" display="https://tools.l2.dwh.sb-sys.info/userhelp/data/komoku" xr:uid="{03C9F569-2EB4-4DC1-9439-9880776D434D}"/>
    <hyperlink ref="H13" r:id="rId5" display="https://tools.l2.dwh.sb-sys.info/userhelp/data/komoku" xr:uid="{57A60170-3C5E-4C1C-ACB1-DAD4A98A0CEE}"/>
    <hyperlink ref="H14" r:id="rId6" display="https://tools.l2.dwh.sb-sys.info/userhelp/data/komoku" xr:uid="{1D8250B2-714F-4DE3-8AED-13EC2EA25601}"/>
    <hyperlink ref="H15" r:id="rId7" display="https://tools.l2.dwh.sb-sys.info/userhelp/data/komoku" xr:uid="{05F1A888-BF49-4EFD-BC51-8D52DBD772CB}"/>
    <hyperlink ref="H16" r:id="rId8" display="https://tools.l2.dwh.sb-sys.info/userhelp/data/komoku" xr:uid="{FFC8D28B-3BAE-413D-8079-B79ED8C2106F}"/>
    <hyperlink ref="H17" r:id="rId9" display="https://tools.l2.dwh.sb-sys.info/userhelp/data/komoku" xr:uid="{250C7D99-90E8-45E2-B264-A954AEDD442C}"/>
    <hyperlink ref="H18" r:id="rId10" display="https://tools.l2.dwh.sb-sys.info/userhelp/data/komoku" xr:uid="{CEE61EDF-3B1B-429D-AEEE-9D5801447F57}"/>
    <hyperlink ref="H19" r:id="rId11" display="https://tools.l2.dwh.sb-sys.info/userhelp/data/komoku" xr:uid="{386FB3A9-EC9A-451E-AA11-0039CBA10198}"/>
    <hyperlink ref="H20" r:id="rId12" display="https://tools.l2.dwh.sb-sys.info/userhelp/data/komoku" xr:uid="{DD152561-F3AE-4340-BCE2-508885376272}"/>
    <hyperlink ref="H21" r:id="rId13" display="https://tools.l2.dwh.sb-sys.info/userhelp/data/komoku" xr:uid="{0C676741-B5BA-423E-B102-FBBB47D45D45}"/>
    <hyperlink ref="H22" r:id="rId14" display="https://tools.l2.dwh.sb-sys.info/userhelp/data/komoku" xr:uid="{733C3674-139F-4806-AEBE-A33B29048C08}"/>
    <hyperlink ref="H23" r:id="rId15" display="https://tools.l2.dwh.sb-sys.info/userhelp/data/komoku" xr:uid="{2994FD31-54AF-4E1C-BB43-62925CC035C7}"/>
    <hyperlink ref="H24" r:id="rId16" display="https://tools.l2.dwh.sb-sys.info/userhelp/data/komoku" xr:uid="{046F8A37-D945-4738-A26C-27799D72E5E6}"/>
    <hyperlink ref="H25" r:id="rId17" display="https://tools.l2.dwh.sb-sys.info/userhelp/data/komoku" xr:uid="{A5D1679D-525F-46AD-93FC-7CA1B9F8A695}"/>
    <hyperlink ref="H26" r:id="rId18" display="https://tools.l2.dwh.sb-sys.info/userhelp/data/komoku" xr:uid="{A1BE4948-CF59-4466-B5F2-7BA319441DA5}"/>
    <hyperlink ref="H27" r:id="rId19" display="https://tools.l2.dwh.sb-sys.info/userhelp/data/komoku" xr:uid="{0394F300-DBBB-4E2F-8FA8-842FA783E1A2}"/>
    <hyperlink ref="H28" r:id="rId20" display="https://tools.l2.dwh.sb-sys.info/userhelp/data/komoku" xr:uid="{40E3F750-44B7-4BDE-BB4D-46CD98988880}"/>
    <hyperlink ref="H29" r:id="rId21" display="https://tools.l2.dwh.sb-sys.info/userhelp/data/komoku" xr:uid="{9398C48D-1094-4899-9C21-F800D5A98C1C}"/>
    <hyperlink ref="H30" r:id="rId22" display="https://tools.l2.dwh.sb-sys.info/userhelp/data/komoku" xr:uid="{1553F1A1-2DFA-4B1E-90DC-B9C4F7F86687}"/>
    <hyperlink ref="H31" r:id="rId23" display="https://tools.l2.dwh.sb-sys.info/userhelp/data/komoku" xr:uid="{D306E133-32B3-4F61-8ADF-FE3AEB75AF84}"/>
    <hyperlink ref="H32" r:id="rId24" display="https://tools.l2.dwh.sb-sys.info/userhelp/data/komoku" xr:uid="{7D510182-939D-4C33-9444-0E83C91B0E21}"/>
    <hyperlink ref="H33" r:id="rId25" display="https://tools.l2.dwh.sb-sys.info/userhelp/data/komoku" xr:uid="{96109697-F20F-4D52-BA3E-9C159FEE5536}"/>
    <hyperlink ref="H34" r:id="rId26" display="https://tools.l2.dwh.sb-sys.info/userhelp/data/komoku" xr:uid="{4AED016D-3833-41A4-962E-D62D6C0CE4DB}"/>
    <hyperlink ref="H35" r:id="rId27" display="https://tools.l2.dwh.sb-sys.info/userhelp/data/komoku" xr:uid="{78B06D84-3F75-4AE1-B356-D035BB6BC755}"/>
    <hyperlink ref="H36" r:id="rId28" display="https://tools.l2.dwh.sb-sys.info/userhelp/data/komoku" xr:uid="{E3F5A2C8-3FE4-4DB1-AB3F-805A17556B0C}"/>
    <hyperlink ref="H37" r:id="rId29" display="https://tools.l2.dwh.sb-sys.info/userhelp/data/komoku" xr:uid="{0B19522F-1083-4C15-970F-210DC6177A25}"/>
    <hyperlink ref="H38" r:id="rId30" display="https://tools.l2.dwh.sb-sys.info/userhelp/data/komoku" xr:uid="{16C44E0C-92AE-490C-881A-ED1DC113D824}"/>
    <hyperlink ref="H39" r:id="rId31" display="https://tools.l2.dwh.sb-sys.info/userhelp/data/komoku" xr:uid="{6D9E8877-0662-4FAE-B4E1-9BA1A36C3CAD}"/>
    <hyperlink ref="H40" r:id="rId32" display="https://tools.l2.dwh.sb-sys.info/userhelp/data/komoku" xr:uid="{2C179272-3A4A-4E7A-B635-F16E5C7734BB}"/>
    <hyperlink ref="H41" r:id="rId33" display="https://tools.l2.dwh.sb-sys.info/userhelp/data/komoku" xr:uid="{2D967EC1-E744-474B-ACA8-57029F72645A}"/>
    <hyperlink ref="H42" r:id="rId34" display="https://tools.l2.dwh.sb-sys.info/userhelp/data/komoku" xr:uid="{75B41B69-A935-4A6C-B8C2-D333D3FFBEBE}"/>
    <hyperlink ref="H43" r:id="rId35" display="https://tools.l2.dwh.sb-sys.info/userhelp/data/komoku" xr:uid="{4904C62E-A76A-41AD-B74E-72B168757326}"/>
    <hyperlink ref="H44" r:id="rId36" display="https://tools.l2.dwh.sb-sys.info/userhelp/data/komoku" xr:uid="{7488F3A9-6024-4A0A-9C4F-DEB07147EFC1}"/>
    <hyperlink ref="H45" r:id="rId37" display="https://tools.l2.dwh.sb-sys.info/userhelp/data/komoku" xr:uid="{004EE93F-C633-4B6B-9D53-881AB7910209}"/>
    <hyperlink ref="H46" r:id="rId38" display="https://tools.l2.dwh.sb-sys.info/userhelp/data/komoku" xr:uid="{C9A81BF0-C1CA-4046-B8CD-BCE00FD1A4DC}"/>
    <hyperlink ref="H47" r:id="rId39" display="https://tools.l2.dwh.sb-sys.info/userhelp/data/komoku" xr:uid="{45BC068F-65BB-40B9-AC75-81C83A2D53FC}"/>
    <hyperlink ref="H48" r:id="rId40" display="https://tools.l2.dwh.sb-sys.info/userhelp/data/komoku" xr:uid="{F007AE53-08E7-46C4-AC2B-CEE9D7B3DD17}"/>
    <hyperlink ref="H49" r:id="rId41" display="https://tools.l2.dwh.sb-sys.info/userhelp/data/komoku" xr:uid="{8DA87916-D45A-492B-9579-AC406C1A3A79}"/>
    <hyperlink ref="H50" r:id="rId42" display="https://tools.l2.dwh.sb-sys.info/userhelp/data/komoku" xr:uid="{23995FCD-54F6-4990-A749-C42ECF166E2D}"/>
    <hyperlink ref="H51" r:id="rId43" display="https://tools.l2.dwh.sb-sys.info/userhelp/data/komoku" xr:uid="{18A00462-4B69-4B5B-A50F-28CF05357D45}"/>
    <hyperlink ref="H52" r:id="rId44" display="https://tools.l2.dwh.sb-sys.info/userhelp/data/komoku" xr:uid="{3B8EB7D7-1963-4EDF-AE7C-BC98E821D530}"/>
    <hyperlink ref="H53" r:id="rId45" display="https://tools.l2.dwh.sb-sys.info/userhelp/data/komoku" xr:uid="{A972514F-FDF3-4814-9077-4A9803695C4E}"/>
    <hyperlink ref="H54" r:id="rId46" display="https://tools.l2.dwh.sb-sys.info/userhelp/data/komoku" xr:uid="{6513B1EF-B302-4750-B606-52041F28C93C}"/>
    <hyperlink ref="H55" r:id="rId47" display="https://tools.l2.dwh.sb-sys.info/userhelp/data/komoku" xr:uid="{4BB067FF-3457-4C80-A310-6A1BA621CB1A}"/>
    <hyperlink ref="H56" r:id="rId48" display="https://tools.l2.dwh.sb-sys.info/userhelp/data/komoku" xr:uid="{D80655DF-8171-43BE-AA73-83291E8E290D}"/>
    <hyperlink ref="H57" r:id="rId49" display="https://tools.l2.dwh.sb-sys.info/userhelp/data/komoku" xr:uid="{F6D97EE5-41F8-49AE-A93D-966E5BD0A3E0}"/>
    <hyperlink ref="H58" r:id="rId50" display="https://tools.l2.dwh.sb-sys.info/userhelp/data/komoku" xr:uid="{1E52B603-DA02-41DF-95A3-2CC19CDEA097}"/>
    <hyperlink ref="H59" r:id="rId51" display="https://tools.l2.dwh.sb-sys.info/userhelp/data/komoku" xr:uid="{62535F7A-0E8C-4D7E-ADD2-3FCED7A383C5}"/>
    <hyperlink ref="H60" r:id="rId52" display="https://tools.l2.dwh.sb-sys.info/userhelp/data/komoku" xr:uid="{D6F557D3-793F-42F8-8FA4-8FEE8B56F9DA}"/>
    <hyperlink ref="H61" r:id="rId53" display="https://tools.l2.dwh.sb-sys.info/userhelp/data/komoku" xr:uid="{70C14017-9B7F-4029-A202-0BA0EB4C1024}"/>
    <hyperlink ref="H62" r:id="rId54" display="https://tools.l2.dwh.sb-sys.info/userhelp/data/komoku" xr:uid="{9EB1680F-27AA-4159-A52E-43C7E90F1C6C}"/>
    <hyperlink ref="H63" r:id="rId55" display="https://tools.l2.dwh.sb-sys.info/userhelp/data/komoku" xr:uid="{48F00210-D6C2-403A-844B-8473649A6294}"/>
    <hyperlink ref="H64" r:id="rId56" display="https://tools.l2.dwh.sb-sys.info/userhelp/data/komoku" xr:uid="{5ABEF01E-4346-41D6-AC0C-C52F64ED743A}"/>
    <hyperlink ref="H65" r:id="rId57" display="https://tools.l2.dwh.sb-sys.info/userhelp/data/komoku" xr:uid="{DC50490B-FFD0-4849-8FC5-D45B4E091C22}"/>
    <hyperlink ref="H66" r:id="rId58" display="https://tools.l2.dwh.sb-sys.info/userhelp/data/komoku" xr:uid="{95165040-2D2E-40A7-B1BC-99068E4087F4}"/>
    <hyperlink ref="H67" r:id="rId59" display="https://tools.l2.dwh.sb-sys.info/userhelp/data/komoku" xr:uid="{7B69BA9F-A522-45BC-8954-5BE9675210B9}"/>
    <hyperlink ref="H68" r:id="rId60" display="https://tools.l2.dwh.sb-sys.info/userhelp/data/komoku" xr:uid="{71BFE228-6B7E-4374-B10C-E15EC7CA44D5}"/>
    <hyperlink ref="H69" r:id="rId61" display="https://tools.l2.dwh.sb-sys.info/userhelp/data/komoku" xr:uid="{BE1984DB-75BF-4522-B6B1-DBC247CEEACF}"/>
    <hyperlink ref="H70" r:id="rId62" display="https://tools.l2.dwh.sb-sys.info/userhelp/data/komoku" xr:uid="{0751E055-0B99-4478-802C-6BB63E3B0EF8}"/>
    <hyperlink ref="H71" r:id="rId63" display="https://tools.l2.dwh.sb-sys.info/userhelp/data/komoku" xr:uid="{20D44532-1BA4-4E71-95E7-7385EB6DFEE5}"/>
    <hyperlink ref="H72" r:id="rId64" display="https://tools.l2.dwh.sb-sys.info/userhelp/data/komoku" xr:uid="{41DBEB0B-8322-4478-B1FA-2E9AB8ED6FE6}"/>
    <hyperlink ref="H73" r:id="rId65" display="https://tools.l2.dwh.sb-sys.info/userhelp/data/komoku" xr:uid="{9051F9DE-8F2D-44B2-9B18-C6999C36819C}"/>
    <hyperlink ref="H74" r:id="rId66" display="https://tools.l2.dwh.sb-sys.info/userhelp/data/komoku" xr:uid="{089B51A3-69CD-43A0-9403-A91FEFDCAC51}"/>
    <hyperlink ref="H75" r:id="rId67" display="https://tools.l2.dwh.sb-sys.info/userhelp/data/komoku" xr:uid="{9947690D-1B22-4584-AD6B-AEC24B6F6CA0}"/>
    <hyperlink ref="H76" r:id="rId68" display="https://tools.l2.dwh.sb-sys.info/userhelp/data/komoku" xr:uid="{D40338BD-ED7B-41A6-BB39-C51C4B3EE916}"/>
    <hyperlink ref="H77" r:id="rId69" display="https://tools.l2.dwh.sb-sys.info/userhelp/data/komoku" xr:uid="{716C8876-1B27-4EED-BCF8-FAD3623F32AC}"/>
    <hyperlink ref="H78" r:id="rId70" display="https://tools.l2.dwh.sb-sys.info/userhelp/data/komoku" xr:uid="{27E1AD4A-D24E-4958-B4BE-930D8C50B96E}"/>
    <hyperlink ref="H79" r:id="rId71" display="https://tools.l2.dwh.sb-sys.info/userhelp/data/komoku" xr:uid="{40475AB7-549F-45A2-BE0C-80C1021C595F}"/>
    <hyperlink ref="H80" r:id="rId72" display="https://tools.l2.dwh.sb-sys.info/userhelp/data/komoku" xr:uid="{EBA9E96C-8A3A-44D8-83E6-9AC35B8FD278}"/>
    <hyperlink ref="H81" r:id="rId73" display="https://tools.l2.dwh.sb-sys.info/userhelp/data/komoku" xr:uid="{8ECD6254-F053-40A2-BA52-F7668E0F4BA1}"/>
    <hyperlink ref="H82" r:id="rId74" display="https://tools.l2.dwh.sb-sys.info/userhelp/data/komoku" xr:uid="{96DF415F-06CB-4DA0-A1C8-3C6B2FB1214A}"/>
    <hyperlink ref="H83" r:id="rId75" display="https://tools.l2.dwh.sb-sys.info/userhelp/data/komoku" xr:uid="{B7274AD3-8D79-40AB-ACC3-D0430B8206E5}"/>
    <hyperlink ref="H84" r:id="rId76" display="https://tools.l2.dwh.sb-sys.info/userhelp/data/komoku" xr:uid="{D98CF8AE-F4B5-4AF9-8C84-DE3509F71231}"/>
    <hyperlink ref="H85" r:id="rId77" display="https://tools.l2.dwh.sb-sys.info/userhelp/data/komoku" xr:uid="{F60A3EA5-808B-41F3-B36A-BC686A5925DC}"/>
    <hyperlink ref="H86" r:id="rId78" display="https://tools.l2.dwh.sb-sys.info/userhelp/data/komoku" xr:uid="{A2C07630-35CF-4F13-9FC0-E8B91EB5C5AD}"/>
    <hyperlink ref="H87" r:id="rId79" display="https://tools.l2.dwh.sb-sys.info/userhelp/data/komoku" xr:uid="{0E766B7B-D97D-4CC8-A190-E49625DC8436}"/>
    <hyperlink ref="H88" r:id="rId80" display="https://tools.l2.dwh.sb-sys.info/userhelp/data/komoku" xr:uid="{6827EE25-20C4-4E98-93BB-E06F1E638C8C}"/>
    <hyperlink ref="H89" r:id="rId81" display="https://tools.l2.dwh.sb-sys.info/userhelp/data/komoku" xr:uid="{5C4810F6-D39C-49A2-B6F6-DAC8D88E76E6}"/>
    <hyperlink ref="H90" r:id="rId82" display="https://tools.l2.dwh.sb-sys.info/userhelp/data/komoku" xr:uid="{BC639CFA-B4EC-47F7-9F56-EAD9E8E568C4}"/>
    <hyperlink ref="H91" r:id="rId83" display="https://tools.l2.dwh.sb-sys.info/userhelp/data/komoku" xr:uid="{95ABE001-A66F-4950-AEDB-92CCBEA4EDE4}"/>
    <hyperlink ref="H92" r:id="rId84" display="https://tools.l2.dwh.sb-sys.info/userhelp/data/komoku" xr:uid="{E54610D1-43A0-4DAB-924C-3519DCC18C08}"/>
    <hyperlink ref="H93" r:id="rId85" display="https://tools.l2.dwh.sb-sys.info/userhelp/data/komoku" xr:uid="{53249B1F-CDC6-453D-BC25-50C8461248C4}"/>
    <hyperlink ref="H94" r:id="rId86" display="https://tools.l2.dwh.sb-sys.info/userhelp/data/komoku" xr:uid="{6CC6859D-94E0-40EA-907A-9035C7F157BF}"/>
    <hyperlink ref="H95" r:id="rId87" display="https://tools.l2.dwh.sb-sys.info/userhelp/data/komoku" xr:uid="{C1A0DBBB-0598-42F1-B938-5E1A8E8C0068}"/>
    <hyperlink ref="H96" r:id="rId88" display="https://tools.l2.dwh.sb-sys.info/userhelp/data/komoku" xr:uid="{4CFCA5A8-9002-46B4-BAA4-F90E65C7BA05}"/>
    <hyperlink ref="H97" r:id="rId89" display="https://tools.l2.dwh.sb-sys.info/userhelp/data/komoku" xr:uid="{694A146B-3879-468A-96CC-BF792A01907A}"/>
    <hyperlink ref="H98" r:id="rId90" display="https://tools.l2.dwh.sb-sys.info/userhelp/data/komoku" xr:uid="{993EDAE0-C28C-425A-A1FB-3104E22DD57C}"/>
    <hyperlink ref="H99" r:id="rId91" display="https://tools.l2.dwh.sb-sys.info/userhelp/data/komoku" xr:uid="{BD923456-156E-41B7-A8DF-8F18EA73C6E2}"/>
    <hyperlink ref="H100" r:id="rId92" display="https://tools.l2.dwh.sb-sys.info/userhelp/data/komoku" xr:uid="{6606E5CB-D363-4AE8-9216-7D3D8786BA64}"/>
    <hyperlink ref="H101" r:id="rId93" display="https://tools.l2.dwh.sb-sys.info/userhelp/data/komoku" xr:uid="{13B3E8E9-B95B-4A78-BD69-C6268EB5F9E0}"/>
    <hyperlink ref="H102" r:id="rId94" display="https://tools.l2.dwh.sb-sys.info/userhelp/data/komoku" xr:uid="{ED9ED5D7-FA79-46BB-BA3A-7655700F7545}"/>
    <hyperlink ref="H103" r:id="rId95" display="https://tools.l2.dwh.sb-sys.info/userhelp/data/komoku" xr:uid="{8C17F840-DDCE-49AA-8472-D9A1BD387F44}"/>
    <hyperlink ref="H104" r:id="rId96" display="https://tools.l2.dwh.sb-sys.info/userhelp/data/komoku" xr:uid="{0361B8C0-8304-41B2-B3B3-48EABF6435F6}"/>
    <hyperlink ref="H105" r:id="rId97" display="https://tools.l2.dwh.sb-sys.info/userhelp/data/komoku" xr:uid="{EE235660-DC6C-4B96-BB37-8A4F461E0204}"/>
    <hyperlink ref="H106" r:id="rId98" display="https://tools.l2.dwh.sb-sys.info/userhelp/data/komoku" xr:uid="{A28BCC96-9096-423B-80B4-47A63B225081}"/>
    <hyperlink ref="H107" r:id="rId99" display="https://tools.l2.dwh.sb-sys.info/userhelp/data/komoku" xr:uid="{B3A8C9E0-451A-4A90-B14E-ACB80D8072BE}"/>
    <hyperlink ref="H108" r:id="rId100" display="https://tools.l2.dwh.sb-sys.info/userhelp/data/komoku" xr:uid="{23843DA6-2155-43DD-B712-76F604B68A73}"/>
    <hyperlink ref="H109" r:id="rId101" display="https://tools.l2.dwh.sb-sys.info/userhelp/data/komoku" xr:uid="{95B5328C-40C8-43BE-82D6-CBD6F8BF7112}"/>
    <hyperlink ref="H110" r:id="rId102" display="https://tools.l2.dwh.sb-sys.info/userhelp/data/komoku" xr:uid="{E8FA6783-4AD2-4D7D-A74F-EAC805E4E35F}"/>
    <hyperlink ref="H111" r:id="rId103" display="https://tools.l2.dwh.sb-sys.info/userhelp/data/komoku" xr:uid="{C905D859-87E6-41F7-9B0B-92E74EF849A8}"/>
    <hyperlink ref="H112" r:id="rId104" display="https://tools.l2.dwh.sb-sys.info/userhelp/data/komoku" xr:uid="{A4B9E1A9-6B26-491C-8ED8-D195923EA8BC}"/>
    <hyperlink ref="H113" r:id="rId105" display="https://tools.l2.dwh.sb-sys.info/userhelp/data/komoku" xr:uid="{64B6DABB-015E-4D00-9E90-7D781304C811}"/>
    <hyperlink ref="H114" r:id="rId106" display="https://tools.l2.dwh.sb-sys.info/userhelp/data/komoku" xr:uid="{0726557F-27E7-4C08-9B18-DDF2CA96A40B}"/>
    <hyperlink ref="H115" r:id="rId107" display="https://tools.l2.dwh.sb-sys.info/userhelp/data/komoku" xr:uid="{D4EBA819-1882-4519-A0F2-722A9445DF04}"/>
    <hyperlink ref="H116" r:id="rId108" display="https://tools.l2.dwh.sb-sys.info/userhelp/data/komoku" xr:uid="{70DF1F0C-92E5-45F7-90FA-93D4625CC195}"/>
    <hyperlink ref="H117" r:id="rId109" display="https://tools.l2.dwh.sb-sys.info/userhelp/data/komoku" xr:uid="{1AD9F937-EB48-4E71-8750-D2A2ADAEA1E9}"/>
    <hyperlink ref="H118" r:id="rId110" display="https://tools.l2.dwh.sb-sys.info/userhelp/data/komoku" xr:uid="{A200D9C7-2907-4BE0-81FC-5083FDF8C01C}"/>
    <hyperlink ref="H119" r:id="rId111" display="https://tools.l2.dwh.sb-sys.info/userhelp/data/komoku" xr:uid="{6DD64B10-C9F5-4787-BC1D-813C5E273549}"/>
    <hyperlink ref="H120" r:id="rId112" display="https://tools.l2.dwh.sb-sys.info/userhelp/data/komoku" xr:uid="{1B0C3804-723C-47CE-BDF5-2668DFDB716C}"/>
    <hyperlink ref="H121" r:id="rId113" display="https://tools.l2.dwh.sb-sys.info/userhelp/data/komoku" xr:uid="{35910B02-CF87-43E4-A864-E10551CD9698}"/>
    <hyperlink ref="H122" r:id="rId114" display="https://tools.l2.dwh.sb-sys.info/userhelp/data/komoku" xr:uid="{F3941C0F-1EE2-478C-A3AA-E9069A16D6B1}"/>
    <hyperlink ref="H123" r:id="rId115" display="https://tools.l2.dwh.sb-sys.info/userhelp/data/komoku" xr:uid="{80D25CA3-0CA8-4434-BE25-05C12023362C}"/>
    <hyperlink ref="H124" r:id="rId116" display="https://tools.l2.dwh.sb-sys.info/userhelp/data/komoku" xr:uid="{187E3AA7-2637-4A67-A363-52E0CAF2B41D}"/>
    <hyperlink ref="H125" r:id="rId117" display="https://tools.l2.dwh.sb-sys.info/userhelp/data/komoku" xr:uid="{41D0BABE-CD18-49A1-A946-6480790E5B37}"/>
    <hyperlink ref="H126" r:id="rId118" display="https://tools.l2.dwh.sb-sys.info/userhelp/data/komoku" xr:uid="{0B23A8D5-3AA4-4BFD-A5B7-2AA1BCC7ACC3}"/>
    <hyperlink ref="H127" r:id="rId119" display="https://tools.l2.dwh.sb-sys.info/userhelp/data/komoku" xr:uid="{EF069EA6-139D-41A9-8EDD-43F9B3416D0F}"/>
    <hyperlink ref="H128" r:id="rId120" display="https://tools.l2.dwh.sb-sys.info/userhelp/data/komoku" xr:uid="{4DE71792-0B11-495F-B58A-369D9F617656}"/>
    <hyperlink ref="H129" r:id="rId121" display="https://tools.l2.dwh.sb-sys.info/userhelp/data/komoku" xr:uid="{871FE1D0-14C1-4FA5-80D5-3A1A31D1DA38}"/>
    <hyperlink ref="H130" r:id="rId122" display="https://tools.l2.dwh.sb-sys.info/userhelp/data/komoku" xr:uid="{1B11DBB7-2648-443D-8FC6-8C03FF83DDE6}"/>
    <hyperlink ref="H131" r:id="rId123" display="https://tools.l2.dwh.sb-sys.info/userhelp/data/komoku" xr:uid="{8489B8D1-2DF3-4178-AAE5-28773AE24043}"/>
    <hyperlink ref="H132" r:id="rId124" display="https://tools.l2.dwh.sb-sys.info/userhelp/data/komoku" xr:uid="{20A14836-BD1F-4959-9D60-B40E8ACAF1F9}"/>
    <hyperlink ref="H133" r:id="rId125" display="https://tools.l2.dwh.sb-sys.info/userhelp/data/komoku" xr:uid="{1F321171-6467-43C9-83EA-7FF83ED123E0}"/>
    <hyperlink ref="H134" r:id="rId126" display="https://tools.l2.dwh.sb-sys.info/userhelp/data/komoku" xr:uid="{914EAC20-4382-4F6C-B6C4-353AA7F8B39F}"/>
    <hyperlink ref="H135" r:id="rId127" display="https://tools.l2.dwh.sb-sys.info/userhelp/data/komoku" xr:uid="{B0794971-D7F6-4387-895C-424CF26A3022}"/>
    <hyperlink ref="H136" r:id="rId128" display="https://tools.l2.dwh.sb-sys.info/userhelp/data/komoku" xr:uid="{659EAEAD-E4B3-4BDB-B63B-FB4112C79755}"/>
    <hyperlink ref="H137" r:id="rId129" display="https://tools.l2.dwh.sb-sys.info/userhelp/data/komoku" xr:uid="{EFBE1D0B-F81D-46C9-A3AF-E1B294DFB658}"/>
    <hyperlink ref="H138" r:id="rId130" display="https://tools.l2.dwh.sb-sys.info/userhelp/data/komoku" xr:uid="{07566653-3B49-4039-9960-338A05BCC415}"/>
    <hyperlink ref="H139" r:id="rId131" display="https://tools.l2.dwh.sb-sys.info/userhelp/data/komoku" xr:uid="{57507EE9-E261-44F3-BBF6-E85B2FBB3F92}"/>
    <hyperlink ref="H140" r:id="rId132" display="https://tools.l2.dwh.sb-sys.info/userhelp/data/komoku" xr:uid="{5150D54A-7388-4EE6-B1C1-0E6D93653C3B}"/>
    <hyperlink ref="H141" r:id="rId133" display="https://tools.l2.dwh.sb-sys.info/userhelp/data/komoku" xr:uid="{CD23E2B1-414D-4397-8F60-5218BDE3C7CB}"/>
    <hyperlink ref="H142" r:id="rId134" display="https://tools.l2.dwh.sb-sys.info/userhelp/data/komoku" xr:uid="{A9F7D1D2-A0DF-46A4-864B-5C7FF7B15888}"/>
    <hyperlink ref="H143" r:id="rId135" display="https://tools.l2.dwh.sb-sys.info/userhelp/data/komoku" xr:uid="{D2AE2395-3E82-4F29-BBC0-D25A23E5C7BE}"/>
    <hyperlink ref="H144" r:id="rId136" display="https://tools.l2.dwh.sb-sys.info/userhelp/data/komoku" xr:uid="{45A16FDB-8749-4DE2-9D7A-68621EAC7B76}"/>
    <hyperlink ref="H145" r:id="rId137" display="https://tools.l2.dwh.sb-sys.info/userhelp/data/komoku" xr:uid="{2228D8A0-54F7-4A18-BAA2-24E44C05D99B}"/>
    <hyperlink ref="H146" r:id="rId138" display="https://tools.l2.dwh.sb-sys.info/userhelp/data/komoku" xr:uid="{D246A355-614E-43B9-855F-CEF6B0AD52D9}"/>
    <hyperlink ref="H147" r:id="rId139" display="https://tools.l2.dwh.sb-sys.info/userhelp/data/komoku" xr:uid="{F333DB51-9671-4BE9-94FB-C507DAF58107}"/>
    <hyperlink ref="H148" r:id="rId140" display="https://tools.l2.dwh.sb-sys.info/userhelp/data/komoku" xr:uid="{5E6F7598-D828-44AB-83B3-3AD880C83E5E}"/>
    <hyperlink ref="H149" r:id="rId141" display="https://tools.l2.dwh.sb-sys.info/userhelp/data/komoku" xr:uid="{FAD1170D-ABCE-4A95-8192-8DAC7947617E}"/>
    <hyperlink ref="H150" r:id="rId142" display="https://tools.l2.dwh.sb-sys.info/userhelp/data/komoku" xr:uid="{38FE4941-7370-4358-9305-4640B4A9DB0F}"/>
    <hyperlink ref="H151" r:id="rId143" display="https://tools.l2.dwh.sb-sys.info/userhelp/data/komoku" xr:uid="{1B041840-8ED0-4CBC-872D-26D0632AED24}"/>
    <hyperlink ref="H152" r:id="rId144" display="https://tools.l2.dwh.sb-sys.info/userhelp/data/komoku" xr:uid="{5C47EEFF-24DE-4FA7-B5BE-CDE284C04BF5}"/>
    <hyperlink ref="H153" r:id="rId145" display="https://tools.l2.dwh.sb-sys.info/userhelp/data/komoku" xr:uid="{CC4EF142-8A29-42D7-942B-2D04FA0EC1A8}"/>
    <hyperlink ref="H154" r:id="rId146" display="https://tools.l2.dwh.sb-sys.info/userhelp/data/komoku" xr:uid="{97996214-7C94-4C37-8097-78D7AA08764B}"/>
    <hyperlink ref="H155" r:id="rId147" display="https://tools.l2.dwh.sb-sys.info/userhelp/data/komoku" xr:uid="{F81D393E-5C6D-4971-983E-177368A9497E}"/>
    <hyperlink ref="H156" r:id="rId148" display="https://tools.l2.dwh.sb-sys.info/userhelp/data/komoku" xr:uid="{F005AD9E-D0E1-4390-AA75-E96675179CDC}"/>
    <hyperlink ref="H157" r:id="rId149" display="https://tools.l2.dwh.sb-sys.info/userhelp/data/komoku" xr:uid="{4EAD10FD-BC14-4C4F-A00C-464719ED7AA7}"/>
    <hyperlink ref="H158" r:id="rId150" display="https://tools.l2.dwh.sb-sys.info/userhelp/data/komoku" xr:uid="{78B1992B-C98F-4461-97EF-938190606B6C}"/>
    <hyperlink ref="H159" r:id="rId151" display="https://tools.l2.dwh.sb-sys.info/userhelp/data/komoku" xr:uid="{8F2922BE-E04A-45CF-887F-C5095B2EE74B}"/>
    <hyperlink ref="H160" r:id="rId152" display="https://tools.l2.dwh.sb-sys.info/userhelp/data/komoku" xr:uid="{C4C6223E-E622-419A-8A3D-4687BEFA680F}"/>
    <hyperlink ref="H161" r:id="rId153" display="https://tools.l2.dwh.sb-sys.info/userhelp/data/komoku" xr:uid="{E3FDF6C1-187C-4F30-A4D3-5C15B87F1359}"/>
    <hyperlink ref="H162" r:id="rId154" display="https://tools.l2.dwh.sb-sys.info/userhelp/data/komoku" xr:uid="{082D9C66-E7D8-4129-BA62-A89162CADBD3}"/>
    <hyperlink ref="H163" r:id="rId155" display="https://tools.l2.dwh.sb-sys.info/userhelp/data/komoku" xr:uid="{694EDD1A-7792-47DC-AA24-923C990F3420}"/>
    <hyperlink ref="H164" r:id="rId156" display="https://tools.l2.dwh.sb-sys.info/userhelp/data/komoku" xr:uid="{DCB5A7E4-2078-45D4-853A-07D8B2966262}"/>
    <hyperlink ref="H165" r:id="rId157" display="https://tools.l2.dwh.sb-sys.info/userhelp/data/komoku" xr:uid="{6900800E-CD73-485F-82FE-085C82354CDD}"/>
    <hyperlink ref="H166" r:id="rId158" display="https://tools.l2.dwh.sb-sys.info/userhelp/data/komoku" xr:uid="{E95F92D1-1A9A-49B9-ABE3-5DEA61C0B6B8}"/>
    <hyperlink ref="H167" r:id="rId159" display="https://tools.l2.dwh.sb-sys.info/userhelp/data/komoku" xr:uid="{B23557D4-9558-4373-AE49-23389E3D801E}"/>
    <hyperlink ref="H168" r:id="rId160" display="https://tools.l2.dwh.sb-sys.info/userhelp/data/komoku" xr:uid="{47C628E4-7073-483D-A747-3FBC8E0C8CD3}"/>
    <hyperlink ref="H169" r:id="rId161" display="https://tools.l2.dwh.sb-sys.info/userhelp/data/komoku" xr:uid="{8D6621AB-3E1A-4190-8451-E1BF131F684D}"/>
    <hyperlink ref="H170" r:id="rId162" display="https://tools.l2.dwh.sb-sys.info/userhelp/data/komoku" xr:uid="{9DF8E338-2DA8-438E-BF72-4B690F128C9B}"/>
    <hyperlink ref="H171" r:id="rId163" display="https://tools.l2.dwh.sb-sys.info/userhelp/data/komoku" xr:uid="{24335CB5-267F-49C7-91A4-46E05F2FDAC2}"/>
    <hyperlink ref="H172" r:id="rId164" display="https://tools.l2.dwh.sb-sys.info/userhelp/data/komoku" xr:uid="{FD6C8E91-860A-4409-8F15-06D125EBDCB1}"/>
    <hyperlink ref="H173" r:id="rId165" display="https://tools.l2.dwh.sb-sys.info/userhelp/data/komoku" xr:uid="{EACDCE84-222C-40C5-B547-0243DB31D16B}"/>
    <hyperlink ref="H174" r:id="rId166" display="https://tools.l2.dwh.sb-sys.info/userhelp/data/komoku" xr:uid="{063C04A5-0A20-43A0-98BE-8F3D26FF45E1}"/>
    <hyperlink ref="H175" r:id="rId167" display="https://tools.l2.dwh.sb-sys.info/userhelp/data/komoku" xr:uid="{07C3AD60-F26D-44FF-93D0-E2D683D5F3E2}"/>
    <hyperlink ref="H176" r:id="rId168" display="https://tools.l2.dwh.sb-sys.info/userhelp/data/komoku" xr:uid="{41D0359F-0B80-440A-8C06-1A5C130CEA67}"/>
    <hyperlink ref="H177" r:id="rId169" display="https://tools.l2.dwh.sb-sys.info/userhelp/data/komoku" xr:uid="{214B589F-865F-415E-83CD-7B8F18BA659D}"/>
    <hyperlink ref="H178" r:id="rId170" display="https://tools.l2.dwh.sb-sys.info/userhelp/data/komoku" xr:uid="{2889453A-C1B1-46A5-86DA-4D49384BE03A}"/>
    <hyperlink ref="H179" r:id="rId171" display="https://tools.l2.dwh.sb-sys.info/userhelp/data/komoku" xr:uid="{8F70FB57-87AA-4A01-B3E5-92A2C9C1E965}"/>
    <hyperlink ref="H180" r:id="rId172" display="https://tools.l2.dwh.sb-sys.info/userhelp/data/komoku" xr:uid="{DF911BFB-2D5D-4C9D-9EA5-E79200BA8749}"/>
    <hyperlink ref="H181" r:id="rId173" display="https://tools.l2.dwh.sb-sys.info/userhelp/data/komoku" xr:uid="{44B35BE9-9203-4C1F-BBFF-C5F1B6B23078}"/>
    <hyperlink ref="H182" r:id="rId174" display="https://tools.l2.dwh.sb-sys.info/userhelp/data/komoku" xr:uid="{BD1CE06D-2990-4AA3-AF46-3C6079E0733F}"/>
    <hyperlink ref="H183" r:id="rId175" display="https://tools.l2.dwh.sb-sys.info/userhelp/data/komoku" xr:uid="{DBFAB5DA-3220-4032-BEA0-E8C886B67EA8}"/>
    <hyperlink ref="H184" r:id="rId176" display="https://tools.l2.dwh.sb-sys.info/userhelp/data/komoku" xr:uid="{484BB16A-0328-43E2-A3A3-12D34FF5C674}"/>
    <hyperlink ref="H185" r:id="rId177" display="https://tools.l2.dwh.sb-sys.info/userhelp/data/komoku" xr:uid="{BF816540-0884-4169-AF46-AD33F3DD5E68}"/>
    <hyperlink ref="H186" r:id="rId178" display="https://tools.l2.dwh.sb-sys.info/userhelp/data/komoku" xr:uid="{0AC23633-30DF-4253-8F85-1C3359A8A123}"/>
    <hyperlink ref="H187" r:id="rId179" display="https://tools.l2.dwh.sb-sys.info/userhelp/data/komoku" xr:uid="{3821532F-26A4-4BD4-8A59-2B69C719986B}"/>
    <hyperlink ref="H188" r:id="rId180" display="https://tools.l2.dwh.sb-sys.info/userhelp/data/komoku" xr:uid="{1580F3C0-A28A-4C56-AFBC-62F6D16A5040}"/>
    <hyperlink ref="H189" r:id="rId181" display="https://tools.l2.dwh.sb-sys.info/userhelp/data/komoku" xr:uid="{34206B81-F299-4680-A058-2F96A3E081F2}"/>
    <hyperlink ref="H190" r:id="rId182" display="https://tools.l2.dwh.sb-sys.info/userhelp/data/komoku" xr:uid="{1A7AD864-D729-45CA-A0D6-91545A8C2F5D}"/>
    <hyperlink ref="H191" r:id="rId183" display="https://tools.l2.dwh.sb-sys.info/userhelp/data/komoku" xr:uid="{EA095037-083C-4515-95F0-C8CB9EE93A5F}"/>
    <hyperlink ref="H192" r:id="rId184" display="https://tools.l2.dwh.sb-sys.info/userhelp/data/komoku" xr:uid="{99E8FB1A-CB9D-429D-B923-32891459BA02}"/>
    <hyperlink ref="H193" r:id="rId185" display="https://tools.l2.dwh.sb-sys.info/userhelp/data/komoku" xr:uid="{F2AC0858-B967-459E-8E12-0AA9C75A25F1}"/>
    <hyperlink ref="H194" r:id="rId186" display="https://tools.l2.dwh.sb-sys.info/userhelp/data/komoku" xr:uid="{44D38946-1BDF-4275-9DE7-F703A93D0ACF}"/>
    <hyperlink ref="H195" r:id="rId187" display="https://tools.l2.dwh.sb-sys.info/userhelp/data/komoku" xr:uid="{2E26656E-2583-4FE2-AFD7-431DD724DD00}"/>
    <hyperlink ref="H196" r:id="rId188" display="https://tools.l2.dwh.sb-sys.info/userhelp/data/komoku" xr:uid="{7BF929EF-B9A9-4294-96A5-C97EB5884FF9}"/>
    <hyperlink ref="H197" r:id="rId189" display="https://tools.l2.dwh.sb-sys.info/userhelp/data/komoku" xr:uid="{C6A90771-84AC-4D58-8825-2B70BA968EF5}"/>
    <hyperlink ref="H198" r:id="rId190" display="https://tools.l2.dwh.sb-sys.info/userhelp/data/komoku" xr:uid="{FF90B832-7C58-407D-AEC8-F4879335F250}"/>
    <hyperlink ref="H199" r:id="rId191" display="https://tools.l2.dwh.sb-sys.info/userhelp/data/komoku" xr:uid="{681F4114-7DAF-4006-A0D2-AE91BCC96E40}"/>
    <hyperlink ref="H200" r:id="rId192" display="https://tools.l2.dwh.sb-sys.info/userhelp/data/komoku" xr:uid="{DBE1AD17-1586-4786-9DAE-D94965D42DE7}"/>
    <hyperlink ref="H201" r:id="rId193" display="https://tools.l2.dwh.sb-sys.info/userhelp/data/komoku" xr:uid="{C1436D6E-062B-4C5C-A672-9798C6BA1A60}"/>
    <hyperlink ref="H202" r:id="rId194" display="https://tools.l2.dwh.sb-sys.info/userhelp/data/komoku" xr:uid="{0E35BAEA-E6C2-45C1-AE13-190D26349AE8}"/>
    <hyperlink ref="H203" r:id="rId195" display="https://tools.l2.dwh.sb-sys.info/userhelp/data/komoku" xr:uid="{AEF58732-ABE6-4698-8DFE-898DD898ECFF}"/>
    <hyperlink ref="H204" r:id="rId196" display="https://tools.l2.dwh.sb-sys.info/userhelp/data/komoku" xr:uid="{767368C9-C3FE-4030-8360-2B3DEE264B3C}"/>
    <hyperlink ref="H205" r:id="rId197" display="https://tools.l2.dwh.sb-sys.info/userhelp/data/komoku" xr:uid="{D4060B9F-4336-480E-A06E-D8CE7A80146D}"/>
    <hyperlink ref="H206" r:id="rId198" display="https://tools.l2.dwh.sb-sys.info/userhelp/data/komoku" xr:uid="{F5BCBD90-7C83-4ADC-A189-EFD10E0AEC00}"/>
    <hyperlink ref="H207" r:id="rId199" display="https://tools.l2.dwh.sb-sys.info/userhelp/data/komoku" xr:uid="{8653FBFB-55B8-4238-9434-3587C626D139}"/>
    <hyperlink ref="H208" r:id="rId200" display="https://tools.l2.dwh.sb-sys.info/userhelp/data/komoku" xr:uid="{D7F0BD61-A5DC-4E0B-BD31-AFBD365296EC}"/>
    <hyperlink ref="H209" r:id="rId201" display="https://tools.l2.dwh.sb-sys.info/userhelp/data/komoku" xr:uid="{5ECA1D6E-F2EB-4E4A-AFB9-B7E326FEB757}"/>
    <hyperlink ref="H210" r:id="rId202" display="https://tools.l2.dwh.sb-sys.info/userhelp/data/komoku" xr:uid="{6C227553-70CA-4BF4-BD45-DD2DDEE6B80E}"/>
    <hyperlink ref="H211" r:id="rId203" display="https://tools.l2.dwh.sb-sys.info/userhelp/data/komoku" xr:uid="{AD620678-95AE-4973-AF06-7F9B388B3830}"/>
    <hyperlink ref="H212" r:id="rId204" display="https://tools.l2.dwh.sb-sys.info/userhelp/data/komoku" xr:uid="{1C9AEF10-CFAB-425F-9119-1471AC2C6BC8}"/>
    <hyperlink ref="H213" r:id="rId205" display="https://tools.l2.dwh.sb-sys.info/userhelp/data/komoku" xr:uid="{5E42C000-1067-4533-AF55-52B5F8ED6575}"/>
    <hyperlink ref="H214" r:id="rId206" display="https://tools.l2.dwh.sb-sys.info/userhelp/data/komoku" xr:uid="{2AE64A42-F4A7-4DE5-9334-33DDB2A2AC86}"/>
    <hyperlink ref="H215" r:id="rId207" display="https://tools.l2.dwh.sb-sys.info/userhelp/data/komoku" xr:uid="{12DB0F5D-A4CB-40C4-BEBB-63CA6E876C35}"/>
    <hyperlink ref="H216" r:id="rId208" display="https://tools.l2.dwh.sb-sys.info/userhelp/data/komoku" xr:uid="{9AD0B7BE-0DC2-434C-87C0-C90DFF1C119D}"/>
    <hyperlink ref="H217" r:id="rId209" display="https://tools.l2.dwh.sb-sys.info/userhelp/data/komoku" xr:uid="{F281F8D0-3FF8-42C3-89CA-F807242082E9}"/>
    <hyperlink ref="H218" r:id="rId210" display="https://tools.l2.dwh.sb-sys.info/userhelp/data/komoku" xr:uid="{2E78A4D9-0A45-4A16-8D7D-AEE31DC888AD}"/>
    <hyperlink ref="H219" r:id="rId211" display="https://tools.l2.dwh.sb-sys.info/userhelp/data/komoku" xr:uid="{D9A63B2E-B04B-4C97-B3C1-B7096EA909F3}"/>
    <hyperlink ref="H220" r:id="rId212" display="https://tools.l2.dwh.sb-sys.info/userhelp/data/komoku" xr:uid="{1CBBC82B-DC09-4D5F-9E67-3899C2C10C72}"/>
    <hyperlink ref="H221" r:id="rId213" display="https://tools.l2.dwh.sb-sys.info/userhelp/data/komoku" xr:uid="{FF1E604F-8CD2-46A6-B890-3B1D5E51E1E4}"/>
    <hyperlink ref="H222" r:id="rId214" display="https://tools.l2.dwh.sb-sys.info/userhelp/data/komoku" xr:uid="{535BEECC-59A7-4F08-A38D-3779DF990F29}"/>
    <hyperlink ref="H223" r:id="rId215" display="https://tools.l2.dwh.sb-sys.info/userhelp/data/komoku" xr:uid="{E0CA0D16-75D6-4F4A-A7BB-BF6172D6AB3A}"/>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1CE4A-D495-4A00-8515-366ABABB13E2}">
  <dimension ref="A1"/>
  <sheetViews>
    <sheetView workbookViewId="0"/>
  </sheetViews>
  <sheetFormatPr defaultRowHeight="18.75"/>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58ecc89-2e47-4dee-a93d-93f030b574a9" xsi:nil="true"/>
    <lcf76f155ced4ddcb4097134ff3c332f xmlns="b65048e3-dffa-4253-8538-8fa05818bc0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0506946A466D34388C42452DB951185" ma:contentTypeVersion="11" ma:contentTypeDescription="Create a new document." ma:contentTypeScope="" ma:versionID="231119821dab9c0663be71b532617593">
  <xsd:schema xmlns:xsd="http://www.w3.org/2001/XMLSchema" xmlns:xs="http://www.w3.org/2001/XMLSchema" xmlns:p="http://schemas.microsoft.com/office/2006/metadata/properties" xmlns:ns2="b65048e3-dffa-4253-8538-8fa05818bc09" xmlns:ns3="c58ecc89-2e47-4dee-a93d-93f030b574a9" targetNamespace="http://schemas.microsoft.com/office/2006/metadata/properties" ma:root="true" ma:fieldsID="ab580c282480354e0e707d05ca058049" ns2:_="" ns3:_="">
    <xsd:import namespace="b65048e3-dffa-4253-8538-8fa05818bc09"/>
    <xsd:import namespace="c58ecc89-2e47-4dee-a93d-93f030b574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5048e3-dffa-4253-8538-8fa05818bc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c9cebb5-50eb-4c43-b58f-0461b5ccb6a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58ecc89-2e47-4dee-a93d-93f030b574a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2d1a7d8-29d2-45bc-986e-95d5b21d1abe}" ma:internalName="TaxCatchAll" ma:showField="CatchAllData" ma:web="c58ecc89-2e47-4dee-a93d-93f030b574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D21BC2-8134-4D0C-9A18-4FC43C9D0C84}"/>
</file>

<file path=customXml/itemProps2.xml><?xml version="1.0" encoding="utf-8"?>
<ds:datastoreItem xmlns:ds="http://schemas.openxmlformats.org/officeDocument/2006/customXml" ds:itemID="{59C7772E-E407-4D28-A6A8-A6E5AE4867C3}"/>
</file>

<file path=customXml/itemProps3.xml><?xml version="1.0" encoding="utf-8"?>
<ds:datastoreItem xmlns:ds="http://schemas.openxmlformats.org/officeDocument/2006/customXml" ds:itemID="{0BEA589F-0664-48C8-AD03-3ED5446046A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Ohtake_Haruo</dc:creator>
  <cp:keywords/>
  <dc:description/>
  <cp:lastModifiedBy/>
  <cp:revision/>
  <dcterms:created xsi:type="dcterms:W3CDTF">2015-06-05T18:17:20Z</dcterms:created>
  <dcterms:modified xsi:type="dcterms:W3CDTF">2026-04-21T05:59:16Z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0x01010060506946A466D34388C42452DB951185</vt:lpwstr>
  </property>
  <property fmtid="{D5CDD505-2E9C-101B-9397-08002B2CF9AE}" pid="3" name="MediaServiceImageTags">
    <vt:lpwstr/>
  </property>
</Properties>
</file>